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829fce4b8b44df3" Type="http://schemas.microsoft.com/office/2006/relationships/ui/extensibility" Target="NUL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af3c4ae2985454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rajul haque\Downloads\"/>
    </mc:Choice>
  </mc:AlternateContent>
  <xr:revisionPtr revIDLastSave="0" documentId="13_ncr:1_{43660196-4A18-4A4F-818B-BEEA42279567}" xr6:coauthVersionLast="47" xr6:coauthVersionMax="47" xr10:uidLastSave="{00000000-0000-0000-0000-000000000000}"/>
  <bookViews>
    <workbookView xWindow="0" yWindow="1140" windowWidth="23040" windowHeight="11100" tabRatio="890" firstSheet="8" activeTab="8" xr2:uid="{00000000-000D-0000-FFFF-FFFF00000000}"/>
  </bookViews>
  <sheets>
    <sheet name="qsReport_template" sheetId="311" state="hidden" r:id="rId1"/>
    <sheet name="qsReport_Admin" sheetId="308" state="veryHidden" r:id="rId2"/>
    <sheet name="consult-inst" sheetId="46" state="hidden" r:id="rId3"/>
    <sheet name="zTakeoffSht" sheetId="40" state="hidden" r:id="rId4"/>
    <sheet name="zQuoteSht" sheetId="43" state="hidden" r:id="rId5"/>
    <sheet name="zSumryRow" sheetId="48" state="hidden" r:id="rId6"/>
    <sheet name="zBlankShtNZIA" sheetId="307" state="hidden" r:id="rId7"/>
    <sheet name="zBlankSht" sheetId="41" state="hidden" r:id="rId8"/>
    <sheet name="SUMRY" sheetId="1" r:id="rId9"/>
    <sheet name="notes" sheetId="262" state="hidden" r:id="rId10"/>
  </sheets>
  <functionGroups builtInGroupCount="19"/>
  <definedNames>
    <definedName name="_xlnm._FilterDatabase" localSheetId="8" hidden="1">SUMRY!$AB$1:$AB$109</definedName>
    <definedName name="_xlnm._FilterDatabase" localSheetId="7" hidden="1">zBlankSht!$N$1:$N$109</definedName>
    <definedName name="_xlnm._FilterDatabase" localSheetId="6" hidden="1">zBlankShtNZIA!$N$1:$N$88</definedName>
    <definedName name="_xlnm._FilterDatabase" localSheetId="4" hidden="1">zQuoteSht!$N$1:$N$10</definedName>
    <definedName name="_xlnm._FilterDatabase" localSheetId="3" hidden="1">zTakeoffSht!$N$1:$N$21</definedName>
    <definedName name="actCashflow">SUMRY!#REF!</definedName>
    <definedName name="budConVal">SUMRY!$N$66</definedName>
    <definedName name="budGross">SUMRY!$N$100</definedName>
    <definedName name="budOHR">SUMRY!$N$102</definedName>
    <definedName name="budProf">SUMRY!$N$104</definedName>
    <definedName name="Cashflow">SUMRY!$I$108:$I$112</definedName>
    <definedName name="CFtableStart">Table1[[Month ]]</definedName>
    <definedName name="clmSum">SUMRY!$E$1:$M$12</definedName>
    <definedName name="conSums">SUMRY!$F$19:$F$21</definedName>
    <definedName name="Contract">SUMRY!$O$6</definedName>
    <definedName name="CTD">zBlankSht!$BT$2,zBlankShtNZIA!$BT$2</definedName>
    <definedName name="dClaim">SUMRY!$11:$104</definedName>
    <definedName name="deduction">zBlankSht!$AA$35</definedName>
    <definedName name="delRng">SUMRY!$F$47:$F$49,SUMRY!$F$8:$F$10</definedName>
    <definedName name="dFinancialAnalysis">SUMRY!#REF!</definedName>
    <definedName name="hidden" localSheetId="7">zBlankSht!$A:$N,zBlankSht!$R:$X,zBlankSht!$AB:$BV</definedName>
    <definedName name="hidden" localSheetId="6">zBlankShtNZIA!$A:$N,zBlankShtNZIA!$R:$X,zBlankShtNZIA!$AB:$BR</definedName>
    <definedName name="hiddenClaimed" localSheetId="7">zBlankSht!$A:$N,zBlankSht!$R:$X,zBlankSht!$AE:$BV</definedName>
    <definedName name="hiddenClaimed" localSheetId="6">zBlankShtNZIA!$A:$N,zBlankShtNZIA!$R:$X,zBlankShtNZIA!$AE:$BR</definedName>
    <definedName name="Labour_rate">SUMRY!$O$3</definedName>
    <definedName name="nextVo">SUMRY!$F$11</definedName>
    <definedName name="nextXVO">SUMRY!$F$50</definedName>
    <definedName name="Off_Site">SUMRY!$O$2</definedName>
    <definedName name="On_Site">SUMRY!$O$1</definedName>
    <definedName name="pcSums">SUMRY!$F$29:$F$32</definedName>
    <definedName name="_xlnm.Print_Area" localSheetId="8">SUMRY!$E$1:$M$12</definedName>
    <definedName name="_xlnm.Print_Area" localSheetId="7">zBlankSht!$O$1:$AC$64</definedName>
    <definedName name="_xlnm.Print_Area" localSheetId="6">zBlankShtNZIA!$O$1:$AC$43</definedName>
    <definedName name="_xlnm.Print_Area" localSheetId="3">zTakeoffSht!$O$1:$AC$21</definedName>
    <definedName name="Processing">SUMRY!$O$4</definedName>
    <definedName name="Processing_fee">SUMRY!$O$5</definedName>
    <definedName name="progLab" localSheetId="7">zBlankSht!$AF$64</definedName>
    <definedName name="progLab" localSheetId="6">zBlankShtNZIA!$AF$43</definedName>
    <definedName name="progLab">#REF!</definedName>
    <definedName name="progMats" localSheetId="7">zBlankSht!$AG$64</definedName>
    <definedName name="progMats" localSheetId="6">zBlankShtNZIA!$AG$43</definedName>
    <definedName name="progMats">#REF!</definedName>
    <definedName name="progProf" localSheetId="7">zBlankSht!$AI$64</definedName>
    <definedName name="progProf" localSheetId="6">zBlankShtNZIA!$AI$43</definedName>
    <definedName name="progProf">#REF!</definedName>
    <definedName name="progSite">zBlankSht!$AD$64</definedName>
    <definedName name="progSubs" localSheetId="7">zBlankSht!$AH$64</definedName>
    <definedName name="progSubs" localSheetId="6">zBlankShtNZIA!$AH$43</definedName>
    <definedName name="progSubs">#REF!</definedName>
    <definedName name="progSums" localSheetId="6">zBlankShtNZIA!$AE$43</definedName>
    <definedName name="progSums">zBlankSht!$AE$64</definedName>
    <definedName name="projGross">SUMRY!$L$100</definedName>
    <definedName name="projOHR">SUMRY!$L$102</definedName>
    <definedName name="projRec">SUMRY!$L$104</definedName>
    <definedName name="projVal">SUMRY!$L$70</definedName>
    <definedName name="provSums">SUMRY!$F$22:$F$27</definedName>
    <definedName name="remSums">SUMRY!$F$34:$F$37</definedName>
    <definedName name="sums">SUMRY!$G$19:$G$22,SUMRY!$G$24:$G$27,SUMRY!$G$29:$G$32,SUMRY!$G$34:$G$37</definedName>
    <definedName name="toSumEOT" comment="Extension of time carried to summary" localSheetId="6">zBlankShtNZIA!$BR$2</definedName>
    <definedName name="toSumEOT" comment="Extension of time carried to summary">zBlankSht!$BR$2</definedName>
    <definedName name="toSumLab" comment="Labour carried to Summary" localSheetId="6">zBlankShtNZIA!$BN$2</definedName>
    <definedName name="toSumLab" comment="Labour carried to Summary">zBlankSht!$BN$2</definedName>
    <definedName name="tosumlsprofit" localSheetId="6">zBlankShtNZIA!$BK$2</definedName>
    <definedName name="tosumlsprofit">zBlankSht!$BK$2</definedName>
    <definedName name="tosumlssite">zBlankShtNZIA!$BJ$2</definedName>
    <definedName name="toSumMarg" comment="Margins carried to summary" localSheetId="6">zBlankShtNZIA!$BP$2</definedName>
    <definedName name="toSumMarg" comment="Margins carried to summary">zBlankSht!$BP$2</definedName>
    <definedName name="toSumMats" comment="materials carried to summary" localSheetId="6">zBlankShtNZIA!$BO$2</definedName>
    <definedName name="toSumMats" comment="materials carried to summary">zBlankSht!$BO$2</definedName>
    <definedName name="tosumProcess" comment="Process carried to summary" localSheetId="6">zBlankShtNZIA!$BQ$2</definedName>
    <definedName name="tosumProcess" comment="Process carried to summary">zBlankSht!$BQ$2</definedName>
    <definedName name="tosumSite">zBlankSht!$BJ$2</definedName>
    <definedName name="toSumSubs" comment="Subbys carried to summary" localSheetId="6">zBlankShtNZIA!$BM$2</definedName>
    <definedName name="toSumSubs" comment="Subbys carried to summary">zBlankSht!$BM$2</definedName>
    <definedName name="tosumSums" localSheetId="6">zBlankShtNZIA!$BL$2</definedName>
    <definedName name="tosumSums">zBlankSht!$BL$2</definedName>
    <definedName name="Total_Row">SUMRY!$N$12</definedName>
    <definedName name="total_rowx">SUMRY!$N$51</definedName>
    <definedName name="VLOOKUP" localSheetId="6">zBlankShtNZIA!$Z$2</definedName>
    <definedName name="VLOOKUP">zBlankSht!$Z$2</definedName>
    <definedName name="voRng">SUMRY!$F$8:$F$10</definedName>
    <definedName name="xvoRng">SUMRY!$F$47:$F$49</definedName>
    <definedName name="xvoStart">SUMRY!$47:$47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10" i="48" l="1"/>
  <c r="W14" i="41"/>
  <c r="W13" i="41"/>
  <c r="W12" i="41"/>
  <c r="W11" i="41"/>
  <c r="BK9" i="41"/>
  <c r="BP9" i="41" s="1"/>
  <c r="BJ9" i="41"/>
  <c r="AW9" i="41"/>
  <c r="AU9" i="41"/>
  <c r="AN9" i="41"/>
  <c r="AL9" i="41"/>
  <c r="AJ9" i="41"/>
  <c r="M9" i="41"/>
  <c r="J9" i="41"/>
  <c r="G9" i="41"/>
  <c r="BD9" i="41" s="1"/>
  <c r="W20" i="41"/>
  <c r="W19" i="41"/>
  <c r="W18" i="41"/>
  <c r="W17" i="41"/>
  <c r="BK8" i="41"/>
  <c r="BL8" i="41" s="1"/>
  <c r="BM8" i="41" s="1"/>
  <c r="BJ8" i="41"/>
  <c r="AW8" i="41"/>
  <c r="AU8" i="41"/>
  <c r="AN8" i="41"/>
  <c r="AL8" i="41"/>
  <c r="AJ8" i="41"/>
  <c r="M8" i="41"/>
  <c r="J8" i="41"/>
  <c r="G8" i="41"/>
  <c r="BD8" i="41" s="1"/>
  <c r="AM10" i="48"/>
  <c r="AL10" i="48"/>
  <c r="AK10" i="48"/>
  <c r="AJ10" i="48"/>
  <c r="AI10" i="48"/>
  <c r="AH10" i="48"/>
  <c r="AG10" i="48"/>
  <c r="AF10" i="48"/>
  <c r="AB10" i="48"/>
  <c r="AA10" i="48"/>
  <c r="Z10" i="48"/>
  <c r="Y10" i="48"/>
  <c r="X10" i="48"/>
  <c r="V10" i="48"/>
  <c r="U10" i="48"/>
  <c r="T10" i="48"/>
  <c r="S10" i="48"/>
  <c r="R10" i="48"/>
  <c r="Q10" i="48"/>
  <c r="N10" i="48"/>
  <c r="M10" i="48"/>
  <c r="L10" i="48"/>
  <c r="K10" i="48"/>
  <c r="J10" i="48"/>
  <c r="G10" i="48"/>
  <c r="BJ10" i="43"/>
  <c r="BJ10" i="40"/>
  <c r="C35" i="307"/>
  <c r="C30" i="307"/>
  <c r="C26" i="307"/>
  <c r="C19" i="307"/>
  <c r="C16" i="307"/>
  <c r="C13" i="307"/>
  <c r="B43" i="307"/>
  <c r="B35" i="307"/>
  <c r="B30" i="307"/>
  <c r="B26" i="307"/>
  <c r="B19" i="307"/>
  <c r="B16" i="307"/>
  <c r="B13" i="307"/>
  <c r="C10" i="307"/>
  <c r="B10" i="307"/>
  <c r="AM43" i="307"/>
  <c r="C43" i="307" s="1"/>
  <c r="AD43" i="307"/>
  <c r="BJ2" i="307" s="1"/>
  <c r="Q9" i="48" a="1"/>
  <c r="Q9" i="48" s="1"/>
  <c r="AM64" i="41"/>
  <c r="BJ2" i="41" s="1"/>
  <c r="AD64" i="41"/>
  <c r="C56" i="41"/>
  <c r="C44" i="41"/>
  <c r="C40" i="41"/>
  <c r="C33" i="41"/>
  <c r="B33" i="41"/>
  <c r="C30" i="41"/>
  <c r="B30" i="41"/>
  <c r="C27" i="41"/>
  <c r="B27" i="41"/>
  <c r="C24" i="41"/>
  <c r="B24" i="41"/>
  <c r="Z9" i="48" a="1"/>
  <c r="Z9" i="48" s="1"/>
  <c r="Y9" i="48" a="1"/>
  <c r="Y9" i="48" s="1"/>
  <c r="X9" i="48" a="1"/>
  <c r="X9" i="48" s="1"/>
  <c r="V9" i="48" a="1"/>
  <c r="V9" i="48" s="1"/>
  <c r="U9" i="48" a="1"/>
  <c r="U9" i="48" s="1"/>
  <c r="T9" i="48" a="1"/>
  <c r="T9" i="48" s="1"/>
  <c r="S9" i="48" a="1"/>
  <c r="S9" i="48" s="1"/>
  <c r="R9" i="48" a="1"/>
  <c r="R9" i="48" s="1"/>
  <c r="AW40" i="43"/>
  <c r="AU40" i="43"/>
  <c r="AN40" i="43"/>
  <c r="AL40" i="43"/>
  <c r="AJ40" i="43"/>
  <c r="AW30" i="43"/>
  <c r="AU30" i="43"/>
  <c r="AN30" i="43"/>
  <c r="AL30" i="43"/>
  <c r="AJ30" i="43"/>
  <c r="AW20" i="43"/>
  <c r="AU20" i="43"/>
  <c r="AN20" i="43"/>
  <c r="AL20" i="43"/>
  <c r="AJ20" i="43"/>
  <c r="BC10" i="43"/>
  <c r="AW10" i="43"/>
  <c r="AV10" i="43"/>
  <c r="AU10" i="43"/>
  <c r="AP10" i="43" s="1"/>
  <c r="AQ10" i="43"/>
  <c r="AO10" i="43"/>
  <c r="AE10" i="43" s="1"/>
  <c r="AN10" i="43"/>
  <c r="AM10" i="43"/>
  <c r="AD10" i="43" s="1"/>
  <c r="AL10" i="43"/>
  <c r="AK10" i="43"/>
  <c r="AJ10" i="43"/>
  <c r="X9" i="41" l="1"/>
  <c r="Y9" i="41" s="1"/>
  <c r="AO9" i="41" s="1"/>
  <c r="AE9" i="41" s="1"/>
  <c r="X8" i="41"/>
  <c r="Y8" i="41" s="1"/>
  <c r="AX8" i="41" s="1"/>
  <c r="BF9" i="41"/>
  <c r="BL9" i="41"/>
  <c r="BM9" i="41" s="1"/>
  <c r="BO9" i="41"/>
  <c r="AY9" i="41"/>
  <c r="BF8" i="41"/>
  <c r="BG8" i="41" s="1"/>
  <c r="AY8" i="41"/>
  <c r="BO8" i="41"/>
  <c r="BP8" i="41"/>
  <c r="AR8" i="41"/>
  <c r="AA9" i="48"/>
  <c r="C66" i="43"/>
  <c r="B66" i="43"/>
  <c r="C57" i="43"/>
  <c r="B57" i="43"/>
  <c r="C54" i="43"/>
  <c r="B54" i="43"/>
  <c r="AF12" i="1"/>
  <c r="AE12" i="1"/>
  <c r="AG12" i="1"/>
  <c r="AH12" i="1"/>
  <c r="AI12" i="1"/>
  <c r="AJ12" i="1"/>
  <c r="AL40" i="40"/>
  <c r="AL30" i="40"/>
  <c r="AL20" i="40"/>
  <c r="AL10" i="40"/>
  <c r="C66" i="40"/>
  <c r="B66" i="40"/>
  <c r="C57" i="40"/>
  <c r="B57" i="40"/>
  <c r="C54" i="40"/>
  <c r="B54" i="40"/>
  <c r="AE51" i="1"/>
  <c r="AR2" i="1" l="1" a="1"/>
  <c r="AR2" i="1" s="1"/>
  <c r="AM8" i="41"/>
  <c r="AD8" i="41" s="1"/>
  <c r="AO8" i="41"/>
  <c r="AE8" i="41" s="1"/>
  <c r="AK8" i="41"/>
  <c r="AP8" i="41"/>
  <c r="AQ8" i="41"/>
  <c r="H8" i="41" s="1"/>
  <c r="BC8" i="41"/>
  <c r="AV8" i="41"/>
  <c r="BE8" i="41"/>
  <c r="AZ8" i="41"/>
  <c r="AR9" i="41"/>
  <c r="AP9" i="41"/>
  <c r="AX9" i="41"/>
  <c r="BC9" i="41"/>
  <c r="AV9" i="41"/>
  <c r="AZ9" i="41"/>
  <c r="AK9" i="41"/>
  <c r="AQ9" i="41"/>
  <c r="BE9" i="41"/>
  <c r="BG9" i="41"/>
  <c r="AM9" i="41"/>
  <c r="AD9" i="41" s="1"/>
  <c r="BA9" i="41"/>
  <c r="BA8" i="41"/>
  <c r="BB8" i="41" s="1"/>
  <c r="AE54" i="1"/>
  <c r="AW40" i="40"/>
  <c r="AU40" i="40"/>
  <c r="AN40" i="40"/>
  <c r="AJ40" i="40"/>
  <c r="AW30" i="40"/>
  <c r="AU30" i="40"/>
  <c r="AN30" i="40"/>
  <c r="AJ30" i="40"/>
  <c r="W45" i="40"/>
  <c r="W44" i="40"/>
  <c r="W43" i="40"/>
  <c r="W42" i="40"/>
  <c r="W35" i="40"/>
  <c r="W34" i="40"/>
  <c r="W33" i="40"/>
  <c r="W32" i="40"/>
  <c r="W25" i="40"/>
  <c r="W24" i="40"/>
  <c r="W23" i="40"/>
  <c r="W22" i="40"/>
  <c r="AW20" i="40"/>
  <c r="AU20" i="40"/>
  <c r="AN20" i="40"/>
  <c r="AJ20" i="40"/>
  <c r="W15" i="40"/>
  <c r="W14" i="40"/>
  <c r="W13" i="40"/>
  <c r="AU10" i="40"/>
  <c r="W12" i="40"/>
  <c r="AW10" i="40"/>
  <c r="AN10" i="40"/>
  <c r="AJ10" i="40"/>
  <c r="AG8" i="41" l="1"/>
  <c r="AH9" i="41"/>
  <c r="AH8" i="41"/>
  <c r="H9" i="41"/>
  <c r="K8" i="41"/>
  <c r="AG9" i="41"/>
  <c r="AI8" i="41"/>
  <c r="BB9" i="41"/>
  <c r="X40" i="40"/>
  <c r="Y40" i="40" s="1"/>
  <c r="AM40" i="40" s="1"/>
  <c r="AD40" i="40" s="1"/>
  <c r="X30" i="40"/>
  <c r="Y30" i="40" s="1"/>
  <c r="AP30" i="40" s="1"/>
  <c r="X20" i="40"/>
  <c r="Y20" i="40" s="1"/>
  <c r="N81" i="1"/>
  <c r="N98" i="1" s="1"/>
  <c r="N66" i="1"/>
  <c r="O91" i="1" s="1"/>
  <c r="K84" i="1"/>
  <c r="S89" i="1" s="1"/>
  <c r="K89" i="1"/>
  <c r="AX40" i="40" l="1"/>
  <c r="AK40" i="40"/>
  <c r="C47" i="40" s="1"/>
  <c r="AP40" i="40"/>
  <c r="AQ40" i="40"/>
  <c r="BC40" i="40"/>
  <c r="AV40" i="40"/>
  <c r="AO40" i="40"/>
  <c r="K9" i="41"/>
  <c r="AI9" i="41"/>
  <c r="AK30" i="40"/>
  <c r="C37" i="40" s="1"/>
  <c r="AQ30" i="40"/>
  <c r="BC30" i="40"/>
  <c r="AV30" i="40"/>
  <c r="AM30" i="40"/>
  <c r="AD30" i="40" s="1"/>
  <c r="AX30" i="40"/>
  <c r="AO30" i="40"/>
  <c r="AE30" i="40" s="1"/>
  <c r="AK20" i="40"/>
  <c r="C27" i="40" s="1"/>
  <c r="AM20" i="40"/>
  <c r="AD20" i="40" s="1"/>
  <c r="AO20" i="40"/>
  <c r="AE20" i="40" s="1"/>
  <c r="AP20" i="40"/>
  <c r="AX20" i="40"/>
  <c r="AE40" i="40"/>
  <c r="BC20" i="40"/>
  <c r="AQ20" i="40"/>
  <c r="AV20" i="40"/>
  <c r="S99" i="1"/>
  <c r="S102" i="1" s="1"/>
  <c r="I24" i="41"/>
  <c r="L26" i="1" l="1"/>
  <c r="M26" i="1" l="1"/>
  <c r="Q26" i="1"/>
  <c r="AF26" i="1" s="1"/>
  <c r="L25" i="1"/>
  <c r="M25" i="1" l="1"/>
  <c r="Q25" i="1"/>
  <c r="AF25" i="1" s="1"/>
  <c r="L20" i="1"/>
  <c r="Q20" i="1" s="1"/>
  <c r="AF20" i="1" s="1"/>
  <c r="L35" i="1" l="1"/>
  <c r="L30" i="1"/>
  <c r="M20" i="1"/>
  <c r="M30" i="1" l="1"/>
  <c r="Q30" i="1"/>
  <c r="AF30" i="1" s="1"/>
  <c r="M35" i="1"/>
  <c r="Q35" i="1"/>
  <c r="AF35" i="1" s="1"/>
  <c r="L21" i="1"/>
  <c r="V51" i="1"/>
  <c r="V12" i="1"/>
  <c r="K90" i="1" l="1"/>
  <c r="K91" i="1" s="1"/>
  <c r="M21" i="1"/>
  <c r="Q21" i="1"/>
  <c r="AF21" i="1" s="1"/>
  <c r="K77" i="1"/>
  <c r="Q25" i="307"/>
  <c r="Q29" i="307"/>
  <c r="Q33" i="307"/>
  <c r="Q43" i="41"/>
  <c r="Q39" i="41"/>
  <c r="Q54" i="41"/>
  <c r="L91" i="1" l="1"/>
  <c r="N109" i="1"/>
  <c r="R109" i="1" s="1"/>
  <c r="S109" i="1" s="1"/>
  <c r="Q109" i="1"/>
  <c r="T109" i="1" l="1"/>
  <c r="AI51" i="1"/>
  <c r="AG51" i="1"/>
  <c r="AF51" i="1"/>
  <c r="AH51" i="1"/>
  <c r="M12" i="1" l="1"/>
  <c r="M51" i="1"/>
  <c r="T51" i="1"/>
  <c r="R51" i="1"/>
  <c r="Q51" i="1"/>
  <c r="S51" i="1"/>
  <c r="U51" i="1"/>
  <c r="S12" i="1"/>
  <c r="T12" i="1"/>
  <c r="R12" i="1"/>
  <c r="U12" i="1"/>
  <c r="Q12" i="1"/>
  <c r="K85" i="1" l="1"/>
  <c r="K86" i="1" s="1"/>
  <c r="K95" i="1"/>
  <c r="Y51" i="1"/>
  <c r="C1" i="311"/>
  <c r="S91" i="1" l="1"/>
  <c r="L12" i="1"/>
  <c r="L51" i="1"/>
  <c r="BH43" i="307"/>
  <c r="BR2" i="307" s="1"/>
  <c r="BG43" i="307"/>
  <c r="BE43" i="307"/>
  <c r="BC43" i="307"/>
  <c r="BB43" i="307"/>
  <c r="AZ43" i="307"/>
  <c r="AX43" i="307"/>
  <c r="AV43" i="307"/>
  <c r="AT43" i="307"/>
  <c r="AR43" i="307"/>
  <c r="AQ43" i="307"/>
  <c r="AP43" i="307"/>
  <c r="AO43" i="307"/>
  <c r="BL2" i="307" s="1"/>
  <c r="AK43" i="307"/>
  <c r="AH43" i="307"/>
  <c r="AG43" i="307"/>
  <c r="AF43" i="307"/>
  <c r="AE43" i="307"/>
  <c r="A43" i="307"/>
  <c r="K35" i="307"/>
  <c r="I35" i="307"/>
  <c r="H35" i="307"/>
  <c r="F35" i="307"/>
  <c r="E35" i="307"/>
  <c r="D35" i="307"/>
  <c r="P30" i="307"/>
  <c r="K30" i="307"/>
  <c r="I30" i="307"/>
  <c r="H30" i="307"/>
  <c r="F30" i="307"/>
  <c r="E30" i="307"/>
  <c r="D30" i="307"/>
  <c r="P26" i="307"/>
  <c r="K26" i="307"/>
  <c r="I26" i="307"/>
  <c r="H26" i="307"/>
  <c r="F26" i="307"/>
  <c r="E26" i="307"/>
  <c r="D26" i="307"/>
  <c r="AC22" i="307"/>
  <c r="AA22" i="307"/>
  <c r="AC21" i="307"/>
  <c r="AA21" i="307"/>
  <c r="BU2" i="307" s="1"/>
  <c r="Z19" i="307"/>
  <c r="P19" i="307"/>
  <c r="K19" i="307"/>
  <c r="I19" i="307"/>
  <c r="H19" i="307"/>
  <c r="F19" i="307"/>
  <c r="E19" i="307"/>
  <c r="D19" i="307"/>
  <c r="Z16" i="307"/>
  <c r="P16" i="307"/>
  <c r="K16" i="307"/>
  <c r="I16" i="307"/>
  <c r="H16" i="307"/>
  <c r="F16" i="307"/>
  <c r="E16" i="307"/>
  <c r="D16" i="307"/>
  <c r="Z13" i="307"/>
  <c r="P13" i="307"/>
  <c r="K13" i="307"/>
  <c r="I13" i="307"/>
  <c r="H13" i="307"/>
  <c r="F13" i="307"/>
  <c r="E13" i="307"/>
  <c r="D13" i="307"/>
  <c r="Z10" i="307"/>
  <c r="P10" i="307"/>
  <c r="K10" i="307"/>
  <c r="I10" i="307"/>
  <c r="H10" i="307"/>
  <c r="F10" i="307"/>
  <c r="E10" i="307"/>
  <c r="D10" i="307"/>
  <c r="I4" i="307"/>
  <c r="Z3" i="307"/>
  <c r="O2" i="307"/>
  <c r="Z1" i="307"/>
  <c r="K1" i="307"/>
  <c r="J1" i="307"/>
  <c r="Z2" i="307" s="1"/>
  <c r="F1" i="307"/>
  <c r="AK13" i="48"/>
  <c r="AJ13" i="48"/>
  <c r="BG64" i="41"/>
  <c r="BE64" i="41"/>
  <c r="BC64" i="41"/>
  <c r="BB64" i="41"/>
  <c r="AZ64" i="41"/>
  <c r="AX64" i="41"/>
  <c r="AV64" i="41"/>
  <c r="AT64" i="41"/>
  <c r="AR64" i="41"/>
  <c r="AQ64" i="41"/>
  <c r="AP64" i="41"/>
  <c r="AO64" i="41"/>
  <c r="E64" i="41" s="1"/>
  <c r="AK64" i="41"/>
  <c r="AH64" i="41"/>
  <c r="AG64" i="41"/>
  <c r="AF64" i="41"/>
  <c r="AE64" i="41"/>
  <c r="A64" i="41"/>
  <c r="K56" i="41"/>
  <c r="I56" i="41"/>
  <c r="H56" i="41"/>
  <c r="F56" i="41"/>
  <c r="E56" i="41"/>
  <c r="D56" i="41"/>
  <c r="Y47" i="41"/>
  <c r="Q47" i="41"/>
  <c r="P44" i="41"/>
  <c r="K44" i="41"/>
  <c r="I44" i="41"/>
  <c r="H44" i="41"/>
  <c r="F44" i="41"/>
  <c r="E44" i="41"/>
  <c r="D44" i="41"/>
  <c r="P40" i="41"/>
  <c r="K40" i="41"/>
  <c r="I40" i="41"/>
  <c r="H40" i="41"/>
  <c r="F40" i="41"/>
  <c r="E40" i="41"/>
  <c r="D40" i="41"/>
  <c r="AC36" i="41"/>
  <c r="AA36" i="41"/>
  <c r="AC35" i="41"/>
  <c r="AA35" i="41"/>
  <c r="BU2" i="41" s="1"/>
  <c r="Z33" i="41"/>
  <c r="P33" i="41"/>
  <c r="K33" i="41"/>
  <c r="I33" i="41"/>
  <c r="H33" i="41"/>
  <c r="F33" i="41"/>
  <c r="E33" i="41"/>
  <c r="D33" i="41"/>
  <c r="Z30" i="41"/>
  <c r="P30" i="41"/>
  <c r="K30" i="41"/>
  <c r="I30" i="41"/>
  <c r="H30" i="41"/>
  <c r="F30" i="41"/>
  <c r="E30" i="41"/>
  <c r="D30" i="41"/>
  <c r="Z27" i="41"/>
  <c r="P27" i="41"/>
  <c r="K27" i="41"/>
  <c r="I27" i="41"/>
  <c r="H27" i="41"/>
  <c r="F27" i="41"/>
  <c r="E27" i="41"/>
  <c r="D27" i="41"/>
  <c r="Z24" i="41"/>
  <c r="P24" i="41"/>
  <c r="K24" i="41"/>
  <c r="H24" i="41"/>
  <c r="F24" i="41"/>
  <c r="E24" i="41"/>
  <c r="D24" i="41"/>
  <c r="I4" i="41"/>
  <c r="Z3" i="41"/>
  <c r="O2" i="41"/>
  <c r="Z1" i="41"/>
  <c r="J1" i="41"/>
  <c r="Z2" i="41" s="1"/>
  <c r="F1" i="41"/>
  <c r="P66" i="43"/>
  <c r="K66" i="43"/>
  <c r="I66" i="43"/>
  <c r="H66" i="43"/>
  <c r="F66" i="43"/>
  <c r="E66" i="43"/>
  <c r="D66" i="43"/>
  <c r="Q65" i="43"/>
  <c r="Y59" i="43"/>
  <c r="Q59" i="43"/>
  <c r="P57" i="43"/>
  <c r="K57" i="43"/>
  <c r="I57" i="43"/>
  <c r="H57" i="43"/>
  <c r="F57" i="43"/>
  <c r="E57" i="43"/>
  <c r="D57" i="43"/>
  <c r="Q56" i="43"/>
  <c r="P54" i="43"/>
  <c r="K54" i="43"/>
  <c r="I54" i="43"/>
  <c r="H54" i="43"/>
  <c r="F54" i="43"/>
  <c r="E54" i="43"/>
  <c r="D54" i="43"/>
  <c r="Q53" i="43"/>
  <c r="P47" i="43"/>
  <c r="W45" i="43"/>
  <c r="W44" i="43"/>
  <c r="W43" i="43"/>
  <c r="W42" i="43"/>
  <c r="M40" i="43"/>
  <c r="AY40" i="43" s="1"/>
  <c r="J40" i="43"/>
  <c r="G40" i="43"/>
  <c r="BD40" i="43" s="1"/>
  <c r="P37" i="43"/>
  <c r="W35" i="43"/>
  <c r="W34" i="43"/>
  <c r="W33" i="43"/>
  <c r="W32" i="43"/>
  <c r="M30" i="43"/>
  <c r="AY30" i="43" s="1"/>
  <c r="J30" i="43"/>
  <c r="G30" i="43"/>
  <c r="BD30" i="43" s="1"/>
  <c r="P27" i="43"/>
  <c r="W25" i="43"/>
  <c r="W24" i="43"/>
  <c r="W23" i="43"/>
  <c r="W22" i="43"/>
  <c r="M20" i="43"/>
  <c r="AY20" i="43" s="1"/>
  <c r="J20" i="43"/>
  <c r="G20" i="43"/>
  <c r="BD20" i="43" s="1"/>
  <c r="P17" i="43"/>
  <c r="W15" i="43"/>
  <c r="W14" i="43"/>
  <c r="W13" i="43"/>
  <c r="W12" i="43"/>
  <c r="BK10" i="43"/>
  <c r="BL10" i="43" s="1"/>
  <c r="BM10" i="43" s="1"/>
  <c r="E17" i="43"/>
  <c r="M10" i="43"/>
  <c r="AY10" i="43" s="1"/>
  <c r="BA10" i="43" s="1"/>
  <c r="J10" i="43"/>
  <c r="AR10" i="43" s="1"/>
  <c r="G10" i="43"/>
  <c r="I4" i="43"/>
  <c r="Z3" i="43"/>
  <c r="O2" i="43"/>
  <c r="Z1" i="43"/>
  <c r="K1" i="43"/>
  <c r="J1" i="43"/>
  <c r="Z2" i="43" s="1"/>
  <c r="F1" i="43"/>
  <c r="P66" i="40"/>
  <c r="K66" i="40"/>
  <c r="I66" i="40"/>
  <c r="H66" i="40"/>
  <c r="F66" i="40"/>
  <c r="E66" i="40"/>
  <c r="D66" i="40"/>
  <c r="Q65" i="40"/>
  <c r="Y59" i="40"/>
  <c r="Q59" i="40"/>
  <c r="P57" i="40"/>
  <c r="K57" i="40"/>
  <c r="I57" i="40"/>
  <c r="H57" i="40"/>
  <c r="F57" i="40"/>
  <c r="E57" i="40"/>
  <c r="D57" i="40"/>
  <c r="Q56" i="40"/>
  <c r="P54" i="40"/>
  <c r="K54" i="40"/>
  <c r="I54" i="40"/>
  <c r="H54" i="40"/>
  <c r="F54" i="40"/>
  <c r="E54" i="40"/>
  <c r="D54" i="40"/>
  <c r="Q53" i="40"/>
  <c r="P47" i="40"/>
  <c r="M40" i="40"/>
  <c r="AY40" i="40" s="1"/>
  <c r="J40" i="40"/>
  <c r="AR40" i="40" s="1"/>
  <c r="G40" i="40"/>
  <c r="BD40" i="40" s="1"/>
  <c r="P37" i="40"/>
  <c r="M30" i="40"/>
  <c r="AY30" i="40" s="1"/>
  <c r="J30" i="40"/>
  <c r="AR30" i="40" s="1"/>
  <c r="G30" i="40"/>
  <c r="BD30" i="40" s="1"/>
  <c r="P27" i="40"/>
  <c r="M20" i="40"/>
  <c r="AY20" i="40" s="1"/>
  <c r="J20" i="40"/>
  <c r="AR20" i="40" s="1"/>
  <c r="G20" i="40"/>
  <c r="BD20" i="40" s="1"/>
  <c r="P17" i="40"/>
  <c r="BK10" i="40"/>
  <c r="BP10" i="40" s="1"/>
  <c r="M10" i="40"/>
  <c r="AY10" i="40" s="1"/>
  <c r="BA10" i="40" s="1"/>
  <c r="J10" i="40"/>
  <c r="G10" i="40"/>
  <c r="BD10" i="40" s="1"/>
  <c r="BF10" i="40" s="1"/>
  <c r="I4" i="40"/>
  <c r="Z3" i="40"/>
  <c r="O2" i="40"/>
  <c r="Z1" i="40"/>
  <c r="K1" i="40"/>
  <c r="J1" i="40"/>
  <c r="Z2" i="40" s="1"/>
  <c r="F1" i="40"/>
  <c r="K94" i="1"/>
  <c r="S84" i="1"/>
  <c r="N102" i="1"/>
  <c r="S74" i="1"/>
  <c r="K54" i="1"/>
  <c r="H54" i="1"/>
  <c r="L36" i="1"/>
  <c r="L31" i="1"/>
  <c r="AS8" i="41" l="1"/>
  <c r="Z8" i="41" s="1"/>
  <c r="AA8" i="41" s="1"/>
  <c r="AC8" i="41" s="1"/>
  <c r="AS9" i="41"/>
  <c r="BD10" i="43"/>
  <c r="BF10" i="43" s="1"/>
  <c r="BG10" i="43" s="1"/>
  <c r="BA30" i="43"/>
  <c r="BF20" i="43"/>
  <c r="BF30" i="43"/>
  <c r="BF40" i="43"/>
  <c r="BA20" i="43"/>
  <c r="BA40" i="43"/>
  <c r="AS30" i="43"/>
  <c r="AS40" i="43"/>
  <c r="AS10" i="43"/>
  <c r="AS20" i="43"/>
  <c r="BK2" i="307"/>
  <c r="AI54" i="41"/>
  <c r="B56" i="41" s="1"/>
  <c r="D64" i="41"/>
  <c r="C64" i="41"/>
  <c r="D17" i="43"/>
  <c r="C17" i="43"/>
  <c r="AZ30" i="40"/>
  <c r="BA30" i="40"/>
  <c r="BB30" i="40" s="1"/>
  <c r="BF30" i="40"/>
  <c r="BG30" i="40" s="1"/>
  <c r="BE30" i="40"/>
  <c r="AH30" i="40" s="1"/>
  <c r="BF20" i="40"/>
  <c r="BG20" i="40" s="1"/>
  <c r="BE20" i="40"/>
  <c r="AH20" i="40" s="1"/>
  <c r="BF40" i="40"/>
  <c r="BG40" i="40" s="1"/>
  <c r="BE40" i="40"/>
  <c r="AH40" i="40" s="1"/>
  <c r="AS10" i="40"/>
  <c r="AS30" i="40"/>
  <c r="AS40" i="40"/>
  <c r="AS20" i="40"/>
  <c r="BA20" i="40"/>
  <c r="BB20" i="40" s="1"/>
  <c r="AZ20" i="40"/>
  <c r="BA40" i="40"/>
  <c r="BB40" i="40" s="1"/>
  <c r="AZ40" i="40"/>
  <c r="AI33" i="307"/>
  <c r="O86" i="1"/>
  <c r="M31" i="1"/>
  <c r="Q31" i="1"/>
  <c r="M36" i="1"/>
  <c r="Q36" i="1"/>
  <c r="AF36" i="1" s="1"/>
  <c r="W51" i="1"/>
  <c r="AK12" i="1"/>
  <c r="H43" i="307"/>
  <c r="BN2" i="307"/>
  <c r="D43" i="307"/>
  <c r="K43" i="307"/>
  <c r="H17" i="43"/>
  <c r="BL2" i="41"/>
  <c r="Z59" i="43"/>
  <c r="AC59" i="43" s="1"/>
  <c r="AC37" i="41"/>
  <c r="AC43" i="41" s="1"/>
  <c r="AI43" i="41" s="1"/>
  <c r="B44" i="41" s="1"/>
  <c r="X10" i="40"/>
  <c r="Y10" i="40" s="1"/>
  <c r="AM10" i="40" s="1"/>
  <c r="BN2" i="41"/>
  <c r="BO2" i="307"/>
  <c r="Z59" i="40"/>
  <c r="AC59" i="40" s="1"/>
  <c r="AA23" i="307"/>
  <c r="AA25" i="307" s="1"/>
  <c r="AA26" i="307" s="1"/>
  <c r="X10" i="43"/>
  <c r="X30" i="43"/>
  <c r="Y30" i="43" s="1"/>
  <c r="BE30" i="43" s="1"/>
  <c r="I64" i="41"/>
  <c r="AC23" i="307"/>
  <c r="AC29" i="307" s="1"/>
  <c r="AI29" i="307" s="1"/>
  <c r="K64" i="41"/>
  <c r="E43" i="307"/>
  <c r="BO10" i="43"/>
  <c r="BM2" i="307"/>
  <c r="AA47" i="41"/>
  <c r="AC47" i="41" s="1"/>
  <c r="I43" i="307"/>
  <c r="BO10" i="40"/>
  <c r="BP75" i="40" s="1"/>
  <c r="H64" i="41"/>
  <c r="F64" i="41"/>
  <c r="X20" i="43"/>
  <c r="Y20" i="43" s="1"/>
  <c r="X40" i="43"/>
  <c r="Y40" i="43" s="1"/>
  <c r="AR40" i="43" s="1"/>
  <c r="Y52" i="41"/>
  <c r="H10" i="43"/>
  <c r="AC52" i="41"/>
  <c r="S104" i="1"/>
  <c r="BL10" i="40"/>
  <c r="BM10" i="40" s="1"/>
  <c r="BP10" i="43"/>
  <c r="BK2" i="41"/>
  <c r="BM2" i="41"/>
  <c r="AX10" i="43"/>
  <c r="O81" i="1"/>
  <c r="V54" i="1"/>
  <c r="BO2" i="41"/>
  <c r="AA37" i="41"/>
  <c r="F43" i="307"/>
  <c r="AG54" i="1"/>
  <c r="AD54" i="1" s="1"/>
  <c r="AH54" i="1"/>
  <c r="U14" i="1"/>
  <c r="S93" i="1"/>
  <c r="V14" i="1"/>
  <c r="O96" i="1"/>
  <c r="U54" i="1"/>
  <c r="AI54" i="1"/>
  <c r="AF54" i="1"/>
  <c r="L39" i="1"/>
  <c r="L62" i="1" s="1"/>
  <c r="N100" i="1"/>
  <c r="N104" i="1" s="1"/>
  <c r="O104" i="1" s="1"/>
  <c r="O102" i="1"/>
  <c r="L9" i="48"/>
  <c r="BB40" i="43" l="1"/>
  <c r="BG40" i="43"/>
  <c r="BE10" i="43"/>
  <c r="AH10" i="43" s="1"/>
  <c r="AT8" i="41"/>
  <c r="AF8" i="41" s="1"/>
  <c r="AT9" i="41"/>
  <c r="AF9" i="41" s="1"/>
  <c r="Z9" i="41"/>
  <c r="AA9" i="41" s="1"/>
  <c r="AC9" i="41" s="1"/>
  <c r="M39" i="1"/>
  <c r="AO20" i="43"/>
  <c r="AE20" i="43" s="1"/>
  <c r="AK20" i="43"/>
  <c r="AV20" i="43"/>
  <c r="BC20" i="43"/>
  <c r="AM20" i="43"/>
  <c r="AD20" i="43" s="1"/>
  <c r="AQ20" i="43"/>
  <c r="AX20" i="43"/>
  <c r="AP20" i="43"/>
  <c r="BG20" i="43"/>
  <c r="AR30" i="43"/>
  <c r="AT40" i="43"/>
  <c r="Z40" i="43"/>
  <c r="AA40" i="43" s="1"/>
  <c r="AC40" i="43" s="1"/>
  <c r="AZ20" i="43"/>
  <c r="BB30" i="43"/>
  <c r="BC30" i="43"/>
  <c r="AH30" i="43" s="1"/>
  <c r="AV30" i="43"/>
  <c r="AQ30" i="43"/>
  <c r="AM30" i="43"/>
  <c r="AD30" i="43" s="1"/>
  <c r="AO30" i="43"/>
  <c r="AE30" i="43" s="1"/>
  <c r="AK30" i="43"/>
  <c r="AX30" i="43"/>
  <c r="AP30" i="43"/>
  <c r="AR20" i="43"/>
  <c r="AT30" i="43"/>
  <c r="Z30" i="43"/>
  <c r="AA30" i="43" s="1"/>
  <c r="AC30" i="43" s="1"/>
  <c r="BB20" i="43"/>
  <c r="BG30" i="43"/>
  <c r="AZ30" i="43"/>
  <c r="AO40" i="43"/>
  <c r="AE40" i="43" s="1"/>
  <c r="AK40" i="43"/>
  <c r="BC40" i="43"/>
  <c r="AM40" i="43"/>
  <c r="AD40" i="43" s="1"/>
  <c r="AV40" i="43"/>
  <c r="AQ40" i="43"/>
  <c r="AX40" i="43"/>
  <c r="AP40" i="43"/>
  <c r="AT20" i="43"/>
  <c r="Z20" i="43"/>
  <c r="AA20" i="43" s="1"/>
  <c r="AC20" i="43" s="1"/>
  <c r="AZ40" i="43"/>
  <c r="BE40" i="43"/>
  <c r="BE20" i="43"/>
  <c r="L13" i="48"/>
  <c r="AI30" i="40"/>
  <c r="B37" i="40" s="1"/>
  <c r="AD10" i="40"/>
  <c r="AM74" i="40"/>
  <c r="AZ10" i="43"/>
  <c r="AG10" i="43" s="1"/>
  <c r="AI40" i="40"/>
  <c r="B47" i="40" s="1"/>
  <c r="AG20" i="40"/>
  <c r="AI20" i="40"/>
  <c r="B27" i="40" s="1"/>
  <c r="Z20" i="40"/>
  <c r="AA20" i="40" s="1"/>
  <c r="AT20" i="40"/>
  <c r="AF20" i="40" s="1"/>
  <c r="AT40" i="40"/>
  <c r="AF40" i="40" s="1"/>
  <c r="Z40" i="40"/>
  <c r="AA40" i="40" s="1"/>
  <c r="AT30" i="40"/>
  <c r="AF30" i="40" s="1"/>
  <c r="Z30" i="40"/>
  <c r="AA30" i="40" s="1"/>
  <c r="AG40" i="40"/>
  <c r="AG30" i="40"/>
  <c r="AV10" i="40"/>
  <c r="BC10" i="40"/>
  <c r="AQ10" i="40"/>
  <c r="AO10" i="40"/>
  <c r="AR10" i="40"/>
  <c r="AK10" i="40"/>
  <c r="Z10" i="40"/>
  <c r="AA10" i="40" s="1"/>
  <c r="S96" i="1"/>
  <c r="S98" i="1" s="1"/>
  <c r="L86" i="1"/>
  <c r="AF31" i="1"/>
  <c r="Q39" i="1"/>
  <c r="W12" i="1"/>
  <c r="AJ51" i="1"/>
  <c r="X51" i="1"/>
  <c r="AC54" i="41"/>
  <c r="AA54" i="41"/>
  <c r="BI56" i="41" s="1"/>
  <c r="AT10" i="40"/>
  <c r="AZ10" i="40"/>
  <c r="BP75" i="43"/>
  <c r="AP10" i="40"/>
  <c r="AC39" i="41"/>
  <c r="AC40" i="41" s="1"/>
  <c r="AC44" i="41" s="1"/>
  <c r="BB10" i="40"/>
  <c r="BG10" i="40"/>
  <c r="AX10" i="40"/>
  <c r="D47" i="40"/>
  <c r="BE10" i="40"/>
  <c r="D27" i="40"/>
  <c r="AC25" i="307"/>
  <c r="AI25" i="307" s="1"/>
  <c r="AA29" i="307"/>
  <c r="BI29" i="307" s="1"/>
  <c r="D37" i="40"/>
  <c r="BI25" i="307"/>
  <c r="K96" i="1"/>
  <c r="L96" i="1" s="1"/>
  <c r="E27" i="40"/>
  <c r="AA43" i="41"/>
  <c r="BI43" i="41" s="1"/>
  <c r="AA39" i="41"/>
  <c r="BB10" i="43"/>
  <c r="AI10" i="43" s="1"/>
  <c r="E47" i="40"/>
  <c r="U55" i="1"/>
  <c r="AC54" i="1" s="1"/>
  <c r="K80" i="1"/>
  <c r="AT10" i="43"/>
  <c r="AF10" i="43" s="1"/>
  <c r="O100" i="1"/>
  <c r="E37" i="43" l="1"/>
  <c r="AI40" i="43"/>
  <c r="B47" i="43" s="1"/>
  <c r="AI30" i="43"/>
  <c r="B37" i="43" s="1"/>
  <c r="F17" i="43"/>
  <c r="AX74" i="43"/>
  <c r="AH20" i="43"/>
  <c r="AF20" i="43"/>
  <c r="AG20" i="43"/>
  <c r="AH40" i="43"/>
  <c r="AF30" i="43"/>
  <c r="AG30" i="43"/>
  <c r="AG40" i="43"/>
  <c r="AI20" i="43"/>
  <c r="B27" i="43" s="1"/>
  <c r="AF40" i="43"/>
  <c r="AI43" i="307"/>
  <c r="Z10" i="43"/>
  <c r="AA10" i="43" s="1"/>
  <c r="AM74" i="43"/>
  <c r="D27" i="43"/>
  <c r="C27" i="43"/>
  <c r="E27" i="43"/>
  <c r="D47" i="43"/>
  <c r="C47" i="43"/>
  <c r="H20" i="43"/>
  <c r="D37" i="43"/>
  <c r="C37" i="43"/>
  <c r="D17" i="40"/>
  <c r="C17" i="40"/>
  <c r="AC20" i="40"/>
  <c r="AC10" i="40"/>
  <c r="AC40" i="40"/>
  <c r="AC30" i="40"/>
  <c r="Y47" i="40"/>
  <c r="E17" i="40"/>
  <c r="K10" i="40"/>
  <c r="K20" i="43"/>
  <c r="H40" i="43"/>
  <c r="AI10" i="40"/>
  <c r="B17" i="40" s="1"/>
  <c r="F17" i="40"/>
  <c r="K20" i="40"/>
  <c r="BE74" i="40"/>
  <c r="H40" i="40"/>
  <c r="F47" i="40"/>
  <c r="I17" i="40"/>
  <c r="AE10" i="40"/>
  <c r="AE74" i="40" s="1"/>
  <c r="K27" i="40"/>
  <c r="BC74" i="40"/>
  <c r="H30" i="43"/>
  <c r="AI39" i="41"/>
  <c r="AH10" i="40"/>
  <c r="AO74" i="40"/>
  <c r="E74" i="40" s="1"/>
  <c r="E37" i="40"/>
  <c r="AZ74" i="43"/>
  <c r="H17" i="40"/>
  <c r="H37" i="43"/>
  <c r="AR74" i="43"/>
  <c r="AF10" i="40"/>
  <c r="K17" i="40"/>
  <c r="H10" i="40"/>
  <c r="H20" i="40"/>
  <c r="AG10" i="40"/>
  <c r="K30" i="43"/>
  <c r="H47" i="40"/>
  <c r="Z49" i="40"/>
  <c r="K40" i="40"/>
  <c r="BG74" i="40"/>
  <c r="I47" i="40"/>
  <c r="F27" i="40"/>
  <c r="H37" i="40"/>
  <c r="BB74" i="40"/>
  <c r="AO74" i="43"/>
  <c r="E74" i="43" s="1"/>
  <c r="AE74" i="43"/>
  <c r="AP74" i="40"/>
  <c r="F37" i="43"/>
  <c r="AK74" i="43"/>
  <c r="BG74" i="43"/>
  <c r="K30" i="40"/>
  <c r="AV74" i="40"/>
  <c r="BE74" i="43"/>
  <c r="AP74" i="43"/>
  <c r="I47" i="43"/>
  <c r="H27" i="40"/>
  <c r="AR74" i="40"/>
  <c r="K47" i="40"/>
  <c r="E47" i="43"/>
  <c r="K37" i="43"/>
  <c r="AC26" i="307"/>
  <c r="AC30" i="307" s="1"/>
  <c r="F27" i="43"/>
  <c r="H30" i="40"/>
  <c r="K37" i="40"/>
  <c r="S76" i="1"/>
  <c r="S78" i="1" s="1"/>
  <c r="S86" i="1" s="1"/>
  <c r="BP2" i="307"/>
  <c r="BQ2" i="307" s="1"/>
  <c r="BV2" i="307" s="1"/>
  <c r="AK74" i="40"/>
  <c r="AZ74" i="40"/>
  <c r="K27" i="43"/>
  <c r="AQ74" i="40"/>
  <c r="AQ74" i="43"/>
  <c r="F37" i="40"/>
  <c r="AX74" i="40"/>
  <c r="AA30" i="307"/>
  <c r="AA33" i="307" s="1"/>
  <c r="K40" i="43"/>
  <c r="AV74" i="43"/>
  <c r="BC74" i="43"/>
  <c r="F47" i="43"/>
  <c r="H47" i="43"/>
  <c r="H27" i="43"/>
  <c r="BB74" i="43"/>
  <c r="K47" i="43"/>
  <c r="Y48" i="41"/>
  <c r="Y49" i="41" s="1"/>
  <c r="BI39" i="41"/>
  <c r="AA40" i="41"/>
  <c r="AA44" i="41" s="1"/>
  <c r="Y47" i="43"/>
  <c r="K17" i="43"/>
  <c r="B17" i="43"/>
  <c r="K10" i="43"/>
  <c r="Z17" i="40"/>
  <c r="AT74" i="43"/>
  <c r="I17" i="43"/>
  <c r="Z37" i="40"/>
  <c r="I27" i="40"/>
  <c r="AT74" i="40"/>
  <c r="I37" i="40"/>
  <c r="Z27" i="43"/>
  <c r="I27" i="43"/>
  <c r="I37" i="43"/>
  <c r="AG74" i="43" l="1"/>
  <c r="AI64" i="41"/>
  <c r="B40" i="41"/>
  <c r="AD74" i="43"/>
  <c r="Z37" i="43"/>
  <c r="D74" i="43"/>
  <c r="C73" i="43"/>
  <c r="D74" i="40"/>
  <c r="C74" i="40"/>
  <c r="AD74" i="40"/>
  <c r="K81" i="1"/>
  <c r="S88" i="1"/>
  <c r="Z49" i="43"/>
  <c r="AC33" i="307"/>
  <c r="AH74" i="43"/>
  <c r="H74" i="43"/>
  <c r="BK3" i="40"/>
  <c r="AH74" i="40"/>
  <c r="AI74" i="40"/>
  <c r="B74" i="40" s="1"/>
  <c r="Z27" i="40"/>
  <c r="Z50" i="40"/>
  <c r="Y64" i="40" s="1"/>
  <c r="AC66" i="40" s="1"/>
  <c r="AG74" i="40"/>
  <c r="F74" i="40"/>
  <c r="H74" i="40"/>
  <c r="K74" i="40"/>
  <c r="BK3" i="43"/>
  <c r="BM3" i="43"/>
  <c r="BM3" i="40"/>
  <c r="Z50" i="43"/>
  <c r="BS2" i="307"/>
  <c r="BI35" i="307"/>
  <c r="BI43" i="307" s="1"/>
  <c r="F74" i="43"/>
  <c r="Z17" i="43"/>
  <c r="AI74" i="43"/>
  <c r="B74" i="43" s="1"/>
  <c r="K74" i="43"/>
  <c r="AC10" i="43"/>
  <c r="BI64" i="41"/>
  <c r="BP2" i="41"/>
  <c r="AA49" i="41"/>
  <c r="AC49" i="41"/>
  <c r="AC50" i="41" s="1"/>
  <c r="AC64" i="41" s="1"/>
  <c r="BT2" i="41" s="1"/>
  <c r="I74" i="43"/>
  <c r="BL3" i="43"/>
  <c r="BL3" i="40"/>
  <c r="I74" i="40"/>
  <c r="AF74" i="40"/>
  <c r="AC49" i="40"/>
  <c r="AC50" i="40"/>
  <c r="AC50" i="43"/>
  <c r="AF74" i="43"/>
  <c r="AC49" i="43"/>
  <c r="BQ2" i="41" l="1"/>
  <c r="B64" i="41"/>
  <c r="L81" i="1"/>
  <c r="L98" i="1" s="1"/>
  <c r="L102" i="1"/>
  <c r="Z51" i="43"/>
  <c r="Z56" i="43" s="1"/>
  <c r="L68" i="1"/>
  <c r="L64" i="1"/>
  <c r="L66" i="1" s="1"/>
  <c r="AJ54" i="1"/>
  <c r="AK51" i="1"/>
  <c r="AK54" i="1" s="1"/>
  <c r="AC43" i="307"/>
  <c r="BT2" i="307" s="1"/>
  <c r="Z51" i="40"/>
  <c r="Z56" i="40" s="1"/>
  <c r="BI56" i="40" s="1"/>
  <c r="Y64" i="43"/>
  <c r="AC66" i="43" s="1"/>
  <c r="AA43" i="307"/>
  <c r="Z66" i="40"/>
  <c r="BI66" i="40" s="1"/>
  <c r="BO3" i="40" s="1"/>
  <c r="AA50" i="41"/>
  <c r="AA64" i="41" s="1"/>
  <c r="BH49" i="41"/>
  <c r="BH64" i="41" s="1"/>
  <c r="BR2" i="41" s="1"/>
  <c r="AC51" i="40"/>
  <c r="AC56" i="40" s="1"/>
  <c r="AC51" i="43"/>
  <c r="X12" i="1" l="1"/>
  <c r="BV2" i="41"/>
  <c r="Z12" i="1"/>
  <c r="Y12" i="1"/>
  <c r="Z53" i="43"/>
  <c r="A74" i="43" s="1"/>
  <c r="L70" i="1"/>
  <c r="Z53" i="40"/>
  <c r="Z54" i="40" s="1"/>
  <c r="Z57" i="40" s="1"/>
  <c r="Z66" i="43"/>
  <c r="BI66" i="43" s="1"/>
  <c r="BO3" i="43" s="1"/>
  <c r="BS2" i="41"/>
  <c r="AC53" i="40"/>
  <c r="AC54" i="40" s="1"/>
  <c r="AC57" i="40" s="1"/>
  <c r="AC56" i="43"/>
  <c r="AC53" i="43"/>
  <c r="AC54" i="43" s="1"/>
  <c r="BI56" i="43"/>
  <c r="Z51" i="1" l="1"/>
  <c r="M91" i="1"/>
  <c r="K113" i="1"/>
  <c r="BI53" i="43"/>
  <c r="BI74" i="43" s="1"/>
  <c r="Y60" i="43"/>
  <c r="Y61" i="43" s="1"/>
  <c r="Z61" i="43" s="1"/>
  <c r="Z54" i="43"/>
  <c r="Z57" i="43" s="1"/>
  <c r="L100" i="1"/>
  <c r="M100" i="1" s="1"/>
  <c r="M86" i="1"/>
  <c r="M96" i="1"/>
  <c r="M102" i="1"/>
  <c r="M81" i="1"/>
  <c r="BI53" i="40"/>
  <c r="BI74" i="40" s="1"/>
  <c r="Y60" i="40"/>
  <c r="Y61" i="40" s="1"/>
  <c r="Z61" i="40" s="1"/>
  <c r="Z62" i="40" s="1"/>
  <c r="Z74" i="40" s="1"/>
  <c r="A74" i="40"/>
  <c r="AC57" i="43"/>
  <c r="L104" i="1" l="1"/>
  <c r="M104" i="1" s="1"/>
  <c r="AC61" i="43"/>
  <c r="AC62" i="43" s="1"/>
  <c r="AC74" i="43" s="1"/>
  <c r="BR3" i="43" s="1"/>
  <c r="AC61" i="40"/>
  <c r="AC62" i="40" s="1"/>
  <c r="AC74" i="40" s="1"/>
  <c r="BR3" i="40" s="1"/>
  <c r="BH61" i="40"/>
  <c r="BH74" i="40" s="1"/>
  <c r="BN3" i="40" s="1"/>
  <c r="BQ3" i="40" s="1"/>
  <c r="Z62" i="43"/>
  <c r="Z74" i="43" s="1"/>
  <c r="BH61" i="43"/>
  <c r="BH74" i="43" s="1"/>
  <c r="BN3" i="43" s="1"/>
  <c r="BQ3" i="43" s="1"/>
  <c r="K112" i="1" l="1"/>
  <c r="K11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Mathew Dowall</author>
  </authors>
  <commentList>
    <comment ref="N23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Mathew Dowall: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To customise which rows are shown in "Trade Summary", Add or remove "|" from this column</t>
        </r>
        <r>
          <rPr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Mathew Dowall</author>
  </authors>
  <commentList>
    <comment ref="N37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Mathew Dowall: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To customise which rows are shown in "Trade Summary", Add or remove "|" from this column</t>
        </r>
        <r>
          <rPr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Dowall</author>
  </authors>
  <commentList>
    <comment ref="H90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Chris Dowall:</t>
        </r>
        <r>
          <rPr>
            <sz val="9"/>
            <color indexed="81"/>
            <rFont val="Tahoma"/>
            <family val="2"/>
          </rPr>
          <t xml:space="preserve">
Currently sheet doesn’t calculate  Supertvision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<sst xmlns="http://schemas.openxmlformats.org/spreadsheetml/2006/main" count="1212" uniqueCount="287">
  <si>
    <t>AMALGAMATED BUILDERS LTD</t>
  </si>
  <si>
    <t>JOB NAME:</t>
  </si>
  <si>
    <t>DATE:</t>
  </si>
  <si>
    <t>QUOTATION DETAILS</t>
  </si>
  <si>
    <t>PROGRESS CLAIM DETAILS</t>
  </si>
  <si>
    <t>SUMS</t>
  </si>
  <si>
    <t>LABOUR</t>
  </si>
  <si>
    <t>MATERIAL</t>
  </si>
  <si>
    <t>SUB</t>
  </si>
  <si>
    <t>TOTAL</t>
  </si>
  <si>
    <t>CLAIM</t>
  </si>
  <si>
    <t>SHEET NO</t>
  </si>
  <si>
    <t>Fixings&gt;&gt;</t>
  </si>
  <si>
    <t>NOTES</t>
  </si>
  <si>
    <t>SUM</t>
  </si>
  <si>
    <t>DESCRIPTION</t>
  </si>
  <si>
    <t>UNIT</t>
  </si>
  <si>
    <t>QUANTITY</t>
  </si>
  <si>
    <t>COMBINED</t>
  </si>
  <si>
    <t>RATE</t>
  </si>
  <si>
    <t>CONSTANT</t>
  </si>
  <si>
    <t>PROFIT</t>
  </si>
  <si>
    <t>FIX RATE</t>
  </si>
  <si>
    <t>PROFIT RATE</t>
  </si>
  <si>
    <t>FIX TOTAL</t>
  </si>
  <si>
    <t>PROFIT TOT</t>
  </si>
  <si>
    <t>DIMENSIONS</t>
  </si>
  <si>
    <t>L</t>
  </si>
  <si>
    <t>W</t>
  </si>
  <si>
    <t>D</t>
  </si>
  <si>
    <t>X</t>
  </si>
  <si>
    <t>RATE COSTINGS</t>
  </si>
  <si>
    <t>UNIT TOTAL</t>
  </si>
  <si>
    <t>NET TOTAL</t>
  </si>
  <si>
    <t>QUOTE NO:</t>
  </si>
  <si>
    <t>ls</t>
  </si>
  <si>
    <t>PROFIT LUMP</t>
  </si>
  <si>
    <t>SUM TOTAL</t>
  </si>
  <si>
    <t>LUMP SUM</t>
  </si>
  <si>
    <t>End Of Section</t>
  </si>
  <si>
    <t/>
  </si>
  <si>
    <t>Waste</t>
  </si>
  <si>
    <t>SUM RATE</t>
  </si>
  <si>
    <t>LOAD RATE</t>
  </si>
  <si>
    <t>LOAD TOTAL</t>
  </si>
  <si>
    <t>LOADING</t>
  </si>
  <si>
    <t>LOAD HRS</t>
  </si>
  <si>
    <t>Note: Net totals in this claim section include any loadings</t>
  </si>
  <si>
    <t>BASE HRS</t>
  </si>
  <si>
    <t>BASE RATE</t>
  </si>
  <si>
    <t>BASE TOTAL</t>
  </si>
  <si>
    <t>Description</t>
  </si>
  <si>
    <t>|</t>
  </si>
  <si>
    <t>LOAD</t>
  </si>
  <si>
    <t>LABR</t>
  </si>
  <si>
    <t>MAT</t>
  </si>
  <si>
    <t>Consultants Instructions - Cross reference</t>
  </si>
  <si>
    <t>Cost</t>
  </si>
  <si>
    <t>AD</t>
  </si>
  <si>
    <t>AV</t>
  </si>
  <si>
    <t>Architects Directions (AD)</t>
  </si>
  <si>
    <t>Imply</t>
  </si>
  <si>
    <t>Ref</t>
  </si>
  <si>
    <t>Structural Engineers Instructions (ST)</t>
  </si>
  <si>
    <t>Mechanical Instructions (M)</t>
  </si>
  <si>
    <t>Plumbing &amp; Drainage Instructions (P)</t>
  </si>
  <si>
    <t>Electrical Instructions (EL)</t>
  </si>
  <si>
    <t>General Instructions (G)</t>
  </si>
  <si>
    <t>LOADRATE</t>
  </si>
  <si>
    <t>PROFITRATE</t>
  </si>
  <si>
    <t xml:space="preserve"> T</t>
  </si>
  <si>
    <t>Q</t>
  </si>
  <si>
    <t>SwitchMarginOff=0 On=1&gt;&gt;</t>
  </si>
  <si>
    <t>Margin/Rate &amp; Loadings&gt;</t>
  </si>
  <si>
    <t>BUDGET</t>
  </si>
  <si>
    <t>HRS TOTAL</t>
  </si>
  <si>
    <t xml:space="preserve">Labour </t>
  </si>
  <si>
    <t>00.00.0000</t>
  </si>
  <si>
    <t>XXXX</t>
  </si>
  <si>
    <t>( JOB NAME)</t>
  </si>
  <si>
    <t xml:space="preserve">Subcontractor Net Costs </t>
  </si>
  <si>
    <t>Materials Net Cost</t>
  </si>
  <si>
    <t xml:space="preserve">Net Plant Costs </t>
  </si>
  <si>
    <t>Net Labour Costs</t>
  </si>
  <si>
    <t xml:space="preserve">On Site </t>
  </si>
  <si>
    <t>Off Site</t>
  </si>
  <si>
    <t>VARIATION SUMMARY SHEET</t>
  </si>
  <si>
    <t>1</t>
  </si>
  <si>
    <t>SUBS</t>
  </si>
  <si>
    <t>MATS</t>
  </si>
  <si>
    <t>SUPER</t>
  </si>
  <si>
    <t>MARGIN</t>
  </si>
  <si>
    <t>PROCESS</t>
  </si>
  <si>
    <t>DEDUCT</t>
  </si>
  <si>
    <t>DATE</t>
  </si>
  <si>
    <t>Processing</t>
  </si>
  <si>
    <t>Processing fee</t>
  </si>
  <si>
    <t>MATERIALS</t>
  </si>
  <si>
    <t>JOB NO:</t>
  </si>
  <si>
    <t>AMALGAMATED BUILDERS LTD VARIATION FILE</t>
  </si>
  <si>
    <t>VARIATION COST</t>
  </si>
  <si>
    <t>(Description)</t>
  </si>
  <si>
    <t>ABL</t>
  </si>
  <si>
    <t>ADD</t>
  </si>
  <si>
    <t>VO VALUE</t>
  </si>
  <si>
    <t>CLAIMED</t>
  </si>
  <si>
    <t>WITH</t>
  </si>
  <si>
    <t>TYPE</t>
  </si>
  <si>
    <t>PAID</t>
  </si>
  <si>
    <t>CONTINGENCY SUMS</t>
  </si>
  <si>
    <t>PC (NET) SUMS/RATES</t>
  </si>
  <si>
    <t>PROVISIONAL MEASURES/RATES</t>
  </si>
  <si>
    <t>VARIATION TOTAL COSTS</t>
  </si>
  <si>
    <t>FINANCIAL ANALYSIS REPORT</t>
  </si>
  <si>
    <t>TENDER</t>
  </si>
  <si>
    <t>CONTRACT VALUE</t>
  </si>
  <si>
    <t>Budget Hours</t>
  </si>
  <si>
    <t>Total</t>
  </si>
  <si>
    <t>Used hours</t>
  </si>
  <si>
    <t>Tender Rate</t>
  </si>
  <si>
    <t xml:space="preserve">Month </t>
  </si>
  <si>
    <t>hours claimed to date</t>
  </si>
  <si>
    <t>variation Hrs to date</t>
  </si>
  <si>
    <t>Total hrs claimed to date</t>
  </si>
  <si>
    <t>hours used</t>
  </si>
  <si>
    <t>contract hours remaining (yet to be claimed)</t>
  </si>
  <si>
    <t>actual hours remaining</t>
  </si>
  <si>
    <t>Labour Cost per hour</t>
  </si>
  <si>
    <t>Contract hours</t>
  </si>
  <si>
    <t>Contract</t>
  </si>
  <si>
    <t>ABL REF</t>
  </si>
  <si>
    <t>Hours</t>
  </si>
  <si>
    <t>AMALGAMATED BUILDERS LTD VARIATION SUMMARY SHEET</t>
  </si>
  <si>
    <t>CI REF:</t>
  </si>
  <si>
    <t>(CI REF)</t>
  </si>
  <si>
    <t>ESTIMATE FINAL ACCOUNT</t>
  </si>
  <si>
    <t>SUMS ADJUSTMENTS (Column L=0, Column K=1)</t>
  </si>
  <si>
    <t>CONTRACT VARIATIONS (Column L=0, Column K=1)</t>
  </si>
  <si>
    <t>ADD DIRECT CHARGES (X VO's) (Column L=0, Column K=1)</t>
  </si>
  <si>
    <t>ESTIMATE FINAL CHARGES</t>
  </si>
  <si>
    <t>ESTIMATE FINAL COSTS</t>
  </si>
  <si>
    <t>Variation labour Charge per hour</t>
  </si>
  <si>
    <t>Variation</t>
  </si>
  <si>
    <t>Variation hours</t>
  </si>
  <si>
    <t>Lost (+) /Gained (-) hours</t>
  </si>
  <si>
    <t>Hours to complete</t>
  </si>
  <si>
    <t>Variations</t>
  </si>
  <si>
    <t>Total Hours Required</t>
  </si>
  <si>
    <t>Loss (+) /Gain (-)</t>
  </si>
  <si>
    <t>Loss (-) /Gain (+)</t>
  </si>
  <si>
    <t xml:space="preserve">SUBCONTRACTORS </t>
  </si>
  <si>
    <t>% Loss/Gain</t>
  </si>
  <si>
    <t>Budget Materials</t>
  </si>
  <si>
    <t>Estimated Total Materials</t>
  </si>
  <si>
    <t>ESTIMATE FINAL COST</t>
  </si>
  <si>
    <t>Loss (-) / Gain (+)</t>
  </si>
  <si>
    <t>GROSS MARGIN</t>
  </si>
  <si>
    <t>SUBCLM Value</t>
  </si>
  <si>
    <t>SUMS ADJUSTMENT SUMMARY</t>
  </si>
  <si>
    <t>X VARIATIONS SUMARY</t>
  </si>
  <si>
    <t>00.00.000</t>
  </si>
  <si>
    <t>RFI</t>
  </si>
  <si>
    <t>(RFI NUM)</t>
  </si>
  <si>
    <t>(SUB CI REF)</t>
  </si>
  <si>
    <t>SUB CI REF:</t>
  </si>
  <si>
    <t>Date</t>
  </si>
  <si>
    <t>(Title)</t>
  </si>
  <si>
    <t>VO NUM</t>
  </si>
  <si>
    <t>TOTAL:</t>
  </si>
  <si>
    <t>CARRIED TO SUBCLM:</t>
  </si>
  <si>
    <t>Subcontractor</t>
  </si>
  <si>
    <r>
      <t xml:space="preserve">Time Spent Processing Cost </t>
    </r>
    <r>
      <rPr>
        <sz val="12"/>
        <color rgb="FF000000"/>
        <rFont val="Arial"/>
        <family val="2"/>
      </rPr>
      <t>(9.3.14)</t>
    </r>
  </si>
  <si>
    <t>CLAINED TO DATE</t>
  </si>
  <si>
    <r>
      <t xml:space="preserve">Nominated On-site overheads </t>
    </r>
    <r>
      <rPr>
        <sz val="12"/>
        <color rgb="FF000000"/>
        <rFont val="Arial"/>
        <family val="2"/>
      </rPr>
      <t>(9.3.9)</t>
    </r>
  </si>
  <si>
    <r>
      <t xml:space="preserve">Nominated Off-site overheads </t>
    </r>
    <r>
      <rPr>
        <sz val="12"/>
        <color rgb="FF000000"/>
        <rFont val="Arial"/>
        <family val="2"/>
      </rPr>
      <t>(9.3.10)</t>
    </r>
  </si>
  <si>
    <t>BOX E:</t>
  </si>
  <si>
    <t>BOX G:</t>
  </si>
  <si>
    <t>BOX I:</t>
  </si>
  <si>
    <t>BOX N:</t>
  </si>
  <si>
    <t>Number of days Extension of Time to the Due Date of Completion</t>
  </si>
  <si>
    <t>WD's at</t>
  </si>
  <si>
    <t>Per Working Day</t>
  </si>
  <si>
    <t>BOX K:</t>
  </si>
  <si>
    <t xml:space="preserve">Day rate times days extension </t>
  </si>
  <si>
    <t>Less On &amp; Off Site Overheads &amp; Profit from above (Boxes E &amp; G) (9.3.10)</t>
  </si>
  <si>
    <t>Difference if possitive added</t>
  </si>
  <si>
    <t>Subtotal including Extension of time costs</t>
  </si>
  <si>
    <t xml:space="preserve">SUBTOTALS OF DEDUCTIONS </t>
  </si>
  <si>
    <t>SUBTOTAL OF ADDITIONS:</t>
  </si>
  <si>
    <t>BOX B:</t>
  </si>
  <si>
    <t>Part Base value:</t>
  </si>
  <si>
    <t>Difference between Base and aggregate from above</t>
  </si>
  <si>
    <t>Processing Costs</t>
  </si>
  <si>
    <t>EOT</t>
  </si>
  <si>
    <t>MARGINS</t>
  </si>
  <si>
    <t>TO DATE</t>
  </si>
  <si>
    <t>Takeoff</t>
  </si>
  <si>
    <t>CLAIMED TO DATE</t>
  </si>
  <si>
    <t xml:space="preserve">Time Spent Processing Cost </t>
  </si>
  <si>
    <t>NZIA</t>
  </si>
  <si>
    <t>Action</t>
  </si>
  <si>
    <t>By</t>
  </si>
  <si>
    <t>CTD Val</t>
  </si>
  <si>
    <t>VO Val</t>
  </si>
  <si>
    <t>VARIATION ACTIVITY</t>
  </si>
  <si>
    <t>LS PROFIT</t>
  </si>
  <si>
    <t>Offsite Overheads / Margin</t>
  </si>
  <si>
    <t>Onsite Overheads</t>
  </si>
  <si>
    <t>OVERHEADS RECOVERY</t>
  </si>
  <si>
    <t>DEDUCTIONS</t>
  </si>
  <si>
    <t xml:space="preserve">DEDUCTIONS </t>
  </si>
  <si>
    <t>ADDITIONS</t>
  </si>
  <si>
    <t xml:space="preserve">ADDITIONS </t>
  </si>
  <si>
    <t>ABL REF:</t>
  </si>
  <si>
    <t>SUB CONSULT REF</t>
  </si>
  <si>
    <t>CONSULT REF</t>
  </si>
  <si>
    <t>(Job Nme)</t>
  </si>
  <si>
    <t>PROFIT RECOVERY</t>
  </si>
  <si>
    <t>CONS REF:</t>
  </si>
  <si>
    <t>PRV01</t>
  </si>
  <si>
    <t>(Desc)</t>
  </si>
  <si>
    <t>CON01</t>
  </si>
  <si>
    <t>PC01</t>
  </si>
  <si>
    <t>REM01</t>
  </si>
  <si>
    <t>PRV02</t>
  </si>
  <si>
    <t>&lt; Switch Processing On / Off</t>
  </si>
  <si>
    <t>&lt; Switch Margin On / Off</t>
  </si>
  <si>
    <t>Total Hours</t>
  </si>
  <si>
    <t>Remaining</t>
  </si>
  <si>
    <t>Claimed</t>
  </si>
  <si>
    <t>Cashflow</t>
  </si>
  <si>
    <t>QS REPORT</t>
  </si>
  <si>
    <t>Key Time Indicators:</t>
  </si>
  <si>
    <t>Budget signed off by Manager?</t>
  </si>
  <si>
    <t>QA Documents signed off by Manager?</t>
  </si>
  <si>
    <t>Cashflow signed off by Manager?</t>
  </si>
  <si>
    <t>Manpower levels signed off by Manager?</t>
  </si>
  <si>
    <t>CPU Required prior to start?</t>
  </si>
  <si>
    <t>Project start Date</t>
  </si>
  <si>
    <t>Project scheduled completion date</t>
  </si>
  <si>
    <t>Maintenance period</t>
  </si>
  <si>
    <t>Warranties due date</t>
  </si>
  <si>
    <t>As-builts due date</t>
  </si>
  <si>
    <t>Approved EOT claims</t>
  </si>
  <si>
    <t>EOT Claims yet to be approved</t>
  </si>
  <si>
    <t>Likely completion date</t>
  </si>
  <si>
    <t>Code of Compliance  due date</t>
  </si>
  <si>
    <t>Code of Compliance planned application date</t>
  </si>
  <si>
    <t>Reasons for delay</t>
  </si>
  <si>
    <t>Financial Key Indicators:</t>
  </si>
  <si>
    <t>Budget contract value including sums</t>
  </si>
  <si>
    <t>Budget overhead recovery</t>
  </si>
  <si>
    <t>Budget profit recovery</t>
  </si>
  <si>
    <t>Budget gross recovery</t>
  </si>
  <si>
    <t>Projected contract value including sums</t>
  </si>
  <si>
    <t>Projected profit recovery</t>
  </si>
  <si>
    <t>Projected gross recovery</t>
  </si>
  <si>
    <t>Projected overhead recovery</t>
  </si>
  <si>
    <t>Cashflow:</t>
  </si>
  <si>
    <t>Claim No.</t>
  </si>
  <si>
    <t>Total hrs used to date</t>
  </si>
  <si>
    <t>mm/yyyy</t>
  </si>
  <si>
    <t>Projected Claim Value</t>
  </si>
  <si>
    <t>Final Retention Payment</t>
  </si>
  <si>
    <t>Estimated Final Charges</t>
  </si>
  <si>
    <t>Diff</t>
  </si>
  <si>
    <t>Variation Hrs Used</t>
  </si>
  <si>
    <t>CLAIM:</t>
  </si>
  <si>
    <t>dd/mm/yyyy</t>
  </si>
  <si>
    <t>(SPARE)</t>
  </si>
  <si>
    <t>CON02</t>
  </si>
  <si>
    <t>PC02</t>
  </si>
  <si>
    <t>Refer Above</t>
  </si>
  <si>
    <t>REM02</t>
  </si>
  <si>
    <t xml:space="preserve">Difference </t>
  </si>
  <si>
    <t>DIFF</t>
  </si>
  <si>
    <t>SITE MANAGEMENT</t>
  </si>
  <si>
    <t>Budget Site Management</t>
  </si>
  <si>
    <t>Estimated Total Site Management</t>
  </si>
  <si>
    <t>`</t>
  </si>
  <si>
    <t>"(SUB CI REF)"</t>
  </si>
  <si>
    <t>"(RFI NUM)"</t>
  </si>
  <si>
    <t>"(CI REF)"</t>
  </si>
  <si>
    <t>"ABL"</t>
  </si>
  <si>
    <t>"|"</t>
  </si>
  <si>
    <t>T</t>
  </si>
  <si>
    <t>Sheet having 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</si>
</sst>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.00_);_(&quot;$&quot;* \(#,##0.00\);_(&quot;$&quot;* &quot;-&quot;??_);_(@_)"/>
    <numFmt numFmtId="165" formatCode="&quot;$&quot;#,##0.00"/>
    <numFmt numFmtId="166" formatCode="0.000"/>
    <numFmt numFmtId="167" formatCode="0.0"/>
    <numFmt numFmtId="168" formatCode="#,##0.0"/>
    <numFmt numFmtId="169" formatCode="#,##0.000"/>
    <numFmt numFmtId="170" formatCode="0.0%"/>
    <numFmt numFmtId="171" formatCode="#,##0.00_ ;[Red]\-#,##0.00\ "/>
    <numFmt numFmtId="172" formatCode="0.00_ ;[Red]\-0.00\ "/>
    <numFmt numFmtId="173" formatCode="0_ ;[Red]\-0\ "/>
  </numFmts>
  <fonts count="34" x14ac:knownFonts="1">
    <font>
      <sz val="12"/>
      <name val="Arial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26"/>
      <name val="Arial"/>
      <family val="2"/>
    </font>
    <font>
      <b/>
      <sz val="12"/>
      <color indexed="12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2"/>
      <color indexed="12"/>
      <name val="Arial"/>
      <family val="2"/>
    </font>
    <font>
      <sz val="8"/>
      <color indexed="12"/>
      <name val="Arial"/>
      <family val="2"/>
    </font>
    <font>
      <sz val="12"/>
      <color rgb="FF000000"/>
      <name val="Arial"/>
      <family val="2"/>
    </font>
    <font>
      <b/>
      <sz val="12"/>
      <color rgb="FF0000FF"/>
      <name val="Arial"/>
      <family val="2"/>
    </font>
    <font>
      <sz val="12"/>
      <name val="Arial"/>
      <family val="2"/>
    </font>
    <font>
      <sz val="12"/>
      <color rgb="FF0000FF"/>
      <name val="Arial"/>
      <family val="2"/>
    </font>
    <font>
      <sz val="10"/>
      <name val="Arial"/>
      <family val="2"/>
    </font>
    <font>
      <i/>
      <sz val="12"/>
      <name val="Arial"/>
      <family val="2"/>
    </font>
    <font>
      <b/>
      <u/>
      <sz val="12"/>
      <name val="Arial"/>
      <family val="2"/>
    </font>
    <font>
      <b/>
      <i/>
      <sz val="12"/>
      <name val="Arial"/>
      <family val="2"/>
    </font>
    <font>
      <sz val="12"/>
      <color rgb="FF0033CC"/>
      <name val="Arial"/>
      <family val="2"/>
    </font>
    <font>
      <b/>
      <sz val="12"/>
      <color rgb="FF0033CC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sz val="11"/>
      <name val="Arial"/>
      <family val="2"/>
    </font>
    <font>
      <b/>
      <sz val="12"/>
      <color rgb="FF000000"/>
      <name val="Arial"/>
      <family val="2"/>
    </font>
    <font>
      <sz val="12"/>
      <name val="Arial"/>
      <family val="2"/>
    </font>
    <font>
      <sz val="12"/>
      <color indexed="81"/>
      <name val="Tahoma"/>
      <family val="2"/>
    </font>
    <font>
      <sz val="12"/>
      <color theme="1"/>
      <name val="Arial"/>
      <family val="2"/>
    </font>
    <font>
      <b/>
      <u/>
      <sz val="12"/>
      <color rgb="FF0000FF"/>
      <name val="Arial"/>
      <family val="2"/>
    </font>
    <font>
      <sz val="24"/>
      <name val="Arial"/>
      <family val="2"/>
    </font>
    <font>
      <b/>
      <sz val="12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47">
    <border>
      <left/>
      <right/>
      <top/>
      <bottom/>
      <diagonal/>
    </border>
    <border>
      <left/>
      <right/>
      <top style="thick">
        <color indexed="8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indexed="8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dotted">
        <color indexed="64"/>
      </bottom>
      <diagonal/>
    </border>
    <border>
      <left style="thick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ck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ck">
        <color indexed="64"/>
      </right>
      <top style="thick">
        <color indexed="64"/>
      </top>
      <bottom style="dotted">
        <color indexed="64"/>
      </bottom>
      <diagonal/>
    </border>
    <border>
      <left style="dotted">
        <color indexed="64"/>
      </left>
      <right style="thick">
        <color indexed="64"/>
      </right>
      <top style="thick">
        <color indexed="64"/>
      </top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tted">
        <color indexed="64"/>
      </right>
      <top style="dotted">
        <color indexed="64"/>
      </top>
      <bottom style="thick">
        <color indexed="64"/>
      </bottom>
      <diagonal/>
    </border>
    <border>
      <left style="thick">
        <color indexed="64"/>
      </left>
      <right style="dotted">
        <color indexed="64"/>
      </right>
      <top/>
      <bottom style="dotted">
        <color indexed="64"/>
      </bottom>
      <diagonal/>
    </border>
    <border>
      <left style="thick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/>
    </border>
    <border>
      <left style="thick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thick">
        <color indexed="8"/>
      </bottom>
      <diagonal/>
    </border>
  </borders>
  <cellStyleXfs count="8">
    <xf numFmtId="1" fontId="0" fillId="0" borderId="0"/>
    <xf numFmtId="0" fontId="2" fillId="0" borderId="0"/>
    <xf numFmtId="0" fontId="2" fillId="0" borderId="0"/>
    <xf numFmtId="0" fontId="30" fillId="0" borderId="0" applyNumberFormat="0" applyFill="0" applyBorder="0" applyAlignment="0" applyProtection="0">
      <alignment vertical="top"/>
      <protection locked="0"/>
    </xf>
    <xf numFmtId="9" fontId="15" fillId="0" borderId="0" applyFont="0" applyFill="0" applyBorder="0" applyAlignment="0" applyProtection="0"/>
    <xf numFmtId="0" fontId="17" fillId="0" borderId="0"/>
    <xf numFmtId="1" fontId="2" fillId="0" borderId="0" applyNumberFormat="0" applyFill="0" applyBorder="0" applyAlignment="0" applyProtection="0"/>
    <xf numFmtId="164" fontId="28" fillId="0" borderId="0" applyFont="0" applyFill="0" applyBorder="0" applyAlignment="0" applyProtection="0"/>
  </cellStyleXfs>
  <cellXfs count="788">
    <xf numFmtId="0" fontId="2" fillId="0" borderId="0" xfId="0" applyNumberFormat="1" applyFont="1"/>
    <xf numFmtId="1" fontId="1" fillId="2" borderId="0" xfId="0" applyFont="1" applyFill="1" applyAlignment="1">
      <alignment horizontal="right"/>
    </xf>
    <xf numFmtId="165" fontId="2" fillId="2" borderId="0" xfId="1" applyNumberFormat="1" applyFill="1"/>
    <xf numFmtId="10" fontId="2" fillId="2" borderId="0" xfId="1" applyNumberFormat="1" applyFill="1"/>
    <xf numFmtId="1" fontId="1" fillId="2" borderId="0" xfId="2" applyNumberFormat="1" applyFont="1" applyFill="1" applyAlignment="1">
      <alignment horizontal="fill"/>
    </xf>
    <xf numFmtId="0" fontId="1" fillId="2" borderId="0" xfId="2" applyFont="1" applyFill="1"/>
    <xf numFmtId="0" fontId="2" fillId="0" borderId="0" xfId="2"/>
    <xf numFmtId="1" fontId="1" fillId="2" borderId="0" xfId="2" applyNumberFormat="1" applyFont="1" applyFill="1"/>
    <xf numFmtId="0" fontId="1" fillId="2" borderId="0" xfId="2" applyFont="1" applyFill="1" applyAlignment="1">
      <alignment horizontal="right"/>
    </xf>
    <xf numFmtId="15" fontId="1" fillId="2" borderId="0" xfId="2" applyNumberFormat="1" applyFont="1" applyFill="1" applyAlignment="1">
      <alignment horizontal="right"/>
    </xf>
    <xf numFmtId="1" fontId="2" fillId="2" borderId="0" xfId="2" applyNumberFormat="1" applyFill="1" applyAlignment="1">
      <alignment horizontal="fill"/>
    </xf>
    <xf numFmtId="0" fontId="1" fillId="2" borderId="0" xfId="2" applyFont="1" applyFill="1" applyAlignment="1">
      <alignment horizontal="center"/>
    </xf>
    <xf numFmtId="1" fontId="2" fillId="2" borderId="1" xfId="2" applyNumberFormat="1" applyFill="1" applyBorder="1" applyAlignment="1">
      <alignment horizontal="fill"/>
    </xf>
    <xf numFmtId="166" fontId="2" fillId="2" borderId="0" xfId="2" applyNumberFormat="1" applyFill="1" applyAlignment="1">
      <alignment horizontal="fill"/>
    </xf>
    <xf numFmtId="0" fontId="2" fillId="3" borderId="0" xfId="1" applyFill="1"/>
    <xf numFmtId="1" fontId="2" fillId="2" borderId="0" xfId="1" applyNumberFormat="1" applyFill="1"/>
    <xf numFmtId="1" fontId="1" fillId="4" borderId="0" xfId="2" applyNumberFormat="1" applyFont="1" applyFill="1" applyAlignment="1">
      <alignment horizontal="fill"/>
    </xf>
    <xf numFmtId="0" fontId="1" fillId="4" borderId="0" xfId="2" applyFont="1" applyFill="1" applyAlignment="1">
      <alignment horizontal="centerContinuous"/>
    </xf>
    <xf numFmtId="0" fontId="1" fillId="4" borderId="0" xfId="1" applyFont="1" applyFill="1" applyAlignment="1">
      <alignment horizontal="centerContinuous"/>
    </xf>
    <xf numFmtId="0" fontId="2" fillId="2" borderId="1" xfId="2" applyFill="1" applyBorder="1"/>
    <xf numFmtId="1" fontId="2" fillId="0" borderId="0" xfId="0" applyFont="1"/>
    <xf numFmtId="2" fontId="2" fillId="2" borderId="0" xfId="2" applyNumberFormat="1" applyFill="1"/>
    <xf numFmtId="1" fontId="9" fillId="0" borderId="0" xfId="0" applyFont="1" applyProtection="1">
      <protection locked="0"/>
    </xf>
    <xf numFmtId="4" fontId="9" fillId="0" borderId="0" xfId="0" applyNumberFormat="1" applyFont="1" applyProtection="1">
      <protection locked="0"/>
    </xf>
    <xf numFmtId="0" fontId="2" fillId="0" borderId="0" xfId="0" applyNumberFormat="1" applyFont="1" applyAlignment="1">
      <alignment horizontal="center"/>
    </xf>
    <xf numFmtId="0" fontId="11" fillId="2" borderId="0" xfId="2" applyFont="1" applyFill="1"/>
    <xf numFmtId="1" fontId="2" fillId="0" borderId="0" xfId="0" quotePrefix="1" applyFont="1"/>
    <xf numFmtId="1" fontId="2" fillId="9" borderId="0" xfId="2" applyNumberFormat="1" applyFill="1" applyAlignment="1">
      <alignment horizontal="center"/>
    </xf>
    <xf numFmtId="0" fontId="2" fillId="9" borderId="0" xfId="2" applyFill="1" applyAlignment="1">
      <alignment horizontal="center"/>
    </xf>
    <xf numFmtId="0" fontId="2" fillId="9" borderId="1" xfId="2" applyFill="1" applyBorder="1" applyAlignment="1">
      <alignment horizontal="fill"/>
    </xf>
    <xf numFmtId="0" fontId="2" fillId="9" borderId="0" xfId="2" applyFill="1" applyAlignment="1">
      <alignment horizontal="fill"/>
    </xf>
    <xf numFmtId="1" fontId="2" fillId="6" borderId="0" xfId="2" applyNumberFormat="1" applyFill="1" applyAlignment="1">
      <alignment horizontal="center"/>
    </xf>
    <xf numFmtId="1" fontId="2" fillId="6" borderId="0" xfId="2" applyNumberFormat="1" applyFill="1" applyAlignment="1">
      <alignment horizontal="fill"/>
    </xf>
    <xf numFmtId="2" fontId="2" fillId="6" borderId="0" xfId="2" applyNumberFormat="1" applyFill="1"/>
    <xf numFmtId="1" fontId="2" fillId="10" borderId="0" xfId="2" applyNumberFormat="1" applyFill="1"/>
    <xf numFmtId="0" fontId="1" fillId="10" borderId="0" xfId="2" applyFont="1" applyFill="1"/>
    <xf numFmtId="0" fontId="1" fillId="10" borderId="0" xfId="2" applyFont="1" applyFill="1" applyAlignment="1">
      <alignment horizontal="right"/>
    </xf>
    <xf numFmtId="0" fontId="1" fillId="10" borderId="0" xfId="2" applyFont="1" applyFill="1" applyAlignment="1">
      <alignment horizontal="left"/>
    </xf>
    <xf numFmtId="15" fontId="1" fillId="10" borderId="0" xfId="2" applyNumberFormat="1" applyFont="1" applyFill="1" applyAlignment="1">
      <alignment horizontal="right"/>
    </xf>
    <xf numFmtId="1" fontId="2" fillId="10" borderId="1" xfId="2" applyNumberFormat="1" applyFill="1" applyBorder="1" applyAlignment="1">
      <alignment horizontal="fill"/>
    </xf>
    <xf numFmtId="1" fontId="2" fillId="10" borderId="0" xfId="2" applyNumberFormat="1" applyFill="1" applyAlignment="1">
      <alignment horizontal="fill"/>
    </xf>
    <xf numFmtId="0" fontId="2" fillId="6" borderId="0" xfId="2" applyFill="1"/>
    <xf numFmtId="0" fontId="2" fillId="0" borderId="0" xfId="1"/>
    <xf numFmtId="10" fontId="2" fillId="0" borderId="0" xfId="0" applyNumberFormat="1" applyFont="1"/>
    <xf numFmtId="1" fontId="2" fillId="7" borderId="0" xfId="2" applyNumberFormat="1" applyFill="1" applyAlignment="1">
      <alignment horizontal="center"/>
    </xf>
    <xf numFmtId="1" fontId="2" fillId="7" borderId="0" xfId="2" applyNumberFormat="1" applyFill="1" applyAlignment="1">
      <alignment horizontal="fill"/>
    </xf>
    <xf numFmtId="0" fontId="2" fillId="7" borderId="1" xfId="2" applyFill="1" applyBorder="1" applyAlignment="1">
      <alignment horizontal="fill"/>
    </xf>
    <xf numFmtId="0" fontId="2" fillId="7" borderId="0" xfId="2" applyFill="1" applyAlignment="1">
      <alignment horizontal="fill"/>
    </xf>
    <xf numFmtId="1" fontId="2" fillId="9" borderId="0" xfId="2" applyNumberFormat="1" applyFill="1" applyAlignment="1">
      <alignment horizontal="fill"/>
    </xf>
    <xf numFmtId="0" fontId="2" fillId="6" borderId="1" xfId="2" applyFill="1" applyBorder="1" applyAlignment="1">
      <alignment horizontal="fill"/>
    </xf>
    <xf numFmtId="0" fontId="2" fillId="6" borderId="0" xfId="2" applyFill="1" applyAlignment="1">
      <alignment horizontal="fill"/>
    </xf>
    <xf numFmtId="1" fontId="2" fillId="10" borderId="0" xfId="2" applyNumberFormat="1" applyFill="1" applyAlignment="1">
      <alignment horizontal="center"/>
    </xf>
    <xf numFmtId="166" fontId="2" fillId="10" borderId="1" xfId="2" applyNumberFormat="1" applyFill="1" applyBorder="1" applyAlignment="1">
      <alignment horizontal="fill"/>
    </xf>
    <xf numFmtId="166" fontId="2" fillId="9" borderId="1" xfId="2" applyNumberFormat="1" applyFill="1" applyBorder="1" applyAlignment="1">
      <alignment horizontal="fill"/>
    </xf>
    <xf numFmtId="166" fontId="2" fillId="7" borderId="1" xfId="2" applyNumberFormat="1" applyFill="1" applyBorder="1" applyAlignment="1">
      <alignment horizontal="fill"/>
    </xf>
    <xf numFmtId="166" fontId="2" fillId="6" borderId="1" xfId="2" applyNumberFormat="1" applyFill="1" applyBorder="1" applyAlignment="1">
      <alignment horizontal="fill"/>
    </xf>
    <xf numFmtId="1" fontId="2" fillId="10" borderId="0" xfId="1" applyNumberFormat="1" applyFill="1" applyAlignment="1">
      <alignment horizontal="center"/>
    </xf>
    <xf numFmtId="0" fontId="2" fillId="10" borderId="1" xfId="2" applyFill="1" applyBorder="1" applyAlignment="1">
      <alignment horizontal="fill"/>
    </xf>
    <xf numFmtId="0" fontId="2" fillId="10" borderId="0" xfId="2" applyFill="1" applyAlignment="1">
      <alignment horizontal="fill"/>
    </xf>
    <xf numFmtId="1" fontId="2" fillId="7" borderId="0" xfId="1" applyNumberFormat="1" applyFill="1" applyAlignment="1">
      <alignment horizontal="center"/>
    </xf>
    <xf numFmtId="1" fontId="2" fillId="6" borderId="0" xfId="1" applyNumberFormat="1" applyFill="1" applyAlignment="1">
      <alignment horizontal="center"/>
    </xf>
    <xf numFmtId="1" fontId="2" fillId="9" borderId="0" xfId="1" applyNumberFormat="1" applyFill="1" applyAlignment="1">
      <alignment horizontal="center"/>
    </xf>
    <xf numFmtId="1" fontId="2" fillId="11" borderId="0" xfId="1" applyNumberFormat="1" applyFill="1" applyAlignment="1">
      <alignment horizontal="center"/>
    </xf>
    <xf numFmtId="0" fontId="2" fillId="11" borderId="1" xfId="2" applyFill="1" applyBorder="1" applyAlignment="1">
      <alignment horizontal="fill"/>
    </xf>
    <xf numFmtId="0" fontId="2" fillId="11" borderId="0" xfId="2" applyFill="1" applyAlignment="1">
      <alignment horizontal="fill"/>
    </xf>
    <xf numFmtId="0" fontId="2" fillId="11" borderId="0" xfId="2" applyFill="1" applyAlignment="1">
      <alignment horizontal="center"/>
    </xf>
    <xf numFmtId="1" fontId="2" fillId="11" borderId="0" xfId="2" applyNumberFormat="1" applyFill="1" applyAlignment="1">
      <alignment horizontal="center"/>
    </xf>
    <xf numFmtId="1" fontId="2" fillId="11" borderId="1" xfId="2" applyNumberFormat="1" applyFill="1" applyBorder="1" applyAlignment="1">
      <alignment horizontal="fill"/>
    </xf>
    <xf numFmtId="1" fontId="2" fillId="11" borderId="0" xfId="2" applyNumberFormat="1" applyFill="1" applyAlignment="1">
      <alignment horizontal="fill"/>
    </xf>
    <xf numFmtId="1" fontId="2" fillId="0" borderId="0" xfId="0" applyFont="1" applyAlignment="1">
      <alignment horizontal="center"/>
    </xf>
    <xf numFmtId="1" fontId="2" fillId="13" borderId="0" xfId="2" applyNumberFormat="1" applyFill="1" applyAlignment="1">
      <alignment horizontal="center"/>
    </xf>
    <xf numFmtId="4" fontId="2" fillId="6" borderId="0" xfId="2" applyNumberFormat="1" applyFill="1"/>
    <xf numFmtId="0" fontId="2" fillId="11" borderId="1" xfId="2" applyFill="1" applyBorder="1"/>
    <xf numFmtId="0" fontId="2" fillId="12" borderId="0" xfId="2" applyFill="1" applyAlignment="1">
      <alignment horizontal="center"/>
    </xf>
    <xf numFmtId="166" fontId="2" fillId="12" borderId="1" xfId="2" applyNumberFormat="1" applyFill="1" applyBorder="1" applyAlignment="1">
      <alignment horizontal="fill"/>
    </xf>
    <xf numFmtId="166" fontId="2" fillId="13" borderId="1" xfId="2" applyNumberFormat="1" applyFill="1" applyBorder="1" applyAlignment="1">
      <alignment horizontal="fill"/>
    </xf>
    <xf numFmtId="4" fontId="2" fillId="10" borderId="0" xfId="2" applyNumberFormat="1" applyFill="1"/>
    <xf numFmtId="4" fontId="2" fillId="7" borderId="0" xfId="2" applyNumberFormat="1" applyFill="1"/>
    <xf numFmtId="4" fontId="2" fillId="9" borderId="0" xfId="2" applyNumberFormat="1" applyFill="1"/>
    <xf numFmtId="4" fontId="2" fillId="11" borderId="0" xfId="2" applyNumberFormat="1" applyFill="1"/>
    <xf numFmtId="4" fontId="1" fillId="10" borderId="0" xfId="2" applyNumberFormat="1" applyFont="1" applyFill="1"/>
    <xf numFmtId="4" fontId="2" fillId="12" borderId="0" xfId="2" applyNumberFormat="1" applyFill="1"/>
    <xf numFmtId="4" fontId="2" fillId="13" borderId="0" xfId="2" applyNumberFormat="1" applyFill="1"/>
    <xf numFmtId="1" fontId="1" fillId="0" borderId="1" xfId="2" applyNumberFormat="1" applyFont="1" applyBorder="1"/>
    <xf numFmtId="10" fontId="11" fillId="0" borderId="0" xfId="0" applyNumberFormat="1" applyFont="1" applyAlignment="1" applyProtection="1">
      <alignment horizontal="right" vertical="top"/>
      <protection locked="0"/>
    </xf>
    <xf numFmtId="168" fontId="11" fillId="0" borderId="0" xfId="2" applyNumberFormat="1" applyFont="1" applyAlignment="1" applyProtection="1">
      <alignment vertical="top"/>
      <protection locked="0"/>
    </xf>
    <xf numFmtId="167" fontId="11" fillId="0" borderId="0" xfId="2" applyNumberFormat="1" applyFont="1" applyAlignment="1" applyProtection="1">
      <alignment vertical="top"/>
      <protection locked="0"/>
    </xf>
    <xf numFmtId="49" fontId="12" fillId="0" borderId="0" xfId="2" applyNumberFormat="1" applyFont="1" applyAlignment="1" applyProtection="1">
      <alignment horizontal="left" vertical="top" wrapText="1"/>
      <protection locked="0"/>
    </xf>
    <xf numFmtId="2" fontId="2" fillId="0" borderId="0" xfId="2" applyNumberFormat="1"/>
    <xf numFmtId="1" fontId="2" fillId="0" borderId="0" xfId="1" applyNumberFormat="1"/>
    <xf numFmtId="1" fontId="2" fillId="0" borderId="1" xfId="2" applyNumberFormat="1" applyBorder="1"/>
    <xf numFmtId="166" fontId="2" fillId="0" borderId="0" xfId="2" applyNumberFormat="1" applyAlignment="1">
      <alignment vertical="top"/>
    </xf>
    <xf numFmtId="2" fontId="1" fillId="0" borderId="0" xfId="2" applyNumberFormat="1" applyFont="1"/>
    <xf numFmtId="4" fontId="2" fillId="0" borderId="0" xfId="2" applyNumberFormat="1"/>
    <xf numFmtId="0" fontId="2" fillId="0" borderId="0" xfId="2" applyAlignment="1">
      <alignment vertical="top"/>
    </xf>
    <xf numFmtId="0" fontId="1" fillId="0" borderId="0" xfId="2" applyFont="1" applyAlignment="1">
      <alignment horizontal="right" wrapText="1"/>
    </xf>
    <xf numFmtId="0" fontId="1" fillId="0" borderId="0" xfId="2" applyFont="1" applyAlignment="1">
      <alignment wrapText="1"/>
    </xf>
    <xf numFmtId="1" fontId="1" fillId="10" borderId="0" xfId="2" applyNumberFormat="1" applyFont="1" applyFill="1" applyAlignment="1">
      <alignment horizontal="center"/>
    </xf>
    <xf numFmtId="0" fontId="2" fillId="0" borderId="0" xfId="2" applyProtection="1">
      <protection locked="0"/>
    </xf>
    <xf numFmtId="166" fontId="2" fillId="0" borderId="0" xfId="2" applyNumberFormat="1" applyAlignment="1" applyProtection="1">
      <alignment vertical="top"/>
      <protection locked="0"/>
    </xf>
    <xf numFmtId="167" fontId="2" fillId="0" borderId="0" xfId="2" applyNumberFormat="1" applyAlignment="1" applyProtection="1">
      <alignment horizontal="right" vertical="top"/>
      <protection locked="0"/>
    </xf>
    <xf numFmtId="0" fontId="2" fillId="0" borderId="0" xfId="0" applyNumberFormat="1" applyFont="1" applyAlignment="1" applyProtection="1">
      <alignment horizontal="right" vertical="top"/>
      <protection locked="0"/>
    </xf>
    <xf numFmtId="167" fontId="2" fillId="0" borderId="0" xfId="0" applyNumberFormat="1" applyFont="1" applyAlignment="1" applyProtection="1">
      <alignment horizontal="right" vertical="top"/>
      <protection locked="0"/>
    </xf>
    <xf numFmtId="167" fontId="2" fillId="0" borderId="0" xfId="2" applyNumberFormat="1" applyAlignment="1" applyProtection="1">
      <alignment horizontal="center"/>
      <protection locked="0"/>
    </xf>
    <xf numFmtId="169" fontId="2" fillId="0" borderId="0" xfId="2" applyNumberFormat="1" applyAlignment="1" applyProtection="1">
      <alignment horizontal="right"/>
      <protection locked="0"/>
    </xf>
    <xf numFmtId="167" fontId="1" fillId="0" borderId="0" xfId="2" applyNumberFormat="1" applyFont="1" applyAlignment="1" applyProtection="1">
      <alignment horizontal="right" vertical="top"/>
      <protection locked="0"/>
    </xf>
    <xf numFmtId="167" fontId="1" fillId="0" borderId="0" xfId="2" applyNumberFormat="1" applyFont="1" applyAlignment="1" applyProtection="1">
      <alignment horizontal="center"/>
      <protection locked="0"/>
    </xf>
    <xf numFmtId="168" fontId="4" fillId="0" borderId="0" xfId="2" applyNumberFormat="1" applyFont="1" applyProtection="1">
      <protection locked="0"/>
    </xf>
    <xf numFmtId="0" fontId="4" fillId="0" borderId="0" xfId="2" applyFont="1" applyProtection="1">
      <protection locked="0"/>
    </xf>
    <xf numFmtId="0" fontId="4" fillId="5" borderId="0" xfId="0" applyNumberFormat="1" applyFont="1" applyFill="1" applyProtection="1">
      <protection locked="0"/>
    </xf>
    <xf numFmtId="1" fontId="14" fillId="0" borderId="0" xfId="0" applyFont="1" applyAlignment="1" applyProtection="1">
      <alignment horizontal="right" vertical="center"/>
      <protection locked="0"/>
    </xf>
    <xf numFmtId="1" fontId="14" fillId="0" borderId="0" xfId="0" applyFont="1" applyAlignment="1" applyProtection="1">
      <alignment horizontal="right"/>
      <protection locked="0"/>
    </xf>
    <xf numFmtId="1" fontId="14" fillId="0" borderId="0" xfId="0" applyFont="1" applyAlignment="1" applyProtection="1">
      <alignment horizontal="left" vertical="center"/>
      <protection locked="0"/>
    </xf>
    <xf numFmtId="4" fontId="16" fillId="0" borderId="0" xfId="0" applyNumberFormat="1" applyFont="1" applyProtection="1">
      <protection locked="0"/>
    </xf>
    <xf numFmtId="0" fontId="1" fillId="14" borderId="0" xfId="2" applyFont="1" applyFill="1" applyAlignment="1">
      <alignment horizontal="centerContinuous"/>
    </xf>
    <xf numFmtId="0" fontId="1" fillId="14" borderId="0" xfId="2" applyFont="1" applyFill="1"/>
    <xf numFmtId="1" fontId="2" fillId="14" borderId="0" xfId="2" applyNumberFormat="1" applyFill="1"/>
    <xf numFmtId="0" fontId="2" fillId="14" borderId="0" xfId="2" applyFill="1"/>
    <xf numFmtId="4" fontId="1" fillId="0" borderId="0" xfId="2" applyNumberFormat="1" applyFont="1"/>
    <xf numFmtId="4" fontId="1" fillId="0" borderId="0" xfId="2" applyNumberFormat="1" applyFont="1" applyAlignment="1">
      <alignment vertical="top"/>
    </xf>
    <xf numFmtId="1" fontId="5" fillId="0" borderId="0" xfId="0" applyFont="1"/>
    <xf numFmtId="0" fontId="2" fillId="0" borderId="0" xfId="0" applyNumberFormat="1" applyFont="1" applyAlignment="1">
      <alignment vertical="center"/>
    </xf>
    <xf numFmtId="1" fontId="2" fillId="0" borderId="0" xfId="0" applyFont="1" applyAlignment="1">
      <alignment vertical="center"/>
    </xf>
    <xf numFmtId="4" fontId="2" fillId="0" borderId="0" xfId="0" applyNumberFormat="1" applyFont="1"/>
    <xf numFmtId="4" fontId="16" fillId="0" borderId="0" xfId="0" applyNumberFormat="1" applyFont="1"/>
    <xf numFmtId="3" fontId="2" fillId="0" borderId="0" xfId="0" applyNumberFormat="1" applyFont="1"/>
    <xf numFmtId="1" fontId="1" fillId="0" borderId="0" xfId="0" applyFont="1"/>
    <xf numFmtId="4" fontId="1" fillId="0" borderId="0" xfId="0" applyNumberFormat="1" applyFont="1"/>
    <xf numFmtId="1" fontId="2" fillId="0" borderId="0" xfId="0" applyFont="1" applyAlignment="1">
      <alignment horizontal="fill"/>
    </xf>
    <xf numFmtId="1" fontId="10" fillId="0" borderId="0" xfId="0" applyFont="1" applyAlignment="1" applyProtection="1">
      <alignment horizontal="left"/>
      <protection locked="0"/>
    </xf>
    <xf numFmtId="3" fontId="14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left"/>
    </xf>
    <xf numFmtId="0" fontId="14" fillId="0" borderId="0" xfId="0" applyNumberFormat="1" applyFont="1" applyAlignment="1">
      <alignment horizontal="left"/>
    </xf>
    <xf numFmtId="1" fontId="1" fillId="0" borderId="0" xfId="0" applyFont="1" applyAlignment="1">
      <alignment horizontal="right"/>
    </xf>
    <xf numFmtId="2" fontId="2" fillId="0" borderId="0" xfId="0" applyNumberFormat="1" applyFont="1"/>
    <xf numFmtId="0" fontId="5" fillId="0" borderId="0" xfId="0" applyNumberFormat="1" applyFont="1" applyAlignment="1">
      <alignment horizontal="right"/>
    </xf>
    <xf numFmtId="0" fontId="14" fillId="0" borderId="0" xfId="0" applyNumberFormat="1" applyFont="1" applyAlignment="1">
      <alignment horizontal="right"/>
    </xf>
    <xf numFmtId="1" fontId="1" fillId="0" borderId="0" xfId="0" applyFont="1" applyAlignment="1">
      <alignment horizontal="left"/>
    </xf>
    <xf numFmtId="2" fontId="14" fillId="0" borderId="0" xfId="0" applyNumberFormat="1" applyFont="1" applyAlignment="1">
      <alignment horizontal="right"/>
    </xf>
    <xf numFmtId="1" fontId="2" fillId="0" borderId="0" xfId="0" applyFont="1" applyAlignment="1">
      <alignment horizontal="right"/>
    </xf>
    <xf numFmtId="49" fontId="9" fillId="0" borderId="0" xfId="0" applyNumberFormat="1" applyFont="1" applyProtection="1">
      <protection locked="0"/>
    </xf>
    <xf numFmtId="1" fontId="9" fillId="0" borderId="0" xfId="0" applyFont="1" applyAlignment="1" applyProtection="1">
      <alignment horizontal="center"/>
      <protection locked="0"/>
    </xf>
    <xf numFmtId="2" fontId="9" fillId="0" borderId="0" xfId="0" applyNumberFormat="1" applyFont="1" applyProtection="1">
      <protection locked="0"/>
    </xf>
    <xf numFmtId="10" fontId="9" fillId="0" borderId="0" xfId="0" applyNumberFormat="1" applyFont="1" applyProtection="1">
      <protection locked="0"/>
    </xf>
    <xf numFmtId="2" fontId="11" fillId="0" borderId="0" xfId="0" applyNumberFormat="1" applyFont="1" applyProtection="1">
      <protection locked="0"/>
    </xf>
    <xf numFmtId="1" fontId="11" fillId="0" borderId="0" xfId="0" applyFont="1" applyProtection="1">
      <protection locked="0"/>
    </xf>
    <xf numFmtId="9" fontId="11" fillId="0" borderId="0" xfId="4" applyFont="1" applyFill="1" applyBorder="1" applyAlignment="1" applyProtection="1">
      <protection locked="0"/>
    </xf>
    <xf numFmtId="9" fontId="2" fillId="0" borderId="0" xfId="0" applyNumberFormat="1" applyFont="1"/>
    <xf numFmtId="10" fontId="2" fillId="0" borderId="0" xfId="0" applyNumberFormat="1" applyFont="1" applyAlignment="1">
      <alignment vertical="center"/>
    </xf>
    <xf numFmtId="165" fontId="2" fillId="0" borderId="0" xfId="0" applyNumberFormat="1" applyFont="1"/>
    <xf numFmtId="1" fontId="2" fillId="0" borderId="0" xfId="2" applyNumberFormat="1" applyAlignment="1">
      <alignment vertical="center"/>
    </xf>
    <xf numFmtId="1" fontId="1" fillId="0" borderId="0" xfId="0" applyFont="1" applyAlignment="1">
      <alignment horizontal="right" vertical="center"/>
    </xf>
    <xf numFmtId="1" fontId="1" fillId="0" borderId="0" xfId="0" applyFont="1" applyAlignment="1">
      <alignment vertical="center"/>
    </xf>
    <xf numFmtId="1" fontId="2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1" fontId="2" fillId="0" borderId="0" xfId="2" applyNumberFormat="1"/>
    <xf numFmtId="0" fontId="2" fillId="0" borderId="0" xfId="2" applyAlignment="1">
      <alignment horizontal="center"/>
    </xf>
    <xf numFmtId="9" fontId="16" fillId="0" borderId="0" xfId="0" applyNumberFormat="1" applyFont="1" applyAlignment="1">
      <alignment horizontal="center" vertical="center"/>
    </xf>
    <xf numFmtId="165" fontId="16" fillId="0" borderId="0" xfId="0" applyNumberFormat="1" applyFont="1" applyAlignment="1">
      <alignment horizontal="center"/>
    </xf>
    <xf numFmtId="10" fontId="16" fillId="0" borderId="0" xfId="0" applyNumberFormat="1" applyFont="1" applyAlignment="1">
      <alignment horizontal="center"/>
    </xf>
    <xf numFmtId="2" fontId="2" fillId="0" borderId="0" xfId="2" applyNumberFormat="1" applyAlignment="1">
      <alignment vertical="top"/>
    </xf>
    <xf numFmtId="0" fontId="2" fillId="2" borderId="3" xfId="2" applyFill="1" applyBorder="1"/>
    <xf numFmtId="0" fontId="2" fillId="11" borderId="3" xfId="2" applyFill="1" applyBorder="1" applyAlignment="1">
      <alignment horizontal="center"/>
    </xf>
    <xf numFmtId="0" fontId="2" fillId="10" borderId="3" xfId="2" applyFill="1" applyBorder="1" applyAlignment="1">
      <alignment horizontal="center"/>
    </xf>
    <xf numFmtId="0" fontId="2" fillId="9" borderId="3" xfId="2" applyFill="1" applyBorder="1" applyAlignment="1">
      <alignment horizontal="center"/>
    </xf>
    <xf numFmtId="0" fontId="2" fillId="12" borderId="3" xfId="2" applyFill="1" applyBorder="1" applyAlignment="1">
      <alignment horizontal="center"/>
    </xf>
    <xf numFmtId="1" fontId="2" fillId="7" borderId="3" xfId="2" applyNumberFormat="1" applyFill="1" applyBorder="1" applyAlignment="1">
      <alignment horizontal="center"/>
    </xf>
    <xf numFmtId="1" fontId="2" fillId="13" borderId="3" xfId="2" applyNumberFormat="1" applyFill="1" applyBorder="1" applyAlignment="1">
      <alignment horizontal="center"/>
    </xf>
    <xf numFmtId="1" fontId="2" fillId="6" borderId="3" xfId="2" applyNumberFormat="1" applyFill="1" applyBorder="1" applyAlignment="1">
      <alignment horizontal="center"/>
    </xf>
    <xf numFmtId="1" fontId="1" fillId="0" borderId="0" xfId="2" applyNumberFormat="1" applyFont="1"/>
    <xf numFmtId="4" fontId="1" fillId="11" borderId="0" xfId="2" applyNumberFormat="1" applyFont="1" applyFill="1"/>
    <xf numFmtId="0" fontId="18" fillId="0" borderId="3" xfId="2" applyFont="1" applyBorder="1"/>
    <xf numFmtId="1" fontId="1" fillId="2" borderId="0" xfId="2" applyNumberFormat="1" applyFont="1" applyFill="1" applyAlignment="1">
      <alignment horizontal="right"/>
    </xf>
    <xf numFmtId="1" fontId="11" fillId="0" borderId="0" xfId="0" applyFont="1" applyAlignment="1" applyProtection="1">
      <alignment vertical="top"/>
      <protection locked="0"/>
    </xf>
    <xf numFmtId="4" fontId="11" fillId="0" borderId="0" xfId="0" applyNumberFormat="1" applyFont="1" applyAlignment="1" applyProtection="1">
      <alignment horizontal="right"/>
      <protection locked="0"/>
    </xf>
    <xf numFmtId="1" fontId="11" fillId="0" borderId="0" xfId="0" applyFont="1" applyAlignment="1" applyProtection="1">
      <alignment horizontal="center"/>
      <protection locked="0"/>
    </xf>
    <xf numFmtId="1" fontId="11" fillId="0" borderId="0" xfId="0" applyFont="1" applyAlignment="1" applyProtection="1">
      <alignment wrapText="1"/>
      <protection locked="0"/>
    </xf>
    <xf numFmtId="4" fontId="8" fillId="0" borderId="0" xfId="0" applyNumberFormat="1" applyFont="1" applyProtection="1">
      <protection locked="0"/>
    </xf>
    <xf numFmtId="1" fontId="1" fillId="0" borderId="0" xfId="0" applyFont="1" applyAlignment="1">
      <alignment horizontal="left" vertical="center"/>
    </xf>
    <xf numFmtId="1" fontId="1" fillId="0" borderId="0" xfId="0" applyFont="1" applyAlignment="1">
      <alignment horizontal="center" vertical="center"/>
    </xf>
    <xf numFmtId="1" fontId="1" fillId="0" borderId="0" xfId="0" applyFont="1" applyAlignment="1">
      <alignment horizontal="center"/>
    </xf>
    <xf numFmtId="165" fontId="16" fillId="0" borderId="10" xfId="0" applyNumberFormat="1" applyFont="1" applyBorder="1" applyAlignment="1">
      <alignment horizontal="center"/>
    </xf>
    <xf numFmtId="10" fontId="16" fillId="0" borderId="10" xfId="0" applyNumberFormat="1" applyFont="1" applyBorder="1" applyAlignment="1">
      <alignment horizontal="center"/>
    </xf>
    <xf numFmtId="1" fontId="16" fillId="0" borderId="0" xfId="0" quotePrefix="1" applyFont="1" applyAlignment="1">
      <alignment vertical="center"/>
    </xf>
    <xf numFmtId="1" fontId="1" fillId="0" borderId="3" xfId="0" applyFont="1" applyBorder="1" applyAlignment="1">
      <alignment horizontal="center" vertical="center"/>
    </xf>
    <xf numFmtId="1" fontId="1" fillId="2" borderId="0" xfId="2" applyNumberFormat="1" applyFont="1" applyFill="1" applyAlignment="1">
      <alignment horizontal="right" vertical="center"/>
    </xf>
    <xf numFmtId="1" fontId="16" fillId="0" borderId="0" xfId="0" applyFont="1" applyAlignment="1" applyProtection="1">
      <alignment vertical="top"/>
      <protection locked="0"/>
    </xf>
    <xf numFmtId="0" fontId="1" fillId="0" borderId="0" xfId="2" applyFont="1" applyAlignment="1">
      <alignment horizontal="right"/>
    </xf>
    <xf numFmtId="1" fontId="1" fillId="0" borderId="0" xfId="2" applyNumberFormat="1" applyFont="1" applyAlignment="1">
      <alignment horizontal="right"/>
    </xf>
    <xf numFmtId="0" fontId="25" fillId="0" borderId="16" xfId="0" applyNumberFormat="1" applyFont="1" applyBorder="1"/>
    <xf numFmtId="0" fontId="26" fillId="0" borderId="0" xfId="0" applyNumberFormat="1" applyFont="1"/>
    <xf numFmtId="14" fontId="26" fillId="0" borderId="0" xfId="0" applyNumberFormat="1" applyFont="1"/>
    <xf numFmtId="4" fontId="1" fillId="0" borderId="0" xfId="0" applyNumberFormat="1" applyFont="1" applyAlignment="1">
      <alignment horizontal="right"/>
    </xf>
    <xf numFmtId="1" fontId="2" fillId="15" borderId="0" xfId="2" applyNumberFormat="1" applyFill="1"/>
    <xf numFmtId="0" fontId="2" fillId="15" borderId="0" xfId="2" applyFill="1"/>
    <xf numFmtId="1" fontId="2" fillId="7" borderId="1" xfId="2" applyNumberFormat="1" applyFill="1" applyBorder="1" applyAlignment="1">
      <alignment horizontal="fill"/>
    </xf>
    <xf numFmtId="1" fontId="2" fillId="6" borderId="1" xfId="2" applyNumberFormat="1" applyFill="1" applyBorder="1" applyAlignment="1">
      <alignment horizontal="fill"/>
    </xf>
    <xf numFmtId="1" fontId="2" fillId="9" borderId="1" xfId="2" applyNumberFormat="1" applyFill="1" applyBorder="1" applyAlignment="1">
      <alignment horizontal="fill"/>
    </xf>
    <xf numFmtId="10" fontId="13" fillId="0" borderId="0" xfId="1" applyNumberFormat="1" applyFont="1" applyProtection="1">
      <protection locked="0"/>
    </xf>
    <xf numFmtId="9" fontId="13" fillId="0" borderId="0" xfId="2" applyNumberFormat="1" applyFont="1" applyAlignment="1" applyProtection="1">
      <alignment vertical="top"/>
      <protection locked="0"/>
    </xf>
    <xf numFmtId="0" fontId="13" fillId="0" borderId="0" xfId="2" applyFont="1" applyProtection="1">
      <protection locked="0"/>
    </xf>
    <xf numFmtId="4" fontId="13" fillId="0" borderId="0" xfId="2" applyNumberFormat="1" applyFont="1" applyAlignment="1" applyProtection="1">
      <alignment vertical="top"/>
      <protection locked="0"/>
    </xf>
    <xf numFmtId="0" fontId="13" fillId="0" borderId="0" xfId="2" applyFont="1" applyAlignment="1" applyProtection="1">
      <alignment vertical="top"/>
      <protection locked="0"/>
    </xf>
    <xf numFmtId="168" fontId="13" fillId="0" borderId="0" xfId="2" applyNumberFormat="1" applyFont="1" applyProtection="1">
      <protection locked="0"/>
    </xf>
    <xf numFmtId="4" fontId="13" fillId="0" borderId="0" xfId="1" applyNumberFormat="1" applyFont="1" applyProtection="1">
      <protection locked="0"/>
    </xf>
    <xf numFmtId="4" fontId="13" fillId="0" borderId="0" xfId="2" applyNumberFormat="1" applyFont="1" applyProtection="1">
      <protection locked="0"/>
    </xf>
    <xf numFmtId="2" fontId="13" fillId="0" borderId="0" xfId="2" applyNumberFormat="1" applyFont="1" applyProtection="1">
      <protection locked="0"/>
    </xf>
    <xf numFmtId="166" fontId="13" fillId="0" borderId="0" xfId="2" applyNumberFormat="1" applyFont="1" applyAlignment="1" applyProtection="1">
      <alignment vertical="top"/>
      <protection locked="0"/>
    </xf>
    <xf numFmtId="0" fontId="13" fillId="0" borderId="0" xfId="2" applyFont="1" applyAlignment="1" applyProtection="1">
      <alignment wrapText="1"/>
      <protection locked="0"/>
    </xf>
    <xf numFmtId="167" fontId="13" fillId="0" borderId="0" xfId="2" applyNumberFormat="1" applyFont="1" applyProtection="1">
      <protection locked="0"/>
    </xf>
    <xf numFmtId="10" fontId="13" fillId="0" borderId="0" xfId="2" applyNumberFormat="1" applyFont="1" applyProtection="1">
      <protection locked="0"/>
    </xf>
    <xf numFmtId="0" fontId="13" fillId="0" borderId="0" xfId="1" applyFont="1" applyProtection="1">
      <protection locked="0"/>
    </xf>
    <xf numFmtId="1" fontId="13" fillId="0" borderId="0" xfId="1" applyNumberFormat="1" applyFont="1" applyProtection="1">
      <protection locked="0"/>
    </xf>
    <xf numFmtId="1" fontId="13" fillId="0" borderId="0" xfId="2" applyNumberFormat="1" applyFont="1" applyProtection="1">
      <protection locked="0"/>
    </xf>
    <xf numFmtId="0" fontId="1" fillId="0" borderId="19" xfId="2" applyFont="1" applyBorder="1" applyAlignment="1">
      <alignment horizontal="right" vertical="center" wrapText="1"/>
    </xf>
    <xf numFmtId="0" fontId="2" fillId="0" borderId="19" xfId="2" applyBorder="1"/>
    <xf numFmtId="4" fontId="1" fillId="0" borderId="19" xfId="0" applyNumberFormat="1" applyFont="1" applyBorder="1" applyAlignment="1">
      <alignment horizontal="right"/>
    </xf>
    <xf numFmtId="0" fontId="27" fillId="0" borderId="20" xfId="2" applyFont="1" applyBorder="1" applyAlignment="1" applyProtection="1">
      <alignment wrapText="1"/>
      <protection locked="0"/>
    </xf>
    <xf numFmtId="10" fontId="27" fillId="0" borderId="20" xfId="2" applyNumberFormat="1" applyFont="1" applyBorder="1" applyAlignment="1" applyProtection="1">
      <alignment wrapText="1"/>
      <protection locked="0"/>
    </xf>
    <xf numFmtId="167" fontId="2" fillId="0" borderId="20" xfId="2" applyNumberFormat="1" applyBorder="1"/>
    <xf numFmtId="0" fontId="1" fillId="0" borderId="22" xfId="2" applyFont="1" applyBorder="1" applyAlignment="1">
      <alignment horizontal="left" vertical="center" wrapText="1"/>
    </xf>
    <xf numFmtId="0" fontId="2" fillId="0" borderId="22" xfId="2" applyBorder="1"/>
    <xf numFmtId="10" fontId="27" fillId="0" borderId="25" xfId="2" applyNumberFormat="1" applyFont="1" applyBorder="1" applyAlignment="1" applyProtection="1">
      <alignment wrapText="1"/>
      <protection locked="0"/>
    </xf>
    <xf numFmtId="0" fontId="2" fillId="0" borderId="26" xfId="2" applyBorder="1"/>
    <xf numFmtId="0" fontId="16" fillId="0" borderId="0" xfId="2" applyFont="1" applyProtection="1">
      <protection locked="0"/>
    </xf>
    <xf numFmtId="49" fontId="16" fillId="0" borderId="0" xfId="2" applyNumberFormat="1" applyFont="1" applyAlignment="1" applyProtection="1">
      <alignment wrapText="1"/>
      <protection locked="0"/>
    </xf>
    <xf numFmtId="4" fontId="16" fillId="0" borderId="0" xfId="2" applyNumberFormat="1" applyFont="1" applyAlignment="1" applyProtection="1">
      <alignment vertical="top"/>
      <protection locked="0"/>
    </xf>
    <xf numFmtId="2" fontId="2" fillId="0" borderId="19" xfId="2" applyNumberFormat="1" applyBorder="1"/>
    <xf numFmtId="167" fontId="1" fillId="0" borderId="20" xfId="2" quotePrefix="1" applyNumberFormat="1" applyFont="1" applyBorder="1" applyAlignment="1">
      <alignment horizontal="left" vertical="top"/>
    </xf>
    <xf numFmtId="0" fontId="1" fillId="0" borderId="20" xfId="0" applyNumberFormat="1" applyFont="1" applyBorder="1" applyAlignment="1">
      <alignment horizontal="left"/>
    </xf>
    <xf numFmtId="2" fontId="2" fillId="0" borderId="22" xfId="2" applyNumberFormat="1" applyBorder="1"/>
    <xf numFmtId="0" fontId="2" fillId="9" borderId="13" xfId="1" applyFill="1" applyBorder="1"/>
    <xf numFmtId="4" fontId="1" fillId="0" borderId="23" xfId="0" applyNumberFormat="1" applyFont="1" applyBorder="1" applyAlignment="1">
      <alignment horizontal="right"/>
    </xf>
    <xf numFmtId="1" fontId="1" fillId="2" borderId="0" xfId="2" applyNumberFormat="1" applyFont="1" applyFill="1" applyAlignment="1">
      <alignment horizontal="center"/>
    </xf>
    <xf numFmtId="0" fontId="2" fillId="10" borderId="0" xfId="2" applyFill="1" applyAlignment="1">
      <alignment horizontal="center"/>
    </xf>
    <xf numFmtId="1" fontId="2" fillId="2" borderId="0" xfId="2" applyNumberFormat="1" applyFill="1"/>
    <xf numFmtId="0" fontId="2" fillId="2" borderId="0" xfId="2" applyFill="1"/>
    <xf numFmtId="1" fontId="2" fillId="8" borderId="0" xfId="2" applyNumberFormat="1" applyFill="1" applyAlignment="1">
      <alignment horizontal="center"/>
    </xf>
    <xf numFmtId="170" fontId="16" fillId="0" borderId="9" xfId="0" applyNumberFormat="1" applyFont="1" applyBorder="1" applyAlignment="1">
      <alignment horizontal="center" vertical="center"/>
    </xf>
    <xf numFmtId="170" fontId="16" fillId="0" borderId="10" xfId="0" applyNumberFormat="1" applyFont="1" applyBorder="1" applyAlignment="1">
      <alignment horizontal="center" vertical="center"/>
    </xf>
    <xf numFmtId="0" fontId="1" fillId="0" borderId="20" xfId="2" applyFont="1" applyBorder="1" applyAlignment="1">
      <alignment horizontal="right" vertical="center" wrapText="1"/>
    </xf>
    <xf numFmtId="0" fontId="2" fillId="0" borderId="20" xfId="2" applyBorder="1"/>
    <xf numFmtId="2" fontId="2" fillId="0" borderId="20" xfId="2" applyNumberFormat="1" applyBorder="1"/>
    <xf numFmtId="4" fontId="1" fillId="0" borderId="20" xfId="0" applyNumberFormat="1" applyFont="1" applyBorder="1" applyAlignment="1">
      <alignment horizontal="right"/>
    </xf>
    <xf numFmtId="2" fontId="1" fillId="0" borderId="19" xfId="2" applyNumberFormat="1" applyFont="1" applyBorder="1"/>
    <xf numFmtId="0" fontId="1" fillId="0" borderId="24" xfId="2" applyFont="1" applyBorder="1"/>
    <xf numFmtId="2" fontId="1" fillId="0" borderId="22" xfId="2" applyNumberFormat="1" applyFont="1" applyBorder="1"/>
    <xf numFmtId="165" fontId="14" fillId="0" borderId="22" xfId="7" applyNumberFormat="1" applyFont="1" applyFill="1" applyBorder="1" applyAlignment="1" applyProtection="1"/>
    <xf numFmtId="4" fontId="1" fillId="0" borderId="21" xfId="0" applyNumberFormat="1" applyFont="1" applyBorder="1" applyAlignment="1">
      <alignment horizontal="right"/>
    </xf>
    <xf numFmtId="0" fontId="1" fillId="0" borderId="25" xfId="2" applyFont="1" applyBorder="1"/>
    <xf numFmtId="0" fontId="1" fillId="0" borderId="20" xfId="2" applyFont="1" applyBorder="1" applyAlignment="1">
      <alignment horizontal="left" vertical="center" wrapText="1"/>
    </xf>
    <xf numFmtId="0" fontId="14" fillId="0" borderId="26" xfId="2" applyFont="1" applyBorder="1" applyAlignment="1">
      <alignment horizontal="right" vertical="center"/>
    </xf>
    <xf numFmtId="165" fontId="14" fillId="0" borderId="0" xfId="7" applyNumberFormat="1" applyFont="1" applyFill="1" applyBorder="1" applyAlignment="1" applyProtection="1"/>
    <xf numFmtId="2" fontId="1" fillId="0" borderId="20" xfId="2" applyNumberFormat="1" applyFont="1" applyBorder="1"/>
    <xf numFmtId="0" fontId="1" fillId="0" borderId="0" xfId="2" applyFont="1" applyAlignment="1">
      <alignment horizontal="left" vertical="center"/>
    </xf>
    <xf numFmtId="0" fontId="2" fillId="0" borderId="0" xfId="2" applyAlignment="1">
      <alignment horizontal="left" vertical="center"/>
    </xf>
    <xf numFmtId="0" fontId="1" fillId="0" borderId="19" xfId="7" applyNumberFormat="1" applyFont="1" applyFill="1" applyBorder="1" applyAlignment="1" applyProtection="1">
      <alignment horizontal="left" vertical="center"/>
    </xf>
    <xf numFmtId="4" fontId="2" fillId="0" borderId="0" xfId="0" applyNumberFormat="1" applyFont="1" applyAlignment="1">
      <alignment horizontal="right"/>
    </xf>
    <xf numFmtId="4" fontId="1" fillId="2" borderId="22" xfId="0" applyNumberFormat="1" applyFont="1" applyFill="1" applyBorder="1"/>
    <xf numFmtId="0" fontId="2" fillId="16" borderId="1" xfId="2" applyFill="1" applyBorder="1" applyAlignment="1">
      <alignment horizontal="fill"/>
    </xf>
    <xf numFmtId="4" fontId="2" fillId="16" borderId="0" xfId="2" applyNumberFormat="1" applyFill="1"/>
    <xf numFmtId="0" fontId="2" fillId="16" borderId="0" xfId="2" applyFill="1" applyAlignment="1">
      <alignment horizontal="fill"/>
    </xf>
    <xf numFmtId="1" fontId="2" fillId="16" borderId="0" xfId="2" applyNumberFormat="1" applyFill="1" applyAlignment="1">
      <alignment horizontal="center"/>
    </xf>
    <xf numFmtId="4" fontId="2" fillId="0" borderId="0" xfId="1" applyNumberFormat="1"/>
    <xf numFmtId="4" fontId="2" fillId="0" borderId="20" xfId="0" applyNumberFormat="1" applyFont="1" applyBorder="1"/>
    <xf numFmtId="2" fontId="2" fillId="0" borderId="20" xfId="1" applyNumberFormat="1" applyBorder="1"/>
    <xf numFmtId="0" fontId="2" fillId="9" borderId="0" xfId="1" applyFill="1"/>
    <xf numFmtId="0" fontId="2" fillId="9" borderId="2" xfId="1" applyFill="1" applyBorder="1"/>
    <xf numFmtId="0" fontId="1" fillId="9" borderId="0" xfId="1" applyFont="1" applyFill="1"/>
    <xf numFmtId="2" fontId="2" fillId="9" borderId="0" xfId="1" applyNumberFormat="1" applyFill="1"/>
    <xf numFmtId="49" fontId="8" fillId="16" borderId="3" xfId="2" applyNumberFormat="1" applyFont="1" applyFill="1" applyBorder="1"/>
    <xf numFmtId="0" fontId="1" fillId="9" borderId="3" xfId="1" applyFont="1" applyFill="1" applyBorder="1"/>
    <xf numFmtId="0" fontId="13" fillId="0" borderId="0" xfId="1" applyFont="1"/>
    <xf numFmtId="4" fontId="13" fillId="0" borderId="0" xfId="1" applyNumberFormat="1" applyFont="1"/>
    <xf numFmtId="2" fontId="13" fillId="0" borderId="0" xfId="2" applyNumberFormat="1" applyFont="1"/>
    <xf numFmtId="14" fontId="14" fillId="2" borderId="0" xfId="2" applyNumberFormat="1" applyFont="1" applyFill="1" applyAlignment="1">
      <alignment horizontal="right"/>
    </xf>
    <xf numFmtId="2" fontId="13" fillId="0" borderId="0" xfId="1" applyNumberFormat="1" applyFont="1" applyProtection="1">
      <protection locked="0"/>
    </xf>
    <xf numFmtId="4" fontId="1" fillId="2" borderId="0" xfId="2" applyNumberFormat="1" applyFont="1" applyFill="1"/>
    <xf numFmtId="0" fontId="1" fillId="0" borderId="0" xfId="2" applyFont="1" applyAlignment="1">
      <alignment horizontal="left" vertical="center" wrapText="1"/>
    </xf>
    <xf numFmtId="39" fontId="1" fillId="0" borderId="0" xfId="0" applyNumberFormat="1" applyFont="1"/>
    <xf numFmtId="2" fontId="2" fillId="0" borderId="0" xfId="2" applyNumberFormat="1" applyAlignment="1">
      <alignment vertical="center"/>
    </xf>
    <xf numFmtId="0" fontId="2" fillId="0" borderId="0" xfId="2" applyAlignment="1">
      <alignment vertical="center"/>
    </xf>
    <xf numFmtId="1" fontId="2" fillId="10" borderId="0" xfId="2" applyNumberFormat="1" applyFill="1" applyAlignment="1">
      <alignment vertical="center"/>
    </xf>
    <xf numFmtId="1" fontId="2" fillId="15" borderId="0" xfId="2" applyNumberFormat="1" applyFill="1" applyAlignment="1">
      <alignment vertical="center"/>
    </xf>
    <xf numFmtId="0" fontId="2" fillId="15" borderId="0" xfId="2" applyFill="1" applyAlignment="1">
      <alignment vertical="center"/>
    </xf>
    <xf numFmtId="0" fontId="1" fillId="14" borderId="0" xfId="2" applyFont="1" applyFill="1" applyAlignment="1">
      <alignment vertical="center"/>
    </xf>
    <xf numFmtId="1" fontId="2" fillId="14" borderId="0" xfId="2" applyNumberFormat="1" applyFill="1" applyAlignment="1">
      <alignment vertical="center"/>
    </xf>
    <xf numFmtId="0" fontId="2" fillId="14" borderId="0" xfId="2" applyFill="1" applyAlignment="1">
      <alignment vertical="center"/>
    </xf>
    <xf numFmtId="0" fontId="2" fillId="3" borderId="0" xfId="1" applyFill="1" applyAlignment="1">
      <alignment vertical="center"/>
    </xf>
    <xf numFmtId="10" fontId="13" fillId="0" borderId="0" xfId="1" applyNumberFormat="1" applyFont="1" applyAlignment="1" applyProtection="1">
      <alignment vertical="center"/>
      <protection locked="0"/>
    </xf>
    <xf numFmtId="0" fontId="1" fillId="10" borderId="0" xfId="2" applyFont="1" applyFill="1" applyAlignment="1">
      <alignment vertical="center"/>
    </xf>
    <xf numFmtId="0" fontId="1" fillId="10" borderId="0" xfId="2" applyFont="1" applyFill="1" applyAlignment="1">
      <alignment horizontal="right" vertical="center"/>
    </xf>
    <xf numFmtId="0" fontId="1" fillId="10" borderId="0" xfId="2" applyFont="1" applyFill="1" applyAlignment="1">
      <alignment horizontal="left" vertical="center"/>
    </xf>
    <xf numFmtId="0" fontId="18" fillId="0" borderId="3" xfId="2" applyFont="1" applyBorder="1" applyAlignment="1">
      <alignment vertical="center"/>
    </xf>
    <xf numFmtId="4" fontId="2" fillId="0" borderId="0" xfId="2" applyNumberFormat="1" applyAlignment="1">
      <alignment vertical="center"/>
    </xf>
    <xf numFmtId="9" fontId="13" fillId="0" borderId="0" xfId="2" applyNumberFormat="1" applyFont="1" applyAlignment="1" applyProtection="1">
      <alignment vertical="center"/>
      <protection locked="0"/>
    </xf>
    <xf numFmtId="15" fontId="1" fillId="10" borderId="0" xfId="2" applyNumberFormat="1" applyFont="1" applyFill="1" applyAlignment="1">
      <alignment horizontal="right" vertical="center"/>
    </xf>
    <xf numFmtId="0" fontId="2" fillId="0" borderId="0" xfId="2" applyAlignment="1">
      <alignment horizontal="center" vertical="center"/>
    </xf>
    <xf numFmtId="1" fontId="2" fillId="8" borderId="0" xfId="2" applyNumberFormat="1" applyFill="1" applyAlignment="1">
      <alignment horizontal="center" vertical="center"/>
    </xf>
    <xf numFmtId="1" fontId="1" fillId="4" borderId="0" xfId="2" applyNumberFormat="1" applyFont="1" applyFill="1" applyAlignment="1">
      <alignment horizontal="fill" vertical="center"/>
    </xf>
    <xf numFmtId="0" fontId="1" fillId="4" borderId="0" xfId="2" applyFont="1" applyFill="1" applyAlignment="1">
      <alignment horizontal="centerContinuous" vertical="center"/>
    </xf>
    <xf numFmtId="0" fontId="1" fillId="14" borderId="0" xfId="2" applyFont="1" applyFill="1" applyAlignment="1">
      <alignment horizontal="centerContinuous" vertical="center"/>
    </xf>
    <xf numFmtId="0" fontId="1" fillId="4" borderId="0" xfId="1" applyFont="1" applyFill="1" applyAlignment="1">
      <alignment horizontal="centerContinuous" vertical="center"/>
    </xf>
    <xf numFmtId="0" fontId="2" fillId="9" borderId="0" xfId="2" applyFill="1" applyAlignment="1">
      <alignment horizontal="center" vertical="center"/>
    </xf>
    <xf numFmtId="0" fontId="2" fillId="12" borderId="0" xfId="2" applyFill="1" applyAlignment="1">
      <alignment horizontal="center" vertical="center"/>
    </xf>
    <xf numFmtId="1" fontId="2" fillId="7" borderId="0" xfId="2" applyNumberFormat="1" applyFill="1" applyAlignment="1">
      <alignment horizontal="center" vertical="center"/>
    </xf>
    <xf numFmtId="1" fontId="2" fillId="13" borderId="0" xfId="2" applyNumberFormat="1" applyFill="1" applyAlignment="1">
      <alignment horizontal="center" vertical="center"/>
    </xf>
    <xf numFmtId="1" fontId="2" fillId="6" borderId="0" xfId="2" applyNumberFormat="1" applyFill="1" applyAlignment="1">
      <alignment horizontal="center" vertical="center"/>
    </xf>
    <xf numFmtId="1" fontId="1" fillId="10" borderId="0" xfId="2" applyNumberFormat="1" applyFont="1" applyFill="1" applyAlignment="1">
      <alignment horizontal="center" vertical="center"/>
    </xf>
    <xf numFmtId="0" fontId="2" fillId="11" borderId="0" xfId="2" applyFill="1" applyAlignment="1">
      <alignment horizontal="center" vertical="center"/>
    </xf>
    <xf numFmtId="0" fontId="2" fillId="10" borderId="0" xfId="2" applyFill="1" applyAlignment="1">
      <alignment horizontal="center" vertical="center"/>
    </xf>
    <xf numFmtId="1" fontId="2" fillId="16" borderId="0" xfId="2" applyNumberFormat="1" applyFill="1" applyAlignment="1">
      <alignment horizontal="center" vertical="center"/>
    </xf>
    <xf numFmtId="1" fontId="2" fillId="10" borderId="0" xfId="2" applyNumberFormat="1" applyFill="1" applyAlignment="1">
      <alignment horizontal="center" vertical="center"/>
    </xf>
    <xf numFmtId="1" fontId="2" fillId="9" borderId="0" xfId="2" applyNumberFormat="1" applyFill="1" applyAlignment="1">
      <alignment horizontal="center" vertical="center"/>
    </xf>
    <xf numFmtId="1" fontId="2" fillId="11" borderId="0" xfId="2" applyNumberFormat="1" applyFill="1" applyAlignment="1">
      <alignment horizontal="center" vertical="center"/>
    </xf>
    <xf numFmtId="1" fontId="2" fillId="10" borderId="0" xfId="1" applyNumberFormat="1" applyFill="1" applyAlignment="1">
      <alignment horizontal="center" vertical="center"/>
    </xf>
    <xf numFmtId="1" fontId="2" fillId="7" borderId="0" xfId="1" applyNumberFormat="1" applyFill="1" applyAlignment="1">
      <alignment horizontal="center" vertical="center"/>
    </xf>
    <xf numFmtId="1" fontId="2" fillId="6" borderId="0" xfId="1" applyNumberFormat="1" applyFill="1" applyAlignment="1">
      <alignment horizontal="center" vertical="center"/>
    </xf>
    <xf numFmtId="1" fontId="2" fillId="11" borderId="0" xfId="1" applyNumberFormat="1" applyFill="1" applyAlignment="1">
      <alignment horizontal="center" vertical="center"/>
    </xf>
    <xf numFmtId="1" fontId="2" fillId="9" borderId="0" xfId="1" applyNumberFormat="1" applyFill="1" applyAlignment="1">
      <alignment horizontal="center" vertical="center"/>
    </xf>
    <xf numFmtId="49" fontId="8" fillId="16" borderId="0" xfId="2" applyNumberFormat="1" applyFont="1" applyFill="1" applyAlignment="1">
      <alignment vertical="center"/>
    </xf>
    <xf numFmtId="0" fontId="1" fillId="9" borderId="0" xfId="1" applyFont="1" applyFill="1" applyAlignment="1">
      <alignment vertical="center"/>
    </xf>
    <xf numFmtId="0" fontId="2" fillId="0" borderId="2" xfId="2" applyBorder="1" applyAlignment="1">
      <alignment vertical="center"/>
    </xf>
    <xf numFmtId="1" fontId="2" fillId="0" borderId="2" xfId="2" applyNumberFormat="1" applyBorder="1" applyAlignment="1">
      <alignment vertical="center"/>
    </xf>
    <xf numFmtId="1" fontId="1" fillId="0" borderId="2" xfId="2" applyNumberFormat="1" applyFont="1" applyBorder="1" applyAlignment="1">
      <alignment vertical="center"/>
    </xf>
    <xf numFmtId="166" fontId="2" fillId="0" borderId="0" xfId="2" applyNumberFormat="1" applyAlignment="1">
      <alignment vertical="center"/>
    </xf>
    <xf numFmtId="0" fontId="2" fillId="0" borderId="22" xfId="2" applyBorder="1" applyAlignment="1">
      <alignment vertical="center"/>
    </xf>
    <xf numFmtId="0" fontId="2" fillId="0" borderId="0" xfId="1" applyAlignment="1">
      <alignment vertical="center"/>
    </xf>
    <xf numFmtId="1" fontId="2" fillId="0" borderId="0" xfId="1" applyNumberFormat="1" applyAlignment="1">
      <alignment vertical="center"/>
    </xf>
    <xf numFmtId="4" fontId="1" fillId="0" borderId="0" xfId="2" applyNumberFormat="1" applyFont="1" applyAlignment="1">
      <alignment vertical="center"/>
    </xf>
    <xf numFmtId="0" fontId="1" fillId="0" borderId="0" xfId="2" applyFont="1" applyAlignment="1">
      <alignment horizontal="right" vertical="center" wrapText="1"/>
    </xf>
    <xf numFmtId="4" fontId="1" fillId="0" borderId="0" xfId="0" applyNumberFormat="1" applyFont="1" applyAlignment="1">
      <alignment horizontal="right" vertical="center"/>
    </xf>
    <xf numFmtId="2" fontId="1" fillId="0" borderId="0" xfId="2" applyNumberFormat="1" applyFont="1" applyAlignment="1">
      <alignment vertical="center"/>
    </xf>
    <xf numFmtId="1" fontId="13" fillId="0" borderId="0" xfId="2" applyNumberFormat="1" applyFont="1" applyAlignment="1" applyProtection="1">
      <alignment vertical="center"/>
      <protection locked="0"/>
    </xf>
    <xf numFmtId="0" fontId="1" fillId="0" borderId="24" xfId="2" applyFont="1" applyBorder="1" applyAlignment="1">
      <alignment vertical="center"/>
    </xf>
    <xf numFmtId="0" fontId="2" fillId="0" borderId="19" xfId="2" applyBorder="1" applyAlignment="1">
      <alignment vertical="center"/>
    </xf>
    <xf numFmtId="2" fontId="2" fillId="0" borderId="19" xfId="2" applyNumberFormat="1" applyBorder="1" applyAlignment="1">
      <alignment vertical="center"/>
    </xf>
    <xf numFmtId="4" fontId="1" fillId="0" borderId="19" xfId="0" applyNumberFormat="1" applyFont="1" applyBorder="1" applyAlignment="1">
      <alignment horizontal="right" vertical="center"/>
    </xf>
    <xf numFmtId="2" fontId="1" fillId="0" borderId="19" xfId="2" applyNumberFormat="1" applyFont="1" applyBorder="1" applyAlignment="1">
      <alignment vertical="center"/>
    </xf>
    <xf numFmtId="0" fontId="2" fillId="0" borderId="20" xfId="2" applyBorder="1" applyAlignment="1">
      <alignment vertical="center"/>
    </xf>
    <xf numFmtId="2" fontId="2" fillId="0" borderId="20" xfId="2" applyNumberFormat="1" applyBorder="1" applyAlignment="1">
      <alignment vertical="center"/>
    </xf>
    <xf numFmtId="4" fontId="1" fillId="0" borderId="20" xfId="0" applyNumberFormat="1" applyFont="1" applyBorder="1" applyAlignment="1">
      <alignment horizontal="right" vertical="center"/>
    </xf>
    <xf numFmtId="10" fontId="27" fillId="0" borderId="25" xfId="2" applyNumberFormat="1" applyFont="1" applyBorder="1" applyAlignment="1" applyProtection="1">
      <alignment vertical="center" wrapText="1"/>
      <protection locked="0"/>
    </xf>
    <xf numFmtId="0" fontId="27" fillId="0" borderId="20" xfId="2" applyFont="1" applyBorder="1" applyAlignment="1" applyProtection="1">
      <alignment vertical="center" wrapText="1"/>
      <protection locked="0"/>
    </xf>
    <xf numFmtId="10" fontId="27" fillId="0" borderId="20" xfId="2" applyNumberFormat="1" applyFont="1" applyBorder="1" applyAlignment="1" applyProtection="1">
      <alignment vertical="center" wrapText="1"/>
      <protection locked="0"/>
    </xf>
    <xf numFmtId="167" fontId="1" fillId="0" borderId="20" xfId="2" quotePrefix="1" applyNumberFormat="1" applyFont="1" applyBorder="1" applyAlignment="1">
      <alignment horizontal="left" vertical="center"/>
    </xf>
    <xf numFmtId="0" fontId="1" fillId="0" borderId="20" xfId="0" applyNumberFormat="1" applyFont="1" applyBorder="1" applyAlignment="1">
      <alignment horizontal="left" vertical="center"/>
    </xf>
    <xf numFmtId="4" fontId="2" fillId="0" borderId="0" xfId="0" applyNumberFormat="1" applyFont="1" applyAlignment="1">
      <alignment vertical="center"/>
    </xf>
    <xf numFmtId="4" fontId="2" fillId="0" borderId="0" xfId="1" applyNumberFormat="1" applyAlignment="1">
      <alignment vertical="center"/>
    </xf>
    <xf numFmtId="0" fontId="2" fillId="0" borderId="26" xfId="2" applyBorder="1" applyAlignment="1">
      <alignment vertical="center"/>
    </xf>
    <xf numFmtId="2" fontId="2" fillId="0" borderId="22" xfId="2" applyNumberFormat="1" applyBorder="1" applyAlignment="1">
      <alignment vertical="center"/>
    </xf>
    <xf numFmtId="165" fontId="14" fillId="0" borderId="0" xfId="7" applyNumberFormat="1" applyFont="1" applyFill="1" applyBorder="1" applyAlignment="1" applyProtection="1">
      <alignment vertical="center"/>
    </xf>
    <xf numFmtId="10" fontId="27" fillId="0" borderId="24" xfId="2" applyNumberFormat="1" applyFont="1" applyBorder="1" applyAlignment="1" applyProtection="1">
      <alignment vertical="center" wrapText="1"/>
      <protection locked="0"/>
    </xf>
    <xf numFmtId="0" fontId="27" fillId="0" borderId="19" xfId="2" applyFont="1" applyBorder="1" applyAlignment="1" applyProtection="1">
      <alignment vertical="center" wrapText="1"/>
      <protection locked="0"/>
    </xf>
    <xf numFmtId="10" fontId="27" fillId="0" borderId="19" xfId="2" applyNumberFormat="1" applyFont="1" applyBorder="1" applyAlignment="1" applyProtection="1">
      <alignment vertical="center" wrapText="1"/>
      <protection locked="0"/>
    </xf>
    <xf numFmtId="167" fontId="1" fillId="0" borderId="19" xfId="2" quotePrefix="1" applyNumberFormat="1" applyFont="1" applyBorder="1" applyAlignment="1">
      <alignment horizontal="left" vertical="center"/>
    </xf>
    <xf numFmtId="0" fontId="1" fillId="0" borderId="19" xfId="0" applyNumberFormat="1" applyFont="1" applyBorder="1" applyAlignment="1">
      <alignment horizontal="left" vertical="center"/>
    </xf>
    <xf numFmtId="167" fontId="2" fillId="0" borderId="19" xfId="2" applyNumberFormat="1" applyBorder="1" applyAlignment="1">
      <alignment vertical="center"/>
    </xf>
    <xf numFmtId="0" fontId="1" fillId="0" borderId="25" xfId="2" applyFont="1" applyBorder="1" applyAlignment="1">
      <alignment vertical="center"/>
    </xf>
    <xf numFmtId="2" fontId="1" fillId="0" borderId="22" xfId="2" applyNumberFormat="1" applyFont="1" applyBorder="1" applyAlignment="1">
      <alignment vertical="center"/>
    </xf>
    <xf numFmtId="165" fontId="14" fillId="0" borderId="22" xfId="7" applyNumberFormat="1" applyFont="1" applyFill="1" applyBorder="1" applyAlignment="1" applyProtection="1">
      <alignment vertical="center"/>
    </xf>
    <xf numFmtId="0" fontId="2" fillId="0" borderId="3" xfId="2" applyBorder="1" applyAlignment="1">
      <alignment vertical="center"/>
    </xf>
    <xf numFmtId="166" fontId="2" fillId="0" borderId="3" xfId="2" applyNumberFormat="1" applyBorder="1" applyAlignment="1">
      <alignment vertical="center"/>
    </xf>
    <xf numFmtId="0" fontId="1" fillId="0" borderId="3" xfId="2" applyFont="1" applyBorder="1" applyAlignment="1">
      <alignment vertical="center" wrapText="1"/>
    </xf>
    <xf numFmtId="2" fontId="2" fillId="0" borderId="3" xfId="2" applyNumberFormat="1" applyBorder="1" applyAlignment="1">
      <alignment vertical="center"/>
    </xf>
    <xf numFmtId="0" fontId="2" fillId="11" borderId="0" xfId="2" applyFill="1" applyAlignment="1">
      <alignment vertical="center"/>
    </xf>
    <xf numFmtId="166" fontId="2" fillId="10" borderId="0" xfId="2" applyNumberFormat="1" applyFill="1" applyAlignment="1">
      <alignment horizontal="fill" vertical="center"/>
    </xf>
    <xf numFmtId="166" fontId="2" fillId="9" borderId="0" xfId="2" applyNumberFormat="1" applyFill="1" applyAlignment="1">
      <alignment horizontal="fill" vertical="center"/>
    </xf>
    <xf numFmtId="166" fontId="2" fillId="12" borderId="0" xfId="2" applyNumberFormat="1" applyFill="1" applyAlignment="1">
      <alignment horizontal="fill" vertical="center"/>
    </xf>
    <xf numFmtId="166" fontId="2" fillId="7" borderId="0" xfId="2" applyNumberFormat="1" applyFill="1" applyAlignment="1">
      <alignment horizontal="fill" vertical="center"/>
    </xf>
    <xf numFmtId="166" fontId="2" fillId="13" borderId="0" xfId="2" applyNumberFormat="1" applyFill="1" applyAlignment="1">
      <alignment horizontal="fill" vertical="center"/>
    </xf>
    <xf numFmtId="166" fontId="2" fillId="6" borderId="0" xfId="2" applyNumberFormat="1" applyFill="1" applyAlignment="1">
      <alignment horizontal="fill" vertical="center"/>
    </xf>
    <xf numFmtId="1" fontId="2" fillId="10" borderId="0" xfId="2" applyNumberFormat="1" applyFill="1" applyAlignment="1">
      <alignment horizontal="fill" vertical="center"/>
    </xf>
    <xf numFmtId="1" fontId="2" fillId="10" borderId="1" xfId="2" applyNumberFormat="1" applyFill="1" applyBorder="1" applyAlignment="1">
      <alignment horizontal="fill" vertical="center"/>
    </xf>
    <xf numFmtId="1" fontId="2" fillId="7" borderId="1" xfId="2" applyNumberFormat="1" applyFill="1" applyBorder="1" applyAlignment="1">
      <alignment horizontal="fill" vertical="center"/>
    </xf>
    <xf numFmtId="1" fontId="2" fillId="6" borderId="1" xfId="2" applyNumberFormat="1" applyFill="1" applyBorder="1" applyAlignment="1">
      <alignment horizontal="fill" vertical="center"/>
    </xf>
    <xf numFmtId="1" fontId="2" fillId="9" borderId="1" xfId="2" applyNumberFormat="1" applyFill="1" applyBorder="1" applyAlignment="1">
      <alignment horizontal="fill" vertical="center"/>
    </xf>
    <xf numFmtId="1" fontId="2" fillId="11" borderId="1" xfId="2" applyNumberFormat="1" applyFill="1" applyBorder="1" applyAlignment="1">
      <alignment horizontal="fill" vertical="center"/>
    </xf>
    <xf numFmtId="0" fontId="2" fillId="10" borderId="1" xfId="2" applyFill="1" applyBorder="1" applyAlignment="1">
      <alignment horizontal="fill" vertical="center"/>
    </xf>
    <xf numFmtId="0" fontId="2" fillId="7" borderId="1" xfId="2" applyFill="1" applyBorder="1" applyAlignment="1">
      <alignment horizontal="fill" vertical="center"/>
    </xf>
    <xf numFmtId="0" fontId="2" fillId="6" borderId="1" xfId="2" applyFill="1" applyBorder="1" applyAlignment="1">
      <alignment horizontal="fill" vertical="center"/>
    </xf>
    <xf numFmtId="0" fontId="2" fillId="11" borderId="1" xfId="2" applyFill="1" applyBorder="1" applyAlignment="1">
      <alignment horizontal="fill" vertical="center"/>
    </xf>
    <xf numFmtId="0" fontId="2" fillId="9" borderId="1" xfId="2" applyFill="1" applyBorder="1" applyAlignment="1">
      <alignment horizontal="fill" vertical="center"/>
    </xf>
    <xf numFmtId="0" fontId="2" fillId="16" borderId="1" xfId="2" applyFill="1" applyBorder="1" applyAlignment="1">
      <alignment horizontal="fill" vertical="center"/>
    </xf>
    <xf numFmtId="0" fontId="2" fillId="9" borderId="13" xfId="1" applyFill="1" applyBorder="1" applyAlignment="1">
      <alignment vertical="center"/>
    </xf>
    <xf numFmtId="0" fontId="2" fillId="9" borderId="2" xfId="1" applyFill="1" applyBorder="1" applyAlignment="1">
      <alignment vertical="center"/>
    </xf>
    <xf numFmtId="2" fontId="2" fillId="2" borderId="0" xfId="2" applyNumberFormat="1" applyFill="1" applyAlignment="1">
      <alignment vertical="center"/>
    </xf>
    <xf numFmtId="4" fontId="2" fillId="11" borderId="0" xfId="2" applyNumberFormat="1" applyFill="1" applyAlignment="1">
      <alignment vertical="center"/>
    </xf>
    <xf numFmtId="4" fontId="2" fillId="10" borderId="0" xfId="2" applyNumberFormat="1" applyFill="1" applyAlignment="1">
      <alignment vertical="center"/>
    </xf>
    <xf numFmtId="4" fontId="2" fillId="9" borderId="0" xfId="2" applyNumberFormat="1" applyFill="1" applyAlignment="1">
      <alignment vertical="center"/>
    </xf>
    <xf numFmtId="4" fontId="2" fillId="12" borderId="0" xfId="2" applyNumberFormat="1" applyFill="1" applyAlignment="1">
      <alignment vertical="center"/>
    </xf>
    <xf numFmtId="4" fontId="2" fillId="7" borderId="0" xfId="2" applyNumberFormat="1" applyFill="1" applyAlignment="1">
      <alignment vertical="center"/>
    </xf>
    <xf numFmtId="4" fontId="2" fillId="13" borderId="0" xfId="2" applyNumberFormat="1" applyFill="1" applyAlignment="1">
      <alignment vertical="center"/>
    </xf>
    <xf numFmtId="0" fontId="2" fillId="6" borderId="0" xfId="2" applyFill="1" applyAlignment="1">
      <alignment vertical="center"/>
    </xf>
    <xf numFmtId="2" fontId="2" fillId="6" borderId="0" xfId="2" applyNumberFormat="1" applyFill="1" applyAlignment="1">
      <alignment vertical="center"/>
    </xf>
    <xf numFmtId="4" fontId="2" fillId="6" borderId="0" xfId="2" applyNumberFormat="1" applyFill="1" applyAlignment="1">
      <alignment vertical="center"/>
    </xf>
    <xf numFmtId="4" fontId="1" fillId="11" borderId="0" xfId="2" applyNumberFormat="1" applyFont="1" applyFill="1" applyAlignment="1">
      <alignment vertical="center"/>
    </xf>
    <xf numFmtId="4" fontId="1" fillId="10" borderId="0" xfId="2" applyNumberFormat="1" applyFont="1" applyFill="1" applyAlignment="1">
      <alignment vertical="center"/>
    </xf>
    <xf numFmtId="4" fontId="2" fillId="16" borderId="0" xfId="2" applyNumberFormat="1" applyFill="1" applyAlignment="1">
      <alignment vertical="center"/>
    </xf>
    <xf numFmtId="0" fontId="2" fillId="9" borderId="0" xfId="1" applyFill="1" applyAlignment="1">
      <alignment vertical="center"/>
    </xf>
    <xf numFmtId="4" fontId="13" fillId="0" borderId="0" xfId="1" applyNumberFormat="1" applyFont="1" applyAlignment="1" applyProtection="1">
      <alignment vertical="center"/>
      <protection locked="0"/>
    </xf>
    <xf numFmtId="0" fontId="13" fillId="0" borderId="0" xfId="2" applyFont="1" applyAlignment="1" applyProtection="1">
      <alignment vertical="center"/>
      <protection locked="0"/>
    </xf>
    <xf numFmtId="0" fontId="13" fillId="0" borderId="0" xfId="1" applyFont="1" applyAlignment="1" applyProtection="1">
      <alignment vertical="center"/>
      <protection locked="0"/>
    </xf>
    <xf numFmtId="167" fontId="1" fillId="0" borderId="0" xfId="2" quotePrefix="1" applyNumberFormat="1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167" fontId="2" fillId="0" borderId="0" xfId="2" applyNumberFormat="1" applyAlignment="1">
      <alignment vertical="center"/>
    </xf>
    <xf numFmtId="171" fontId="1" fillId="0" borderId="2" xfId="2" applyNumberFormat="1" applyFont="1" applyBorder="1" applyAlignment="1">
      <alignment vertical="center"/>
    </xf>
    <xf numFmtId="171" fontId="2" fillId="0" borderId="0" xfId="1" applyNumberFormat="1" applyAlignment="1">
      <alignment vertical="center"/>
    </xf>
    <xf numFmtId="171" fontId="2" fillId="0" borderId="0" xfId="2" applyNumberFormat="1" applyAlignment="1">
      <alignment vertical="center"/>
    </xf>
    <xf numFmtId="171" fontId="1" fillId="0" borderId="0" xfId="0" applyNumberFormat="1" applyFont="1" applyAlignment="1">
      <alignment horizontal="right" vertical="center"/>
    </xf>
    <xf numFmtId="171" fontId="1" fillId="0" borderId="0" xfId="0" applyNumberFormat="1" applyFont="1" applyAlignment="1">
      <alignment vertical="center"/>
    </xf>
    <xf numFmtId="171" fontId="1" fillId="0" borderId="20" xfId="2" applyNumberFormat="1" applyFont="1" applyBorder="1" applyAlignment="1">
      <alignment vertical="center"/>
    </xf>
    <xf numFmtId="171" fontId="2" fillId="0" borderId="0" xfId="0" applyNumberFormat="1" applyFont="1" applyAlignment="1">
      <alignment horizontal="right" vertical="center"/>
    </xf>
    <xf numFmtId="171" fontId="1" fillId="0" borderId="21" xfId="0" applyNumberFormat="1" applyFont="1" applyBorder="1" applyAlignment="1">
      <alignment horizontal="right" vertical="center"/>
    </xf>
    <xf numFmtId="171" fontId="1" fillId="0" borderId="23" xfId="0" applyNumberFormat="1" applyFont="1" applyBorder="1" applyAlignment="1">
      <alignment horizontal="right" vertical="center"/>
    </xf>
    <xf numFmtId="171" fontId="2" fillId="0" borderId="3" xfId="2" applyNumberFormat="1" applyBorder="1" applyAlignment="1">
      <alignment vertical="center"/>
    </xf>
    <xf numFmtId="0" fontId="1" fillId="0" borderId="0" xfId="2" applyFont="1" applyAlignment="1">
      <alignment vertical="center"/>
    </xf>
    <xf numFmtId="0" fontId="27" fillId="0" borderId="0" xfId="2" applyFont="1" applyAlignment="1" applyProtection="1">
      <alignment vertical="center" wrapText="1"/>
      <protection locked="0"/>
    </xf>
    <xf numFmtId="14" fontId="2" fillId="0" borderId="0" xfId="0" applyNumberFormat="1" applyFont="1" applyAlignment="1">
      <alignment horizontal="center" vertical="center"/>
    </xf>
    <xf numFmtId="39" fontId="16" fillId="0" borderId="0" xfId="0" quotePrefix="1" applyNumberFormat="1" applyFont="1" applyAlignment="1">
      <alignment horizontal="center" vertical="center"/>
    </xf>
    <xf numFmtId="39" fontId="2" fillId="0" borderId="0" xfId="0" applyNumberFormat="1" applyFont="1" applyAlignment="1">
      <alignment horizontal="center" vertical="center"/>
    </xf>
    <xf numFmtId="39" fontId="2" fillId="0" borderId="0" xfId="0" applyNumberFormat="1" applyFont="1" applyAlignment="1">
      <alignment horizontal="left" vertical="center"/>
    </xf>
    <xf numFmtId="0" fontId="1" fillId="0" borderId="0" xfId="2" applyFont="1"/>
    <xf numFmtId="0" fontId="27" fillId="0" borderId="0" xfId="2" applyFont="1" applyAlignment="1" applyProtection="1">
      <alignment wrapText="1"/>
      <protection locked="0"/>
    </xf>
    <xf numFmtId="167" fontId="1" fillId="0" borderId="0" xfId="2" quotePrefix="1" applyNumberFormat="1" applyFont="1" applyAlignment="1">
      <alignment horizontal="left" vertical="top"/>
    </xf>
    <xf numFmtId="0" fontId="1" fillId="0" borderId="0" xfId="0" applyNumberFormat="1" applyFont="1" applyAlignment="1">
      <alignment horizontal="left"/>
    </xf>
    <xf numFmtId="167" fontId="2" fillId="0" borderId="0" xfId="2" applyNumberFormat="1"/>
    <xf numFmtId="2" fontId="2" fillId="0" borderId="0" xfId="1" applyNumberFormat="1"/>
    <xf numFmtId="168" fontId="16" fillId="0" borderId="0" xfId="2" applyNumberFormat="1" applyFont="1" applyProtection="1">
      <protection locked="0"/>
    </xf>
    <xf numFmtId="1" fontId="1" fillId="0" borderId="0" xfId="2" applyNumberFormat="1" applyFont="1" applyAlignment="1">
      <alignment horizontal="fill" vertical="center"/>
    </xf>
    <xf numFmtId="0" fontId="1" fillId="0" borderId="0" xfId="2" applyFont="1" applyAlignment="1">
      <alignment horizontal="right" vertical="center"/>
    </xf>
    <xf numFmtId="0" fontId="2" fillId="0" borderId="30" xfId="2" applyBorder="1"/>
    <xf numFmtId="1" fontId="1" fillId="0" borderId="0" xfId="2" applyNumberFormat="1" applyFont="1" applyAlignment="1">
      <alignment horizontal="fill"/>
    </xf>
    <xf numFmtId="10" fontId="14" fillId="0" borderId="0" xfId="2" applyNumberFormat="1" applyFont="1" applyProtection="1">
      <protection locked="0"/>
    </xf>
    <xf numFmtId="0" fontId="2" fillId="0" borderId="6" xfId="2" applyBorder="1"/>
    <xf numFmtId="1" fontId="2" fillId="0" borderId="1" xfId="2" applyNumberFormat="1" applyBorder="1" applyAlignment="1">
      <alignment horizontal="fill"/>
    </xf>
    <xf numFmtId="1" fontId="2" fillId="0" borderId="0" xfId="2" applyNumberFormat="1" applyAlignment="1">
      <alignment horizontal="fill"/>
    </xf>
    <xf numFmtId="4" fontId="1" fillId="0" borderId="19" xfId="2" applyNumberFormat="1" applyFont="1" applyBorder="1"/>
    <xf numFmtId="4" fontId="1" fillId="0" borderId="22" xfId="0" applyNumberFormat="1" applyFont="1" applyBorder="1"/>
    <xf numFmtId="0" fontId="1" fillId="0" borderId="0" xfId="2" applyFont="1" applyAlignment="1">
      <alignment horizontal="center"/>
    </xf>
    <xf numFmtId="0" fontId="1" fillId="0" borderId="6" xfId="2" applyFont="1" applyBorder="1" applyAlignment="1">
      <alignment horizontal="center" vertical="center"/>
    </xf>
    <xf numFmtId="171" fontId="2" fillId="0" borderId="21" xfId="0" applyNumberFormat="1" applyFont="1" applyBorder="1" applyAlignment="1">
      <alignment vertical="center"/>
    </xf>
    <xf numFmtId="171" fontId="1" fillId="0" borderId="27" xfId="0" applyNumberFormat="1" applyFont="1" applyBorder="1" applyAlignment="1">
      <alignment horizontal="right" vertical="center"/>
    </xf>
    <xf numFmtId="0" fontId="2" fillId="0" borderId="30" xfId="2" applyBorder="1" applyAlignment="1">
      <alignment vertical="center"/>
    </xf>
    <xf numFmtId="4" fontId="1" fillId="0" borderId="27" xfId="2" applyNumberFormat="1" applyFont="1" applyBorder="1"/>
    <xf numFmtId="2" fontId="1" fillId="0" borderId="23" xfId="2" applyNumberFormat="1" applyFont="1" applyBorder="1"/>
    <xf numFmtId="0" fontId="2" fillId="0" borderId="2" xfId="2" applyBorder="1"/>
    <xf numFmtId="0" fontId="2" fillId="0" borderId="3" xfId="2" applyBorder="1"/>
    <xf numFmtId="4" fontId="2" fillId="0" borderId="21" xfId="0" applyNumberFormat="1" applyFont="1" applyBorder="1"/>
    <xf numFmtId="0" fontId="2" fillId="0" borderId="25" xfId="2" applyBorder="1" applyAlignment="1">
      <alignment vertical="center"/>
    </xf>
    <xf numFmtId="171" fontId="1" fillId="0" borderId="27" xfId="2" applyNumberFormat="1" applyFont="1" applyBorder="1" applyAlignment="1">
      <alignment vertical="center"/>
    </xf>
    <xf numFmtId="165" fontId="2" fillId="0" borderId="0" xfId="2" applyNumberFormat="1" applyAlignment="1">
      <alignment vertical="center"/>
    </xf>
    <xf numFmtId="14" fontId="2" fillId="0" borderId="0" xfId="2" applyNumberFormat="1" applyAlignment="1">
      <alignment vertical="center"/>
    </xf>
    <xf numFmtId="22" fontId="2" fillId="2" borderId="0" xfId="2" applyNumberFormat="1" applyFill="1" applyAlignment="1">
      <alignment vertical="center"/>
    </xf>
    <xf numFmtId="22" fontId="2" fillId="0" borderId="29" xfId="2" applyNumberFormat="1" applyBorder="1" applyAlignment="1">
      <alignment vertical="center"/>
    </xf>
    <xf numFmtId="1" fontId="2" fillId="8" borderId="0" xfId="2" applyNumberFormat="1" applyFill="1" applyAlignment="1">
      <alignment vertical="center"/>
    </xf>
    <xf numFmtId="22" fontId="2" fillId="0" borderId="0" xfId="2" applyNumberFormat="1" applyAlignment="1">
      <alignment vertical="center"/>
    </xf>
    <xf numFmtId="22" fontId="1" fillId="18" borderId="0" xfId="2" applyNumberFormat="1" applyFont="1" applyFill="1" applyAlignment="1">
      <alignment vertical="center"/>
    </xf>
    <xf numFmtId="0" fontId="1" fillId="18" borderId="0" xfId="2" applyFont="1" applyFill="1" applyAlignment="1">
      <alignment vertical="center"/>
    </xf>
    <xf numFmtId="16" fontId="26" fillId="0" borderId="0" xfId="0" applyNumberFormat="1" applyFont="1"/>
    <xf numFmtId="0" fontId="2" fillId="10" borderId="3" xfId="2" applyFill="1" applyBorder="1" applyAlignment="1">
      <alignment horizontal="center" vertical="center"/>
    </xf>
    <xf numFmtId="0" fontId="2" fillId="9" borderId="3" xfId="2" applyFill="1" applyBorder="1" applyAlignment="1">
      <alignment horizontal="center" vertical="center"/>
    </xf>
    <xf numFmtId="0" fontId="2" fillId="12" borderId="3" xfId="2" applyFill="1" applyBorder="1" applyAlignment="1">
      <alignment horizontal="center" vertical="center"/>
    </xf>
    <xf numFmtId="1" fontId="2" fillId="13" borderId="3" xfId="2" applyNumberFormat="1" applyFill="1" applyBorder="1" applyAlignment="1">
      <alignment horizontal="center" vertical="center"/>
    </xf>
    <xf numFmtId="1" fontId="2" fillId="16" borderId="3" xfId="2" applyNumberFormat="1" applyFill="1" applyBorder="1" applyAlignment="1">
      <alignment horizontal="center" vertical="center"/>
    </xf>
    <xf numFmtId="171" fontId="1" fillId="2" borderId="19" xfId="0" applyNumberFormat="1" applyFont="1" applyFill="1" applyBorder="1" applyAlignment="1">
      <alignment vertical="center"/>
    </xf>
    <xf numFmtId="1" fontId="2" fillId="0" borderId="0" xfId="0" applyFont="1" applyAlignment="1">
      <alignment wrapText="1"/>
    </xf>
    <xf numFmtId="1" fontId="1" fillId="0" borderId="0" xfId="0" applyFont="1" applyAlignment="1">
      <alignment horizontal="center" vertical="center" wrapText="1"/>
    </xf>
    <xf numFmtId="0" fontId="1" fillId="0" borderId="3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/>
    <xf numFmtId="1" fontId="1" fillId="0" borderId="3" xfId="0" applyFont="1" applyBorder="1" applyAlignment="1">
      <alignment horizontal="center" vertical="center" wrapText="1"/>
    </xf>
    <xf numFmtId="1" fontId="5" fillId="0" borderId="0" xfId="0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" fillId="0" borderId="0" xfId="1" applyFont="1" applyAlignment="1">
      <alignment horizontal="right" vertical="center"/>
    </xf>
    <xf numFmtId="0" fontId="7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right" vertical="center"/>
    </xf>
    <xf numFmtId="0" fontId="6" fillId="0" borderId="0" xfId="0" applyNumberFormat="1" applyFont="1" applyAlignment="1">
      <alignment horizontal="left" vertical="center"/>
    </xf>
    <xf numFmtId="0" fontId="5" fillId="0" borderId="0" xfId="0" applyNumberFormat="1" applyFont="1" applyAlignment="1">
      <alignment vertical="center"/>
    </xf>
    <xf numFmtId="1" fontId="16" fillId="0" borderId="11" xfId="0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/>
    </xf>
    <xf numFmtId="2" fontId="1" fillId="0" borderId="0" xfId="0" applyNumberFormat="1" applyFont="1"/>
    <xf numFmtId="1" fontId="2" fillId="0" borderId="1" xfId="0" applyFont="1" applyBorder="1" applyAlignment="1">
      <alignment wrapText="1"/>
    </xf>
    <xf numFmtId="1" fontId="2" fillId="0" borderId="1" xfId="0" applyFont="1" applyBorder="1"/>
    <xf numFmtId="1" fontId="2" fillId="0" borderId="2" xfId="0" applyFont="1" applyBorder="1"/>
    <xf numFmtId="2" fontId="2" fillId="0" borderId="2" xfId="0" applyNumberFormat="1" applyFont="1" applyBorder="1"/>
    <xf numFmtId="4" fontId="2" fillId="0" borderId="2" xfId="0" applyNumberFormat="1" applyFont="1" applyBorder="1"/>
    <xf numFmtId="4" fontId="2" fillId="0" borderId="1" xfId="0" applyNumberFormat="1" applyFont="1" applyBorder="1"/>
    <xf numFmtId="40" fontId="1" fillId="0" borderId="0" xfId="0" applyNumberFormat="1" applyFont="1"/>
    <xf numFmtId="1" fontId="1" fillId="0" borderId="1" xfId="0" applyFont="1" applyBorder="1" applyAlignment="1">
      <alignment wrapText="1"/>
    </xf>
    <xf numFmtId="1" fontId="1" fillId="0" borderId="1" xfId="0" applyFont="1" applyBorder="1"/>
    <xf numFmtId="4" fontId="1" fillId="0" borderId="1" xfId="0" applyNumberFormat="1" applyFont="1" applyBorder="1"/>
    <xf numFmtId="1" fontId="19" fillId="0" borderId="0" xfId="0" applyFont="1" applyAlignment="1">
      <alignment horizontal="left"/>
    </xf>
    <xf numFmtId="0" fontId="16" fillId="0" borderId="0" xfId="0" applyNumberFormat="1" applyFont="1"/>
    <xf numFmtId="1" fontId="19" fillId="0" borderId="0" xfId="0" applyFont="1"/>
    <xf numFmtId="0" fontId="1" fillId="0" borderId="0" xfId="0" applyNumberFormat="1" applyFont="1" applyAlignment="1">
      <alignment wrapText="1"/>
    </xf>
    <xf numFmtId="1" fontId="1" fillId="0" borderId="0" xfId="0" applyFont="1" applyAlignment="1">
      <alignment wrapText="1"/>
    </xf>
    <xf numFmtId="9" fontId="1" fillId="0" borderId="0" xfId="4" applyFont="1" applyFill="1" applyBorder="1"/>
    <xf numFmtId="4" fontId="14" fillId="0" borderId="0" xfId="0" applyNumberFormat="1" applyFont="1"/>
    <xf numFmtId="1" fontId="21" fillId="0" borderId="0" xfId="0" applyFont="1"/>
    <xf numFmtId="4" fontId="22" fillId="0" borderId="0" xfId="0" applyNumberFormat="1" applyFont="1"/>
    <xf numFmtId="1" fontId="2" fillId="0" borderId="12" xfId="0" applyFont="1" applyBorder="1"/>
    <xf numFmtId="1" fontId="2" fillId="0" borderId="13" xfId="0" applyFont="1" applyBorder="1"/>
    <xf numFmtId="1" fontId="2" fillId="0" borderId="14" xfId="0" applyFont="1" applyBorder="1"/>
    <xf numFmtId="1" fontId="14" fillId="0" borderId="0" xfId="0" applyFont="1" applyAlignment="1">
      <alignment horizontal="right"/>
    </xf>
    <xf numFmtId="1" fontId="2" fillId="0" borderId="4" xfId="0" applyFont="1" applyBorder="1"/>
    <xf numFmtId="1" fontId="2" fillId="0" borderId="5" xfId="0" applyFont="1" applyBorder="1"/>
    <xf numFmtId="4" fontId="2" fillId="0" borderId="13" xfId="0" applyNumberFormat="1" applyFont="1" applyBorder="1"/>
    <xf numFmtId="4" fontId="2" fillId="0" borderId="16" xfId="0" applyNumberFormat="1" applyFont="1" applyBorder="1"/>
    <xf numFmtId="9" fontId="1" fillId="0" borderId="0" xfId="0" applyNumberFormat="1" applyFont="1"/>
    <xf numFmtId="4" fontId="21" fillId="0" borderId="0" xfId="0" applyNumberFormat="1" applyFont="1"/>
    <xf numFmtId="4" fontId="14" fillId="0" borderId="16" xfId="0" applyNumberFormat="1" applyFont="1" applyBorder="1"/>
    <xf numFmtId="1" fontId="2" fillId="0" borderId="15" xfId="0" applyFont="1" applyBorder="1"/>
    <xf numFmtId="1" fontId="2" fillId="0" borderId="16" xfId="0" applyFont="1" applyBorder="1"/>
    <xf numFmtId="9" fontId="2" fillId="0" borderId="16" xfId="0" applyNumberFormat="1" applyFont="1" applyBorder="1"/>
    <xf numFmtId="1" fontId="2" fillId="0" borderId="17" xfId="0" applyFont="1" applyBorder="1"/>
    <xf numFmtId="1" fontId="20" fillId="0" borderId="0" xfId="0" applyFont="1"/>
    <xf numFmtId="0" fontId="2" fillId="19" borderId="28" xfId="0" applyNumberFormat="1" applyFont="1" applyFill="1" applyBorder="1" applyAlignment="1">
      <alignment vertical="center"/>
    </xf>
    <xf numFmtId="0" fontId="2" fillId="19" borderId="7" xfId="0" applyNumberFormat="1" applyFont="1" applyFill="1" applyBorder="1" applyAlignment="1">
      <alignment vertical="center"/>
    </xf>
    <xf numFmtId="0" fontId="2" fillId="19" borderId="7" xfId="0" applyNumberFormat="1" applyFont="1" applyFill="1" applyBorder="1"/>
    <xf numFmtId="1" fontId="2" fillId="19" borderId="7" xfId="0" applyFont="1" applyFill="1" applyBorder="1" applyAlignment="1">
      <alignment horizontal="left"/>
    </xf>
    <xf numFmtId="1" fontId="2" fillId="19" borderId="8" xfId="0" applyFont="1" applyFill="1" applyBorder="1"/>
    <xf numFmtId="2" fontId="1" fillId="0" borderId="3" xfId="0" applyNumberFormat="1" applyFont="1" applyBorder="1" applyAlignment="1">
      <alignment horizontal="left" vertical="center"/>
    </xf>
    <xf numFmtId="1" fontId="2" fillId="10" borderId="3" xfId="2" applyNumberFormat="1" applyFill="1" applyBorder="1" applyAlignment="1">
      <alignment horizontal="center" vertical="center"/>
    </xf>
    <xf numFmtId="1" fontId="2" fillId="7" borderId="3" xfId="2" applyNumberFormat="1" applyFill="1" applyBorder="1" applyAlignment="1">
      <alignment horizontal="center" vertical="center"/>
    </xf>
    <xf numFmtId="1" fontId="2" fillId="6" borderId="3" xfId="2" applyNumberFormat="1" applyFill="1" applyBorder="1" applyAlignment="1">
      <alignment horizontal="center" vertical="center"/>
    </xf>
    <xf numFmtId="1" fontId="2" fillId="9" borderId="3" xfId="2" applyNumberFormat="1" applyFill="1" applyBorder="1" applyAlignment="1">
      <alignment horizontal="center" vertical="center"/>
    </xf>
    <xf numFmtId="1" fontId="2" fillId="11" borderId="3" xfId="2" applyNumberFormat="1" applyFill="1" applyBorder="1" applyAlignment="1">
      <alignment horizontal="center" vertical="center"/>
    </xf>
    <xf numFmtId="2" fontId="1" fillId="0" borderId="0" xfId="0" applyNumberFormat="1" applyFont="1" applyAlignment="1">
      <alignment horizontal="left" vertical="center"/>
    </xf>
    <xf numFmtId="0" fontId="16" fillId="0" borderId="0" xfId="0" applyNumberFormat="1" applyFont="1" applyAlignment="1">
      <alignment horizontal="center"/>
    </xf>
    <xf numFmtId="4" fontId="11" fillId="0" borderId="0" xfId="0" applyNumberFormat="1" applyFont="1" applyAlignment="1" applyProtection="1">
      <alignment horizontal="center"/>
      <protection locked="0"/>
    </xf>
    <xf numFmtId="4" fontId="2" fillId="0" borderId="0" xfId="0" applyNumberFormat="1" applyFont="1" applyAlignment="1">
      <alignment horizontal="center"/>
    </xf>
    <xf numFmtId="1" fontId="2" fillId="0" borderId="0" xfId="0" applyFont="1" applyAlignment="1">
      <alignment horizontal="left" wrapText="1"/>
    </xf>
    <xf numFmtId="1" fontId="11" fillId="0" borderId="0" xfId="0" applyFont="1" applyAlignment="1" applyProtection="1">
      <alignment horizontal="left" vertical="top"/>
      <protection locked="0"/>
    </xf>
    <xf numFmtId="2" fontId="16" fillId="0" borderId="0" xfId="0" applyNumberFormat="1" applyFont="1" applyAlignment="1">
      <alignment horizontal="left"/>
    </xf>
    <xf numFmtId="39" fontId="16" fillId="0" borderId="0" xfId="0" applyNumberFormat="1" applyFont="1" applyAlignment="1">
      <alignment horizontal="center" vertical="center"/>
    </xf>
    <xf numFmtId="0" fontId="14" fillId="0" borderId="0" xfId="0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/>
    </xf>
    <xf numFmtId="14" fontId="1" fillId="0" borderId="3" xfId="0" applyNumberFormat="1" applyFont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4" fontId="11" fillId="0" borderId="0" xfId="0" applyNumberFormat="1" applyFont="1" applyAlignment="1" applyProtection="1">
      <alignment horizontal="center" vertical="center"/>
      <protection locked="0"/>
    </xf>
    <xf numFmtId="14" fontId="2" fillId="0" borderId="1" xfId="0" applyNumberFormat="1" applyFont="1" applyBorder="1"/>
    <xf numFmtId="14" fontId="1" fillId="0" borderId="0" xfId="0" applyNumberFormat="1" applyFont="1"/>
    <xf numFmtId="14" fontId="2" fillId="0" borderId="0" xfId="0" applyNumberFormat="1" applyFont="1"/>
    <xf numFmtId="14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left" vertical="center"/>
    </xf>
    <xf numFmtId="14" fontId="1" fillId="0" borderId="1" xfId="0" applyNumberFormat="1" applyFont="1" applyBorder="1"/>
    <xf numFmtId="14" fontId="2" fillId="0" borderId="0" xfId="0" applyNumberFormat="1" applyFont="1" applyAlignment="1">
      <alignment horizontal="fill"/>
    </xf>
    <xf numFmtId="14" fontId="11" fillId="0" borderId="0" xfId="0" applyNumberFormat="1" applyFont="1" applyAlignment="1" applyProtection="1">
      <alignment horizontal="left" vertical="center"/>
      <protection locked="0"/>
    </xf>
    <xf numFmtId="10" fontId="27" fillId="0" borderId="0" xfId="2" applyNumberFormat="1" applyFont="1" applyAlignment="1" applyProtection="1">
      <alignment vertical="center" wrapText="1"/>
      <protection locked="0"/>
    </xf>
    <xf numFmtId="1" fontId="14" fillId="0" borderId="0" xfId="2" applyNumberFormat="1" applyFont="1" applyAlignment="1" applyProtection="1">
      <alignment vertical="center" wrapText="1"/>
      <protection locked="0"/>
    </xf>
    <xf numFmtId="0" fontId="2" fillId="0" borderId="24" xfId="2" applyBorder="1" applyAlignment="1">
      <alignment vertical="center"/>
    </xf>
    <xf numFmtId="14" fontId="14" fillId="0" borderId="0" xfId="0" applyNumberFormat="1" applyFont="1" applyAlignment="1" applyProtection="1">
      <alignment horizontal="left"/>
      <protection locked="0"/>
    </xf>
    <xf numFmtId="172" fontId="1" fillId="0" borderId="0" xfId="2" applyNumberFormat="1" applyFont="1" applyAlignment="1">
      <alignment horizontal="fill" vertical="center"/>
    </xf>
    <xf numFmtId="172" fontId="1" fillId="0" borderId="0" xfId="2" applyNumberFormat="1" applyFont="1" applyAlignment="1">
      <alignment horizontal="center" vertical="center"/>
    </xf>
    <xf numFmtId="172" fontId="2" fillId="0" borderId="2" xfId="2" applyNumberFormat="1" applyBorder="1" applyAlignment="1">
      <alignment vertical="center"/>
    </xf>
    <xf numFmtId="172" fontId="2" fillId="0" borderId="0" xfId="2" applyNumberFormat="1" applyAlignment="1">
      <alignment vertical="center"/>
    </xf>
    <xf numFmtId="172" fontId="1" fillId="0" borderId="0" xfId="0" applyNumberFormat="1" applyFont="1" applyAlignment="1">
      <alignment horizontal="right" vertical="center"/>
    </xf>
    <xf numFmtId="172" fontId="1" fillId="0" borderId="27" xfId="2" applyNumberFormat="1" applyFont="1" applyBorder="1" applyAlignment="1">
      <alignment vertical="center"/>
    </xf>
    <xf numFmtId="172" fontId="2" fillId="0" borderId="21" xfId="0" applyNumberFormat="1" applyFont="1" applyBorder="1" applyAlignment="1">
      <alignment vertical="center"/>
    </xf>
    <xf numFmtId="172" fontId="1" fillId="0" borderId="23" xfId="2" applyNumberFormat="1" applyFont="1" applyBorder="1" applyAlignment="1">
      <alignment vertical="center"/>
    </xf>
    <xf numFmtId="172" fontId="1" fillId="0" borderId="0" xfId="2" applyNumberFormat="1" applyFont="1" applyAlignment="1">
      <alignment vertical="center"/>
    </xf>
    <xf numFmtId="172" fontId="2" fillId="0" borderId="0" xfId="0" applyNumberFormat="1" applyFont="1" applyAlignment="1">
      <alignment horizontal="right" vertical="center"/>
    </xf>
    <xf numFmtId="172" fontId="2" fillId="0" borderId="22" xfId="2" applyNumberFormat="1" applyBorder="1" applyAlignment="1">
      <alignment vertical="center"/>
    </xf>
    <xf numFmtId="172" fontId="1" fillId="0" borderId="19" xfId="0" applyNumberFormat="1" applyFont="1" applyBorder="1" applyAlignment="1">
      <alignment vertical="center"/>
    </xf>
    <xf numFmtId="172" fontId="1" fillId="0" borderId="0" xfId="0" applyNumberFormat="1" applyFont="1" applyAlignment="1">
      <alignment vertical="center"/>
    </xf>
    <xf numFmtId="172" fontId="2" fillId="0" borderId="3" xfId="2" applyNumberFormat="1" applyBorder="1" applyAlignment="1">
      <alignment vertical="center"/>
    </xf>
    <xf numFmtId="172" fontId="2" fillId="0" borderId="0" xfId="2" applyNumberFormat="1" applyAlignment="1">
      <alignment horizontal="fill" vertical="center"/>
    </xf>
    <xf numFmtId="172" fontId="1" fillId="2" borderId="27" xfId="0" applyNumberFormat="1" applyFont="1" applyFill="1" applyBorder="1" applyAlignment="1">
      <alignment vertical="center"/>
    </xf>
    <xf numFmtId="17" fontId="16" fillId="0" borderId="0" xfId="0" applyNumberFormat="1" applyFont="1"/>
    <xf numFmtId="0" fontId="30" fillId="0" borderId="0" xfId="0" applyNumberFormat="1" applyFont="1" applyAlignment="1">
      <alignment vertical="center"/>
    </xf>
    <xf numFmtId="1" fontId="30" fillId="0" borderId="0" xfId="0" applyFont="1" applyAlignment="1">
      <alignment vertical="center"/>
    </xf>
    <xf numFmtId="1" fontId="33" fillId="0" borderId="0" xfId="0" applyFont="1"/>
    <xf numFmtId="1" fontId="30" fillId="0" borderId="0" xfId="0" applyFont="1"/>
    <xf numFmtId="1" fontId="30" fillId="0" borderId="0" xfId="0" applyFont="1" applyAlignment="1">
      <alignment horizontal="center"/>
    </xf>
    <xf numFmtId="1" fontId="30" fillId="0" borderId="0" xfId="0" applyFont="1" applyAlignment="1">
      <alignment horizontal="center" vertical="center"/>
    </xf>
    <xf numFmtId="1" fontId="33" fillId="0" borderId="0" xfId="0" applyFont="1" applyAlignment="1">
      <alignment horizontal="center" vertical="center"/>
    </xf>
    <xf numFmtId="3" fontId="30" fillId="0" borderId="0" xfId="0" applyNumberFormat="1" applyFont="1"/>
    <xf numFmtId="0" fontId="30" fillId="0" borderId="0" xfId="0" applyNumberFormat="1" applyFont="1" applyAlignment="1">
      <alignment horizontal="left" vertical="center"/>
    </xf>
    <xf numFmtId="0" fontId="33" fillId="0" borderId="0" xfId="0" applyNumberFormat="1" applyFont="1" applyAlignment="1">
      <alignment horizontal="center" vertical="center"/>
    </xf>
    <xf numFmtId="0" fontId="30" fillId="0" borderId="0" xfId="0" applyNumberFormat="1" applyFont="1"/>
    <xf numFmtId="0" fontId="2" fillId="0" borderId="3" xfId="0" applyNumberFormat="1" applyFont="1" applyBorder="1"/>
    <xf numFmtId="1" fontId="2" fillId="0" borderId="3" xfId="0" applyFont="1" applyBorder="1"/>
    <xf numFmtId="4" fontId="2" fillId="10" borderId="31" xfId="2" applyNumberFormat="1" applyFill="1" applyBorder="1"/>
    <xf numFmtId="4" fontId="2" fillId="7" borderId="31" xfId="2" applyNumberFormat="1" applyFill="1" applyBorder="1"/>
    <xf numFmtId="4" fontId="2" fillId="6" borderId="31" xfId="2" applyNumberFormat="1" applyFill="1" applyBorder="1"/>
    <xf numFmtId="4" fontId="2" fillId="9" borderId="31" xfId="2" applyNumberFormat="1" applyFill="1" applyBorder="1"/>
    <xf numFmtId="4" fontId="2" fillId="11" borderId="31" xfId="2" applyNumberFormat="1" applyFill="1" applyBorder="1"/>
    <xf numFmtId="2" fontId="2" fillId="0" borderId="31" xfId="0" applyNumberFormat="1" applyFont="1" applyBorder="1"/>
    <xf numFmtId="171" fontId="2" fillId="0" borderId="31" xfId="0" applyNumberFormat="1" applyFont="1" applyBorder="1"/>
    <xf numFmtId="4" fontId="1" fillId="0" borderId="31" xfId="2" applyNumberFormat="1" applyFont="1" applyBorder="1"/>
    <xf numFmtId="0" fontId="2" fillId="0" borderId="22" xfId="0" applyNumberFormat="1" applyFont="1" applyBorder="1"/>
    <xf numFmtId="0" fontId="1" fillId="0" borderId="7" xfId="0" applyNumberFormat="1" applyFont="1" applyBorder="1"/>
    <xf numFmtId="0" fontId="1" fillId="0" borderId="32" xfId="0" applyNumberFormat="1" applyFont="1" applyBorder="1"/>
    <xf numFmtId="0" fontId="1" fillId="0" borderId="33" xfId="0" applyNumberFormat="1" applyFont="1" applyBorder="1"/>
    <xf numFmtId="0" fontId="1" fillId="0" borderId="36" xfId="0" applyNumberFormat="1" applyFont="1" applyBorder="1"/>
    <xf numFmtId="0" fontId="1" fillId="0" borderId="41" xfId="0" applyNumberFormat="1" applyFont="1" applyBorder="1"/>
    <xf numFmtId="0" fontId="1" fillId="0" borderId="42" xfId="0" applyNumberFormat="1" applyFont="1" applyBorder="1"/>
    <xf numFmtId="0" fontId="1" fillId="0" borderId="43" xfId="0" applyNumberFormat="1" applyFont="1" applyBorder="1"/>
    <xf numFmtId="0" fontId="1" fillId="0" borderId="44" xfId="0" applyNumberFormat="1" applyFont="1" applyBorder="1"/>
    <xf numFmtId="0" fontId="2" fillId="0" borderId="45" xfId="0" applyNumberFormat="1" applyFont="1" applyBorder="1"/>
    <xf numFmtId="1" fontId="2" fillId="0" borderId="0" xfId="0" applyFont="1" applyAlignment="1">
      <alignment horizontal="left" vertical="center"/>
    </xf>
    <xf numFmtId="0" fontId="2" fillId="0" borderId="3" xfId="0" applyNumberFormat="1" applyFont="1" applyBorder="1" applyAlignment="1">
      <alignment horizontal="left" vertical="center"/>
    </xf>
    <xf numFmtId="0" fontId="2" fillId="0" borderId="37" xfId="0" applyNumberFormat="1" applyFont="1" applyBorder="1" applyAlignment="1">
      <alignment horizontal="left" vertical="center"/>
    </xf>
    <xf numFmtId="0" fontId="2" fillId="0" borderId="35" xfId="0" applyNumberFormat="1" applyFont="1" applyBorder="1" applyAlignment="1">
      <alignment horizontal="left" vertical="center"/>
    </xf>
    <xf numFmtId="0" fontId="2" fillId="0" borderId="34" xfId="0" applyNumberFormat="1" applyFont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2" fillId="0" borderId="38" xfId="0" applyNumberFormat="1" applyFont="1" applyBorder="1" applyAlignment="1">
      <alignment horizontal="left" vertical="center"/>
    </xf>
    <xf numFmtId="0" fontId="2" fillId="0" borderId="39" xfId="0" applyNumberFormat="1" applyFont="1" applyBorder="1" applyAlignment="1">
      <alignment horizontal="left" vertical="center"/>
    </xf>
    <xf numFmtId="0" fontId="2" fillId="0" borderId="40" xfId="0" applyNumberFormat="1" applyFont="1" applyBorder="1" applyAlignment="1">
      <alignment horizontal="left" vertical="center"/>
    </xf>
    <xf numFmtId="0" fontId="2" fillId="0" borderId="45" xfId="0" applyNumberFormat="1" applyFont="1" applyBorder="1" applyAlignment="1">
      <alignment horizontal="left" vertical="center"/>
    </xf>
    <xf numFmtId="171" fontId="1" fillId="0" borderId="0" xfId="4" applyNumberFormat="1" applyFont="1" applyFill="1"/>
    <xf numFmtId="1" fontId="16" fillId="0" borderId="0" xfId="0" applyFont="1" applyProtection="1">
      <protection locked="0"/>
    </xf>
    <xf numFmtId="171" fontId="16" fillId="0" borderId="0" xfId="0" applyNumberFormat="1" applyFont="1"/>
    <xf numFmtId="171" fontId="1" fillId="0" borderId="0" xfId="0" applyNumberFormat="1" applyFont="1"/>
    <xf numFmtId="0" fontId="2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1" fontId="2" fillId="0" borderId="0" xfId="2" applyNumberFormat="1" applyAlignment="1">
      <alignment horizontal="center"/>
    </xf>
    <xf numFmtId="1" fontId="2" fillId="0" borderId="3" xfId="2" applyNumberFormat="1" applyBorder="1" applyAlignment="1">
      <alignment horizontal="center"/>
    </xf>
    <xf numFmtId="1" fontId="13" fillId="0" borderId="0" xfId="3" quotePrefix="1" applyNumberFormat="1" applyFont="1" applyFill="1" applyBorder="1" applyAlignment="1" applyProtection="1">
      <alignment horizontal="center"/>
    </xf>
    <xf numFmtId="1" fontId="2" fillId="0" borderId="2" xfId="0" quotePrefix="1" applyFont="1" applyBorder="1"/>
    <xf numFmtId="173" fontId="1" fillId="0" borderId="0" xfId="0" applyNumberFormat="1" applyFont="1" applyAlignment="1">
      <alignment horizontal="center" vertical="center" wrapText="1"/>
    </xf>
    <xf numFmtId="0" fontId="14" fillId="0" borderId="3" xfId="0" applyNumberFormat="1" applyFont="1" applyBorder="1" applyAlignment="1">
      <alignment horizontal="center" vertical="center" wrapText="1"/>
    </xf>
    <xf numFmtId="4" fontId="2" fillId="20" borderId="0" xfId="2" applyNumberFormat="1" applyFill="1"/>
    <xf numFmtId="4" fontId="2" fillId="21" borderId="0" xfId="2" applyNumberFormat="1" applyFill="1"/>
    <xf numFmtId="4" fontId="2" fillId="22" borderId="0" xfId="2" applyNumberFormat="1" applyFill="1"/>
    <xf numFmtId="4" fontId="2" fillId="23" borderId="0" xfId="2" applyNumberFormat="1" applyFill="1"/>
    <xf numFmtId="0" fontId="14" fillId="0" borderId="3" xfId="0" applyNumberFormat="1" applyFont="1" applyBorder="1" applyAlignment="1">
      <alignment horizontal="center" vertical="center"/>
    </xf>
    <xf numFmtId="1" fontId="2" fillId="0" borderId="0" xfId="2" applyNumberFormat="1" applyAlignment="1">
      <alignment horizontal="fill" vertical="center"/>
    </xf>
    <xf numFmtId="171" fontId="2" fillId="0" borderId="0" xfId="2" applyNumberFormat="1" applyAlignment="1">
      <alignment horizontal="fill" vertical="center"/>
    </xf>
    <xf numFmtId="1" fontId="1" fillId="0" borderId="0" xfId="2" applyNumberFormat="1" applyFont="1" applyAlignment="1">
      <alignment vertical="center"/>
    </xf>
    <xf numFmtId="171" fontId="1" fillId="0" borderId="0" xfId="2" applyNumberFormat="1" applyFont="1" applyAlignment="1">
      <alignment vertical="center"/>
    </xf>
    <xf numFmtId="171" fontId="1" fillId="0" borderId="0" xfId="2" applyNumberFormat="1" applyFont="1" applyAlignment="1">
      <alignment horizontal="fill" vertical="center"/>
    </xf>
    <xf numFmtId="1" fontId="1" fillId="0" borderId="0" xfId="2" applyNumberFormat="1" applyFont="1" applyAlignment="1">
      <alignment horizontal="right" vertical="center"/>
    </xf>
    <xf numFmtId="171" fontId="1" fillId="0" borderId="0" xfId="2" applyNumberFormat="1" applyFont="1" applyAlignment="1">
      <alignment horizontal="right" vertical="center"/>
    </xf>
    <xf numFmtId="15" fontId="1" fillId="0" borderId="0" xfId="2" applyNumberFormat="1" applyFont="1" applyAlignment="1">
      <alignment horizontal="right" vertical="center"/>
    </xf>
    <xf numFmtId="14" fontId="1" fillId="0" borderId="0" xfId="2" applyNumberFormat="1" applyFont="1" applyAlignment="1">
      <alignment horizontal="right" vertical="center"/>
    </xf>
    <xf numFmtId="0" fontId="1" fillId="0" borderId="0" xfId="2" applyFont="1" applyAlignment="1">
      <alignment horizontal="center" vertical="center"/>
    </xf>
    <xf numFmtId="1" fontId="1" fillId="0" borderId="0" xfId="2" applyNumberFormat="1" applyFont="1" applyAlignment="1">
      <alignment horizontal="center" vertical="center"/>
    </xf>
    <xf numFmtId="171" fontId="1" fillId="0" borderId="0" xfId="2" applyNumberFormat="1" applyFont="1" applyAlignment="1">
      <alignment horizontal="center" vertical="center"/>
    </xf>
    <xf numFmtId="171" fontId="2" fillId="0" borderId="19" xfId="2" applyNumberFormat="1" applyBorder="1" applyAlignment="1">
      <alignment vertical="center"/>
    </xf>
    <xf numFmtId="171" fontId="2" fillId="0" borderId="20" xfId="2" applyNumberFormat="1" applyBorder="1" applyAlignment="1">
      <alignment vertical="center"/>
    </xf>
    <xf numFmtId="171" fontId="2" fillId="0" borderId="22" xfId="2" applyNumberFormat="1" applyBorder="1" applyAlignment="1">
      <alignment vertical="center"/>
    </xf>
    <xf numFmtId="171" fontId="1" fillId="0" borderId="23" xfId="2" applyNumberFormat="1" applyFont="1" applyBorder="1" applyAlignment="1">
      <alignment vertical="center"/>
    </xf>
    <xf numFmtId="171" fontId="1" fillId="0" borderId="27" xfId="0" applyNumberFormat="1" applyFont="1" applyBorder="1" applyAlignment="1">
      <alignment vertical="center"/>
    </xf>
    <xf numFmtId="0" fontId="11" fillId="0" borderId="0" xfId="2" applyFont="1" applyAlignment="1">
      <alignment vertical="center"/>
    </xf>
    <xf numFmtId="10" fontId="2" fillId="0" borderId="0" xfId="1" applyNumberFormat="1" applyAlignment="1">
      <alignment vertical="center"/>
    </xf>
    <xf numFmtId="165" fontId="2" fillId="0" borderId="0" xfId="1" applyNumberFormat="1" applyAlignment="1">
      <alignment vertical="center"/>
    </xf>
    <xf numFmtId="171" fontId="2" fillId="0" borderId="0" xfId="0" applyNumberFormat="1" applyFont="1" applyAlignment="1">
      <alignment horizontal="center" vertical="center"/>
    </xf>
    <xf numFmtId="1" fontId="1" fillId="0" borderId="3" xfId="0" applyFont="1" applyBorder="1" applyAlignment="1">
      <alignment horizontal="right" vertical="center"/>
    </xf>
    <xf numFmtId="0" fontId="1" fillId="0" borderId="3" xfId="0" applyNumberFormat="1" applyFont="1" applyBorder="1" applyAlignment="1">
      <alignment horizontal="right" vertical="center"/>
    </xf>
    <xf numFmtId="0" fontId="1" fillId="0" borderId="0" xfId="0" applyNumberFormat="1" applyFont="1" applyAlignment="1">
      <alignment horizontal="right" vertical="center"/>
    </xf>
    <xf numFmtId="0" fontId="1" fillId="0" borderId="0" xfId="0" applyNumberFormat="1" applyFont="1" applyAlignment="1">
      <alignment horizontal="right"/>
    </xf>
    <xf numFmtId="1" fontId="2" fillId="0" borderId="1" xfId="0" applyFont="1" applyBorder="1" applyAlignment="1">
      <alignment horizontal="right"/>
    </xf>
    <xf numFmtId="39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 vertical="center"/>
    </xf>
    <xf numFmtId="4" fontId="16" fillId="0" borderId="0" xfId="0" applyNumberFormat="1" applyFont="1" applyAlignment="1" applyProtection="1">
      <alignment horizontal="right"/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" fontId="2" fillId="0" borderId="0" xfId="0" applyNumberFormat="1" applyFont="1" applyAlignment="1" applyProtection="1">
      <alignment horizontal="right"/>
      <protection locked="0"/>
    </xf>
    <xf numFmtId="4" fontId="11" fillId="0" borderId="0" xfId="0" applyNumberFormat="1" applyFont="1" applyAlignment="1" applyProtection="1">
      <alignment horizontal="right" vertical="center"/>
      <protection locked="0"/>
    </xf>
    <xf numFmtId="4" fontId="1" fillId="0" borderId="1" xfId="0" applyNumberFormat="1" applyFont="1" applyBorder="1" applyAlignment="1">
      <alignment horizontal="right"/>
    </xf>
    <xf numFmtId="0" fontId="2" fillId="0" borderId="0" xfId="0" applyNumberFormat="1" applyFont="1" applyAlignment="1">
      <alignment horizontal="right"/>
    </xf>
    <xf numFmtId="4" fontId="2" fillId="0" borderId="2" xfId="0" applyNumberFormat="1" applyFont="1" applyBorder="1" applyAlignment="1">
      <alignment horizontal="right"/>
    </xf>
    <xf numFmtId="4" fontId="2" fillId="0" borderId="1" xfId="0" applyNumberFormat="1" applyFont="1" applyBorder="1" applyAlignment="1">
      <alignment horizontal="right"/>
    </xf>
    <xf numFmtId="4" fontId="2" fillId="0" borderId="0" xfId="2" applyNumberFormat="1" applyProtection="1">
      <protection locked="0"/>
    </xf>
    <xf numFmtId="1" fontId="1" fillId="0" borderId="9" xfId="0" applyFont="1" applyBorder="1" applyAlignment="1">
      <alignment horizontal="right" vertical="center"/>
    </xf>
    <xf numFmtId="0" fontId="1" fillId="0" borderId="10" xfId="0" applyNumberFormat="1" applyFont="1" applyBorder="1"/>
    <xf numFmtId="1" fontId="2" fillId="0" borderId="10" xfId="0" applyFont="1" applyBorder="1"/>
    <xf numFmtId="4" fontId="2" fillId="0" borderId="10" xfId="0" applyNumberFormat="1" applyFont="1" applyBorder="1" applyProtection="1">
      <protection locked="0"/>
    </xf>
    <xf numFmtId="4" fontId="11" fillId="0" borderId="46" xfId="0" applyNumberFormat="1" applyFont="1" applyBorder="1" applyAlignment="1" applyProtection="1">
      <alignment horizontal="right"/>
      <protection locked="0"/>
    </xf>
    <xf numFmtId="171" fontId="2" fillId="0" borderId="0" xfId="0" applyNumberFormat="1" applyFont="1"/>
    <xf numFmtId="171" fontId="21" fillId="0" borderId="0" xfId="0" applyNumberFormat="1" applyFont="1"/>
    <xf numFmtId="171" fontId="22" fillId="0" borderId="0" xfId="0" applyNumberFormat="1" applyFont="1"/>
    <xf numFmtId="171" fontId="2" fillId="0" borderId="16" xfId="0" applyNumberFormat="1" applyFont="1" applyBorder="1"/>
    <xf numFmtId="1" fontId="1" fillId="0" borderId="12" xfId="0" applyFont="1" applyBorder="1"/>
    <xf numFmtId="171" fontId="14" fillId="0" borderId="16" xfId="0" applyNumberFormat="1" applyFont="1" applyBorder="1"/>
    <xf numFmtId="0" fontId="2" fillId="15" borderId="0" xfId="0" applyNumberFormat="1" applyFont="1" applyFill="1"/>
    <xf numFmtId="0" fontId="2" fillId="24" borderId="0" xfId="2" applyFill="1" applyAlignment="1">
      <alignment horizontal="center"/>
    </xf>
    <xf numFmtId="1" fontId="2" fillId="24" borderId="0" xfId="2" applyNumberFormat="1" applyFill="1" applyAlignment="1">
      <alignment horizontal="center"/>
    </xf>
    <xf numFmtId="1" fontId="2" fillId="24" borderId="3" xfId="2" applyNumberFormat="1" applyFill="1" applyBorder="1" applyAlignment="1">
      <alignment horizontal="center" vertical="center"/>
    </xf>
    <xf numFmtId="4" fontId="2" fillId="24" borderId="1" xfId="0" applyNumberFormat="1" applyFont="1" applyFill="1" applyBorder="1"/>
    <xf numFmtId="3" fontId="2" fillId="24" borderId="0" xfId="0" applyNumberFormat="1" applyFont="1" applyFill="1"/>
    <xf numFmtId="4" fontId="1" fillId="24" borderId="1" xfId="0" applyNumberFormat="1" applyFont="1" applyFill="1" applyBorder="1"/>
    <xf numFmtId="0" fontId="1" fillId="24" borderId="0" xfId="0" applyNumberFormat="1" applyFont="1" applyFill="1" applyAlignment="1">
      <alignment horizontal="center" vertical="center"/>
    </xf>
    <xf numFmtId="2" fontId="2" fillId="24" borderId="31" xfId="0" applyNumberFormat="1" applyFont="1" applyFill="1" applyBorder="1"/>
    <xf numFmtId="4" fontId="2" fillId="24" borderId="0" xfId="2" applyNumberFormat="1" applyFill="1"/>
    <xf numFmtId="1" fontId="2" fillId="24" borderId="1" xfId="2" applyNumberFormat="1" applyFill="1" applyBorder="1" applyAlignment="1">
      <alignment horizontal="fill"/>
    </xf>
    <xf numFmtId="1" fontId="2" fillId="24" borderId="0" xfId="2" applyNumberFormat="1" applyFill="1" applyAlignment="1">
      <alignment horizontal="fill"/>
    </xf>
    <xf numFmtId="1" fontId="2" fillId="8" borderId="0" xfId="2" applyNumberFormat="1" applyFill="1"/>
    <xf numFmtId="0" fontId="2" fillId="24" borderId="3" xfId="2" applyFill="1" applyBorder="1" applyAlignment="1">
      <alignment horizontal="center"/>
    </xf>
    <xf numFmtId="166" fontId="2" fillId="24" borderId="1" xfId="2" applyNumberFormat="1" applyFill="1" applyBorder="1" applyAlignment="1">
      <alignment horizontal="fill"/>
    </xf>
    <xf numFmtId="1" fontId="2" fillId="24" borderId="0" xfId="1" applyNumberFormat="1" applyFill="1" applyAlignment="1">
      <alignment horizontal="center"/>
    </xf>
    <xf numFmtId="0" fontId="2" fillId="24" borderId="1" xfId="2" applyFill="1" applyBorder="1" applyAlignment="1">
      <alignment horizontal="fill"/>
    </xf>
    <xf numFmtId="4" fontId="1" fillId="24" borderId="0" xfId="2" applyNumberFormat="1" applyFont="1" applyFill="1"/>
    <xf numFmtId="0" fontId="2" fillId="24" borderId="0" xfId="2" applyFill="1" applyAlignment="1">
      <alignment horizontal="fill"/>
    </xf>
    <xf numFmtId="0" fontId="2" fillId="24" borderId="1" xfId="2" applyFill="1" applyBorder="1"/>
    <xf numFmtId="0" fontId="2" fillId="24" borderId="0" xfId="2" applyFill="1" applyAlignment="1">
      <alignment horizontal="center" vertical="center"/>
    </xf>
    <xf numFmtId="0" fontId="2" fillId="24" borderId="0" xfId="2" applyFill="1" applyAlignment="1">
      <alignment vertical="center"/>
    </xf>
    <xf numFmtId="166" fontId="2" fillId="24" borderId="0" xfId="2" applyNumberFormat="1" applyFill="1" applyAlignment="1">
      <alignment horizontal="fill" vertical="center"/>
    </xf>
    <xf numFmtId="4" fontId="2" fillId="24" borderId="0" xfId="2" applyNumberFormat="1" applyFill="1" applyAlignment="1">
      <alignment vertical="center"/>
    </xf>
    <xf numFmtId="1" fontId="2" fillId="24" borderId="0" xfId="2" applyNumberFormat="1" applyFill="1" applyAlignment="1">
      <alignment horizontal="center" vertical="center"/>
    </xf>
    <xf numFmtId="1" fontId="2" fillId="24" borderId="1" xfId="2" applyNumberFormat="1" applyFill="1" applyBorder="1" applyAlignment="1">
      <alignment horizontal="fill" vertical="center"/>
    </xf>
    <xf numFmtId="1" fontId="2" fillId="24" borderId="0" xfId="1" applyNumberFormat="1" applyFill="1" applyAlignment="1">
      <alignment horizontal="center" vertical="center"/>
    </xf>
    <xf numFmtId="0" fontId="2" fillId="24" borderId="1" xfId="2" applyFill="1" applyBorder="1" applyAlignment="1">
      <alignment horizontal="fill" vertical="center"/>
    </xf>
    <xf numFmtId="4" fontId="1" fillId="24" borderId="0" xfId="2" applyNumberFormat="1" applyFont="1" applyFill="1" applyAlignment="1">
      <alignment vertical="center"/>
    </xf>
    <xf numFmtId="1" fontId="1" fillId="0" borderId="0" xfId="0" applyFont="1" applyAlignment="1">
      <alignment horizontal="center" wrapText="1"/>
    </xf>
    <xf numFmtId="0" fontId="1" fillId="0" borderId="0" xfId="1" applyFont="1" applyAlignment="1">
      <alignment vertical="center"/>
    </xf>
    <xf numFmtId="0" fontId="2" fillId="24" borderId="3" xfId="2" applyFill="1" applyBorder="1" applyAlignment="1">
      <alignment horizontal="center" vertical="center"/>
    </xf>
    <xf numFmtId="0" fontId="1" fillId="0" borderId="0" xfId="1" applyFont="1"/>
    <xf numFmtId="39" fontId="30" fillId="0" borderId="0" xfId="3" applyNumberFormat="1" applyAlignment="1" applyProtection="1">
      <alignment horizontal="left" vertical="center"/>
    </xf>
    <xf numFmtId="0" fontId="2" fillId="0" borderId="7" xfId="0" applyNumberFormat="1" applyFont="1" applyBorder="1" applyAlignment="1">
      <alignment horizontal="left" vertical="top" wrapText="1"/>
    </xf>
    <xf numFmtId="0" fontId="2" fillId="0" borderId="10" xfId="0" applyNumberFormat="1" applyFont="1" applyBorder="1" applyAlignment="1">
      <alignment horizontal="left" vertical="top" wrapText="1"/>
    </xf>
    <xf numFmtId="0" fontId="2" fillId="0" borderId="8" xfId="0" applyNumberFormat="1" applyFont="1" applyBorder="1" applyAlignment="1">
      <alignment horizontal="left" vertical="top" wrapText="1"/>
    </xf>
    <xf numFmtId="0" fontId="2" fillId="0" borderId="11" xfId="0" applyNumberFormat="1" applyFont="1" applyBorder="1" applyAlignment="1">
      <alignment horizontal="left" vertical="top" wrapText="1"/>
    </xf>
    <xf numFmtId="0" fontId="1" fillId="9" borderId="0" xfId="1" applyFont="1" applyFill="1" applyAlignment="1">
      <alignment horizontal="center"/>
    </xf>
    <xf numFmtId="0" fontId="2" fillId="24" borderId="0" xfId="2" applyFill="1" applyAlignment="1">
      <alignment horizontal="center"/>
    </xf>
    <xf numFmtId="1" fontId="1" fillId="10" borderId="0" xfId="2" applyNumberFormat="1" applyFont="1" applyFill="1" applyAlignment="1">
      <alignment horizontal="center" wrapText="1"/>
    </xf>
    <xf numFmtId="0" fontId="2" fillId="10" borderId="6" xfId="0" applyNumberFormat="1" applyFont="1" applyFill="1" applyBorder="1" applyAlignment="1">
      <alignment wrapText="1"/>
    </xf>
    <xf numFmtId="4" fontId="1" fillId="0" borderId="0" xfId="0" applyNumberFormat="1" applyFont="1" applyAlignment="1">
      <alignment horizontal="right"/>
    </xf>
    <xf numFmtId="1" fontId="1" fillId="2" borderId="0" xfId="2" applyNumberFormat="1" applyFont="1" applyFill="1" applyAlignment="1">
      <alignment horizontal="center" vertical="center"/>
    </xf>
    <xf numFmtId="1" fontId="1" fillId="2" borderId="0" xfId="2" applyNumberFormat="1" applyFont="1" applyFill="1" applyAlignment="1">
      <alignment horizontal="center"/>
    </xf>
    <xf numFmtId="1" fontId="14" fillId="2" borderId="18" xfId="2" applyNumberFormat="1" applyFont="1" applyFill="1" applyBorder="1" applyAlignment="1">
      <alignment horizontal="left" vertical="top"/>
    </xf>
    <xf numFmtId="1" fontId="14" fillId="2" borderId="0" xfId="2" applyNumberFormat="1" applyFont="1" applyFill="1" applyAlignment="1">
      <alignment horizontal="left" vertical="top"/>
    </xf>
    <xf numFmtId="1" fontId="14" fillId="2" borderId="6" xfId="2" applyNumberFormat="1" applyFont="1" applyFill="1" applyBorder="1" applyAlignment="1">
      <alignment horizontal="left" vertical="top"/>
    </xf>
    <xf numFmtId="0" fontId="1" fillId="10" borderId="0" xfId="0" applyNumberFormat="1" applyFont="1" applyFill="1" applyAlignment="1">
      <alignment horizontal="center"/>
    </xf>
    <xf numFmtId="0" fontId="2" fillId="0" borderId="0" xfId="0" applyNumberFormat="1" applyFont="1" applyAlignment="1">
      <alignment horizontal="center"/>
    </xf>
    <xf numFmtId="1" fontId="1" fillId="10" borderId="0" xfId="2" applyNumberFormat="1" applyFont="1" applyFill="1" applyAlignment="1">
      <alignment horizontal="center" vertical="top"/>
    </xf>
    <xf numFmtId="0" fontId="2" fillId="10" borderId="6" xfId="0" applyNumberFormat="1" applyFont="1" applyFill="1" applyBorder="1" applyAlignment="1">
      <alignment horizontal="center" vertical="top"/>
    </xf>
    <xf numFmtId="0" fontId="2" fillId="24" borderId="4" xfId="2" applyFill="1" applyBorder="1" applyAlignment="1">
      <alignment horizontal="center"/>
    </xf>
    <xf numFmtId="0" fontId="2" fillId="10" borderId="0" xfId="2" applyFill="1" applyAlignment="1">
      <alignment horizontal="center"/>
    </xf>
    <xf numFmtId="0" fontId="2" fillId="10" borderId="4" xfId="2" applyFill="1" applyBorder="1" applyAlignment="1">
      <alignment horizontal="center"/>
    </xf>
    <xf numFmtId="1" fontId="2" fillId="7" borderId="5" xfId="1" applyNumberFormat="1" applyFill="1" applyBorder="1" applyAlignment="1">
      <alignment horizontal="center" vertical="top"/>
    </xf>
    <xf numFmtId="1" fontId="2" fillId="7" borderId="0" xfId="1" applyNumberFormat="1" applyFill="1" applyAlignment="1">
      <alignment horizontal="center" vertical="top"/>
    </xf>
    <xf numFmtId="1" fontId="2" fillId="7" borderId="4" xfId="1" applyNumberFormat="1" applyFill="1" applyBorder="1" applyAlignment="1">
      <alignment horizontal="center" vertical="top"/>
    </xf>
    <xf numFmtId="1" fontId="2" fillId="6" borderId="5" xfId="1" applyNumberFormat="1" applyFill="1" applyBorder="1" applyAlignment="1">
      <alignment horizontal="center" vertical="top"/>
    </xf>
    <xf numFmtId="1" fontId="2" fillId="6" borderId="0" xfId="1" applyNumberFormat="1" applyFill="1" applyAlignment="1">
      <alignment horizontal="center" vertical="top"/>
    </xf>
    <xf numFmtId="1" fontId="2" fillId="6" borderId="4" xfId="1" applyNumberFormat="1" applyFill="1" applyBorder="1" applyAlignment="1">
      <alignment horizontal="center" vertical="top"/>
    </xf>
    <xf numFmtId="0" fontId="2" fillId="9" borderId="5" xfId="1" applyFill="1" applyBorder="1" applyAlignment="1">
      <alignment horizontal="center"/>
    </xf>
    <xf numFmtId="0" fontId="2" fillId="9" borderId="0" xfId="1" applyFill="1" applyAlignment="1">
      <alignment horizontal="center"/>
    </xf>
    <xf numFmtId="4" fontId="2" fillId="24" borderId="1" xfId="2" applyNumberFormat="1" applyFill="1" applyBorder="1" applyAlignment="1">
      <alignment horizontal="center"/>
    </xf>
    <xf numFmtId="4" fontId="2" fillId="24" borderId="0" xfId="2" applyNumberFormat="1" applyFill="1" applyAlignment="1">
      <alignment horizontal="center"/>
    </xf>
    <xf numFmtId="1" fontId="2" fillId="0" borderId="0" xfId="0" applyFont="1" applyAlignment="1">
      <alignment horizontal="center"/>
    </xf>
    <xf numFmtId="0" fontId="2" fillId="0" borderId="0" xfId="2" applyAlignment="1">
      <alignment horizontal="center"/>
    </xf>
    <xf numFmtId="1" fontId="1" fillId="0" borderId="0" xfId="0" applyFont="1" applyAlignment="1">
      <alignment horizontal="left" vertical="center"/>
    </xf>
    <xf numFmtId="1" fontId="1" fillId="0" borderId="0" xfId="0" applyFont="1" applyAlignment="1">
      <alignment horizontal="left"/>
    </xf>
    <xf numFmtId="1" fontId="1" fillId="0" borderId="0" xfId="0" applyFont="1" applyAlignment="1">
      <alignment horizontal="center"/>
    </xf>
    <xf numFmtId="0" fontId="1" fillId="0" borderId="0" xfId="0" applyNumberFormat="1" applyFont="1"/>
    <xf numFmtId="1" fontId="2" fillId="0" borderId="0" xfId="0" applyFont="1" applyAlignment="1">
      <alignment horizontal="center" vertical="top"/>
    </xf>
    <xf numFmtId="0" fontId="2" fillId="0" borderId="0" xfId="0" applyNumberFormat="1" applyFont="1" applyAlignment="1">
      <alignment horizontal="center" vertical="top"/>
    </xf>
    <xf numFmtId="1" fontId="1" fillId="0" borderId="0" xfId="2" applyNumberFormat="1" applyFont="1" applyAlignment="1">
      <alignment horizontal="left" vertical="top"/>
    </xf>
    <xf numFmtId="0" fontId="32" fillId="17" borderId="25" xfId="1" applyFont="1" applyFill="1" applyBorder="1" applyAlignment="1">
      <alignment horizontal="center" vertical="center"/>
    </xf>
    <xf numFmtId="0" fontId="32" fillId="17" borderId="20" xfId="1" applyFont="1" applyFill="1" applyBorder="1" applyAlignment="1">
      <alignment horizontal="center" vertical="center"/>
    </xf>
    <xf numFmtId="0" fontId="32" fillId="17" borderId="21" xfId="1" applyFont="1" applyFill="1" applyBorder="1" applyAlignment="1">
      <alignment horizontal="center" vertical="center"/>
    </xf>
    <xf numFmtId="0" fontId="32" fillId="17" borderId="26" xfId="1" applyFont="1" applyFill="1" applyBorder="1" applyAlignment="1">
      <alignment horizontal="center" vertical="center"/>
    </xf>
    <xf numFmtId="0" fontId="32" fillId="17" borderId="22" xfId="1" applyFont="1" applyFill="1" applyBorder="1" applyAlignment="1">
      <alignment horizontal="center" vertical="center"/>
    </xf>
    <xf numFmtId="0" fontId="32" fillId="17" borderId="23" xfId="1" applyFont="1" applyFill="1" applyBorder="1" applyAlignment="1">
      <alignment horizontal="center" vertical="center"/>
    </xf>
    <xf numFmtId="1" fontId="31" fillId="0" borderId="0" xfId="2" applyNumberFormat="1" applyFont="1" applyAlignment="1">
      <alignment horizontal="left" vertical="center"/>
    </xf>
    <xf numFmtId="1" fontId="14" fillId="0" borderId="0" xfId="2" applyNumberFormat="1" applyFont="1" applyAlignment="1">
      <alignment horizontal="left" vertical="top"/>
    </xf>
    <xf numFmtId="1" fontId="14" fillId="0" borderId="3" xfId="2" applyNumberFormat="1" applyFont="1" applyBorder="1" applyAlignment="1">
      <alignment horizontal="left" vertical="top"/>
    </xf>
    <xf numFmtId="0" fontId="2" fillId="24" borderId="0" xfId="2" applyFill="1" applyAlignment="1">
      <alignment horizontal="center" vertical="center"/>
    </xf>
    <xf numFmtId="0" fontId="2" fillId="15" borderId="0" xfId="2" applyFill="1" applyAlignment="1">
      <alignment horizontal="center" vertical="center"/>
    </xf>
    <xf numFmtId="0" fontId="2" fillId="24" borderId="4" xfId="2" applyFill="1" applyBorder="1" applyAlignment="1">
      <alignment horizontal="center" vertical="center"/>
    </xf>
    <xf numFmtId="0" fontId="1" fillId="10" borderId="0" xfId="0" applyNumberFormat="1" applyFont="1" applyFill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1" fillId="18" borderId="2" xfId="2" applyFont="1" applyFill="1" applyBorder="1" applyAlignment="1">
      <alignment horizontal="center" vertical="center"/>
    </xf>
    <xf numFmtId="1" fontId="1" fillId="10" borderId="0" xfId="2" applyNumberFormat="1" applyFont="1" applyFill="1" applyAlignment="1">
      <alignment horizontal="center" vertical="center"/>
    </xf>
    <xf numFmtId="0" fontId="2" fillId="10" borderId="0" xfId="0" applyNumberFormat="1" applyFont="1" applyFill="1" applyAlignment="1">
      <alignment horizontal="center" vertical="center"/>
    </xf>
    <xf numFmtId="1" fontId="1" fillId="10" borderId="0" xfId="2" applyNumberFormat="1" applyFont="1" applyFill="1" applyAlignment="1">
      <alignment horizontal="center" vertical="center" wrapText="1"/>
    </xf>
    <xf numFmtId="0" fontId="2" fillId="10" borderId="0" xfId="0" applyNumberFormat="1" applyFont="1" applyFill="1" applyAlignment="1">
      <alignment vertical="center" wrapText="1"/>
    </xf>
    <xf numFmtId="0" fontId="2" fillId="10" borderId="0" xfId="2" applyFill="1" applyAlignment="1">
      <alignment horizontal="center" vertical="center"/>
    </xf>
    <xf numFmtId="0" fontId="2" fillId="10" borderId="4" xfId="2" applyFill="1" applyBorder="1" applyAlignment="1">
      <alignment horizontal="center" vertical="center"/>
    </xf>
    <xf numFmtId="1" fontId="2" fillId="7" borderId="5" xfId="1" applyNumberFormat="1" applyFill="1" applyBorder="1" applyAlignment="1">
      <alignment horizontal="center" vertical="center"/>
    </xf>
    <xf numFmtId="1" fontId="2" fillId="7" borderId="0" xfId="1" applyNumberFormat="1" applyFill="1" applyAlignment="1">
      <alignment horizontal="center" vertical="center"/>
    </xf>
    <xf numFmtId="1" fontId="2" fillId="7" borderId="4" xfId="1" applyNumberFormat="1" applyFill="1" applyBorder="1" applyAlignment="1">
      <alignment horizontal="center" vertical="center"/>
    </xf>
    <xf numFmtId="1" fontId="2" fillId="6" borderId="5" xfId="1" applyNumberFormat="1" applyFill="1" applyBorder="1" applyAlignment="1">
      <alignment horizontal="center" vertical="center"/>
    </xf>
    <xf numFmtId="1" fontId="2" fillId="6" borderId="0" xfId="1" applyNumberFormat="1" applyFill="1" applyAlignment="1">
      <alignment horizontal="center" vertical="center"/>
    </xf>
    <xf numFmtId="1" fontId="2" fillId="6" borderId="4" xfId="1" applyNumberFormat="1" applyFill="1" applyBorder="1" applyAlignment="1">
      <alignment horizontal="center" vertical="center"/>
    </xf>
    <xf numFmtId="0" fontId="2" fillId="9" borderId="5" xfId="1" applyFill="1" applyBorder="1" applyAlignment="1">
      <alignment horizontal="center" vertical="center"/>
    </xf>
    <xf numFmtId="0" fontId="2" fillId="9" borderId="0" xfId="1" applyFill="1" applyAlignment="1">
      <alignment horizontal="center" vertical="center"/>
    </xf>
    <xf numFmtId="1" fontId="30" fillId="0" borderId="0" xfId="0" applyFont="1" applyAlignment="1">
      <alignment horizontal="center"/>
    </xf>
    <xf numFmtId="0" fontId="30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2" fillId="15" borderId="0" xfId="2" applyFill="1" applyAlignment="1">
      <alignment horizontal="center"/>
    </xf>
    <xf numFmtId="1" fontId="1" fillId="0" borderId="0" xfId="0" applyNumberFormat="1" applyFont="1" applyAlignment="1">
      <alignment horizontal="right" vertical="center"/>
    </xf>
    <xf numFmtId="2" fontId="30" fillId="0" borderId="0" xfId="3" applyNumberFormat="1" applyAlignment="1" applyProtection="1">
      <alignment horizontal="left" vertical="center"/>
    </xf>
  </cellXfs>
  <cellStyles count="8">
    <cellStyle name="Currency" xfId="7" builtinId="4"/>
    <cellStyle name="Followed Hyperlink" xfId="6" builtinId="9" customBuiltin="1"/>
    <cellStyle name="Hyperlink" xfId="3" builtinId="8" customBuiltin="1"/>
    <cellStyle name="Normal" xfId="0" builtinId="0"/>
    <cellStyle name="Normal 2" xfId="5" xr:uid="{00000000-0005-0000-0000-000004000000}"/>
    <cellStyle name="Normal_1" xfId="1" xr:uid="{00000000-0005-0000-0000-000005000000}"/>
    <cellStyle name="Normal_2" xfId="2" xr:uid="{00000000-0005-0000-0000-000006000000}"/>
    <cellStyle name="Percent" xfId="4" builtinId="5"/>
  </cellStyles>
  <dxfs count="8"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Arial"/>
        <scheme val="none"/>
      </font>
      <numFmt numFmtId="171" formatCode="#,##0.00_ ;[Red]\-#,##0.00\ 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Arial"/>
        <scheme val="none"/>
      </font>
      <numFmt numFmtId="174" formatCode="mmm\-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Arial"/>
        <scheme val="none"/>
      </font>
      <numFmt numFmtId="174" formatCode="mmm\-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9" defaultPivotStyle="PivotStyleLight16"/>
  <colors>
    <mruColors>
      <color rgb="FFFFCCCC"/>
      <color rgb="FF0000FF"/>
      <color rgb="FFFFCC99"/>
      <color rgb="FFCCFFCC"/>
      <color rgb="FFFFFF99"/>
      <color rgb="FFCCFFFF"/>
      <color rgb="FFCC3300"/>
      <color rgb="FF006600"/>
      <color rgb="FFFF8B8B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3009900</xdr:colOff>
          <xdr:row>107</xdr:row>
          <xdr:rowOff>76200</xdr:rowOff>
        </xdr:from>
        <xdr:to>
          <xdr:col>7</xdr:col>
          <xdr:colOff>4480560</xdr:colOff>
          <xdr:row>107</xdr:row>
          <xdr:rowOff>480060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2994660</xdr:colOff>
          <xdr:row>107</xdr:row>
          <xdr:rowOff>533400</xdr:rowOff>
        </xdr:from>
        <xdr:to>
          <xdr:col>7</xdr:col>
          <xdr:colOff>4480560</xdr:colOff>
          <xdr:row>107</xdr:row>
          <xdr:rowOff>937260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8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Month</a:t>
              </a:r>
            </a:p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MonthAdd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441960</xdr:colOff>
          <xdr:row>16</xdr:row>
          <xdr:rowOff>38100</xdr:rowOff>
        </xdr:from>
        <xdr:to>
          <xdr:col>4</xdr:col>
          <xdr:colOff>571500</xdr:colOff>
          <xdr:row>17</xdr:row>
          <xdr:rowOff>213360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8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Sum</a:t>
              </a:r>
            </a:p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Sum Line</a:t>
              </a:r>
            </a:p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Sum Line Add SumLine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632460</xdr:colOff>
          <xdr:row>16</xdr:row>
          <xdr:rowOff>38100</xdr:rowOff>
        </xdr:from>
        <xdr:to>
          <xdr:col>5</xdr:col>
          <xdr:colOff>975360</xdr:colOff>
          <xdr:row>17</xdr:row>
          <xdr:rowOff>213360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Sum Line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I108:K109" totalsRowShown="0" headerRowDxfId="7">
  <autoFilter ref="I108:K109" xr:uid="{00000000-0009-0000-0100-000001000000}"/>
  <tableColumns count="3">
    <tableColumn id="1" xr3:uid="{00000000-0010-0000-0000-000001000000}" name="Month " dataDxfId="6" totalsRowDxfId="5"/>
    <tableColumn id="2" xr3:uid="{00000000-0010-0000-0000-000002000000}" name="Claim No." dataDxfId="4" totalsRowDxfId="3"/>
    <tableColumn id="3" xr3:uid="{00000000-0010-0000-0000-000003000000}" name="Projected Claim Value" dataDxfId="2" totalsRow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3.xml"/><Relationship Id="rId4" Type="http://schemas.openxmlformats.org/officeDocument/2006/relationships/vmlDrawing" Target="../drawings/vmlDrawing6.vml"/><Relationship Id="rId9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pageSetUpPr fitToPage="1"/>
  </sheetPr>
  <dimension ref="B1:E40"/>
  <sheetViews>
    <sheetView zoomScaleNormal="100" workbookViewId="0">
      <selection activeCell="B1" sqref="B1"/>
    </sheetView>
  </sheetViews>
  <sheetFormatPr defaultColWidth="8.81640625" defaultRowHeight="15" x14ac:dyDescent="0.25"/>
  <cols>
    <col min="1" max="1" width="2.81640625" customWidth="1"/>
    <col min="2" max="2" width="40.1796875" bestFit="1" customWidth="1"/>
    <col min="3" max="3" width="16.1796875" style="608" customWidth="1"/>
    <col min="4" max="5" width="17.453125" customWidth="1"/>
    <col min="6" max="10" width="8.81640625" customWidth="1"/>
  </cols>
  <sheetData>
    <row r="1" spans="2:3" x14ac:dyDescent="0.25">
      <c r="B1" t="s">
        <v>231</v>
      </c>
      <c r="C1" s="603" t="str">
        <f>SUMRY!F2</f>
        <v>(Job Nme)</v>
      </c>
    </row>
    <row r="3" spans="2:3" ht="15.6" thickBot="1" x14ac:dyDescent="0.3">
      <c r="B3" s="583" t="s">
        <v>232</v>
      </c>
      <c r="C3" s="604"/>
    </row>
    <row r="4" spans="2:3" ht="16.2" thickTop="1" x14ac:dyDescent="0.3">
      <c r="B4" s="595" t="s">
        <v>233</v>
      </c>
      <c r="C4" s="605"/>
    </row>
    <row r="5" spans="2:3" ht="15.6" x14ac:dyDescent="0.3">
      <c r="B5" s="596" t="s">
        <v>234</v>
      </c>
      <c r="C5" s="606"/>
    </row>
    <row r="6" spans="2:3" ht="15.6" x14ac:dyDescent="0.3">
      <c r="B6" s="597" t="s">
        <v>235</v>
      </c>
      <c r="C6" s="607"/>
    </row>
    <row r="7" spans="2:3" ht="15.6" x14ac:dyDescent="0.3">
      <c r="B7" s="597" t="s">
        <v>236</v>
      </c>
      <c r="C7" s="607"/>
    </row>
    <row r="8" spans="2:3" ht="15.6" x14ac:dyDescent="0.3">
      <c r="B8" s="596" t="s">
        <v>237</v>
      </c>
      <c r="C8" s="606"/>
    </row>
    <row r="9" spans="2:3" ht="15.6" x14ac:dyDescent="0.3">
      <c r="B9" s="596" t="s">
        <v>238</v>
      </c>
      <c r="C9" s="606"/>
    </row>
    <row r="10" spans="2:3" ht="15.6" x14ac:dyDescent="0.3">
      <c r="B10" s="596" t="s">
        <v>239</v>
      </c>
      <c r="C10" s="606"/>
    </row>
    <row r="11" spans="2:3" ht="15.6" x14ac:dyDescent="0.3">
      <c r="B11" s="596" t="s">
        <v>240</v>
      </c>
      <c r="C11" s="606"/>
    </row>
    <row r="12" spans="2:3" ht="15.6" x14ac:dyDescent="0.3">
      <c r="B12" s="596" t="s">
        <v>241</v>
      </c>
      <c r="C12" s="606"/>
    </row>
    <row r="13" spans="2:3" ht="15.6" x14ac:dyDescent="0.3">
      <c r="B13" s="596" t="s">
        <v>242</v>
      </c>
      <c r="C13" s="606"/>
    </row>
    <row r="14" spans="2:3" ht="15.6" x14ac:dyDescent="0.3">
      <c r="B14" s="596" t="s">
        <v>243</v>
      </c>
      <c r="C14" s="606"/>
    </row>
    <row r="15" spans="2:3" ht="15.6" x14ac:dyDescent="0.3">
      <c r="B15" s="596" t="s">
        <v>244</v>
      </c>
      <c r="C15" s="606"/>
    </row>
    <row r="16" spans="2:3" ht="15.6" x14ac:dyDescent="0.3">
      <c r="B16" s="596" t="s">
        <v>245</v>
      </c>
      <c r="C16" s="606"/>
    </row>
    <row r="17" spans="2:3" ht="15.6" x14ac:dyDescent="0.3">
      <c r="B17" s="596" t="s">
        <v>246</v>
      </c>
      <c r="C17" s="606"/>
    </row>
    <row r="18" spans="2:3" ht="15.6" x14ac:dyDescent="0.3">
      <c r="B18" s="596" t="s">
        <v>247</v>
      </c>
      <c r="C18" s="606"/>
    </row>
    <row r="19" spans="2:3" ht="15.6" x14ac:dyDescent="0.3">
      <c r="B19" s="596" t="s">
        <v>248</v>
      </c>
      <c r="C19" s="606"/>
    </row>
    <row r="20" spans="2:3" x14ac:dyDescent="0.25">
      <c r="B20" s="713"/>
      <c r="C20" s="714"/>
    </row>
    <row r="21" spans="2:3" x14ac:dyDescent="0.25">
      <c r="B21" s="713"/>
      <c r="C21" s="714"/>
    </row>
    <row r="22" spans="2:3" ht="15.6" thickBot="1" x14ac:dyDescent="0.3">
      <c r="B22" s="715"/>
      <c r="C22" s="716"/>
    </row>
    <row r="23" spans="2:3" ht="15.6" thickTop="1" x14ac:dyDescent="0.25"/>
    <row r="24" spans="2:3" ht="15.6" thickBot="1" x14ac:dyDescent="0.3">
      <c r="B24" t="s">
        <v>249</v>
      </c>
    </row>
    <row r="25" spans="2:3" ht="16.2" thickTop="1" x14ac:dyDescent="0.3">
      <c r="B25" s="600" t="s">
        <v>250</v>
      </c>
      <c r="C25" s="609"/>
    </row>
    <row r="26" spans="2:3" ht="15.6" x14ac:dyDescent="0.3">
      <c r="B26" s="594" t="s">
        <v>251</v>
      </c>
      <c r="C26" s="606"/>
    </row>
    <row r="27" spans="2:3" ht="15.6" x14ac:dyDescent="0.3">
      <c r="B27" s="601" t="s">
        <v>252</v>
      </c>
      <c r="C27" s="606"/>
    </row>
    <row r="28" spans="2:3" ht="15.6" x14ac:dyDescent="0.3">
      <c r="B28" s="601" t="s">
        <v>253</v>
      </c>
      <c r="C28" s="610"/>
    </row>
    <row r="29" spans="2:3" ht="15.6" x14ac:dyDescent="0.3">
      <c r="B29" s="597" t="s">
        <v>254</v>
      </c>
      <c r="C29" s="606"/>
    </row>
    <row r="30" spans="2:3" ht="15.6" x14ac:dyDescent="0.3">
      <c r="B30" s="599" t="s">
        <v>257</v>
      </c>
      <c r="C30" s="610"/>
    </row>
    <row r="31" spans="2:3" ht="15.6" x14ac:dyDescent="0.3">
      <c r="B31" s="594" t="s">
        <v>255</v>
      </c>
      <c r="C31" s="606"/>
    </row>
    <row r="32" spans="2:3" ht="16.2" thickBot="1" x14ac:dyDescent="0.35">
      <c r="B32" s="598" t="s">
        <v>256</v>
      </c>
      <c r="C32" s="611"/>
    </row>
    <row r="33" spans="2:5" ht="15.6" thickTop="1" x14ac:dyDescent="0.25"/>
    <row r="39" spans="2:5" x14ac:dyDescent="0.25">
      <c r="B39" t="s">
        <v>258</v>
      </c>
    </row>
    <row r="40" spans="2:5" ht="15.6" thickBot="1" x14ac:dyDescent="0.3">
      <c r="B40" s="593"/>
      <c r="C40" s="612"/>
      <c r="D40" s="602"/>
      <c r="E40" s="602"/>
    </row>
  </sheetData>
  <mergeCells count="1">
    <mergeCell ref="B20:C22"/>
  </mergeCells>
  <pageMargins left="0.7" right="0.7" top="0.75" bottom="0.75" header="0.3" footer="0.3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6:A13"/>
  <sheetViews>
    <sheetView workbookViewId="0">
      <selection activeCell="A24" sqref="A24"/>
    </sheetView>
  </sheetViews>
  <sheetFormatPr defaultColWidth="8.81640625" defaultRowHeight="15" x14ac:dyDescent="0.25"/>
  <sheetData>
    <row r="6" spans="1:1" x14ac:dyDescent="0.25">
      <c r="A6" s="545"/>
    </row>
    <row r="7" spans="1:1" x14ac:dyDescent="0.25">
      <c r="A7" s="545"/>
    </row>
    <row r="13" spans="1:1" x14ac:dyDescent="0.25">
      <c r="A13" s="54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7"/>
  <dimension ref="A1:G42"/>
  <sheetViews>
    <sheetView zoomScale="75" workbookViewId="0"/>
  </sheetViews>
  <sheetFormatPr defaultColWidth="8.81640625" defaultRowHeight="15" x14ac:dyDescent="0.25"/>
  <cols>
    <col min="1" max="3" width="5.1796875" style="20" customWidth="1"/>
    <col min="4" max="4" width="26.1796875" style="20" customWidth="1"/>
    <col min="5" max="7" width="6.81640625" style="20" customWidth="1"/>
    <col min="8" max="8" width="2.1796875" style="20" customWidth="1"/>
    <col min="9" max="9" width="6.81640625" style="20" customWidth="1"/>
    <col min="10" max="16384" width="8.81640625" style="20"/>
  </cols>
  <sheetData>
    <row r="1" spans="1:7" x14ac:dyDescent="0.25">
      <c r="A1" t="s">
        <v>56</v>
      </c>
      <c r="E1"/>
    </row>
    <row r="2" spans="1:7" x14ac:dyDescent="0.25">
      <c r="E2" t="s">
        <v>57</v>
      </c>
      <c r="F2" t="s">
        <v>58</v>
      </c>
      <c r="G2" t="s">
        <v>59</v>
      </c>
    </row>
    <row r="3" spans="1:7" x14ac:dyDescent="0.25">
      <c r="A3" t="s">
        <v>60</v>
      </c>
      <c r="E3" t="s">
        <v>61</v>
      </c>
      <c r="F3" t="s">
        <v>62</v>
      </c>
      <c r="G3" t="s">
        <v>62</v>
      </c>
    </row>
    <row r="5" spans="1:7" x14ac:dyDescent="0.25">
      <c r="A5"/>
      <c r="B5"/>
      <c r="C5"/>
      <c r="D5"/>
      <c r="E5"/>
      <c r="F5"/>
      <c r="G5"/>
    </row>
    <row r="6" spans="1:7" x14ac:dyDescent="0.25">
      <c r="A6"/>
      <c r="B6"/>
      <c r="C6"/>
      <c r="D6"/>
      <c r="E6"/>
      <c r="F6"/>
      <c r="G6"/>
    </row>
    <row r="7" spans="1:7" x14ac:dyDescent="0.25">
      <c r="A7"/>
      <c r="B7"/>
      <c r="C7"/>
      <c r="D7"/>
      <c r="E7"/>
      <c r="F7"/>
      <c r="G7"/>
    </row>
    <row r="8" spans="1:7" x14ac:dyDescent="0.25">
      <c r="A8"/>
      <c r="B8"/>
      <c r="C8"/>
      <c r="D8"/>
      <c r="E8"/>
      <c r="F8"/>
      <c r="G8"/>
    </row>
    <row r="9" spans="1:7" x14ac:dyDescent="0.25">
      <c r="A9"/>
      <c r="B9"/>
      <c r="C9"/>
      <c r="D9"/>
      <c r="E9"/>
      <c r="F9"/>
      <c r="G9"/>
    </row>
    <row r="10" spans="1:7" x14ac:dyDescent="0.25">
      <c r="A10"/>
      <c r="B10"/>
      <c r="C10"/>
      <c r="D10"/>
      <c r="E10"/>
      <c r="F10"/>
      <c r="G10"/>
    </row>
    <row r="11" spans="1:7" x14ac:dyDescent="0.25">
      <c r="A11"/>
      <c r="B11"/>
      <c r="C11"/>
      <c r="D11"/>
      <c r="E11"/>
      <c r="F11"/>
      <c r="G11"/>
    </row>
    <row r="12" spans="1:7" x14ac:dyDescent="0.25">
      <c r="A12"/>
      <c r="B12"/>
      <c r="C12"/>
      <c r="D12"/>
      <c r="E12" t="s">
        <v>57</v>
      </c>
      <c r="F12" t="s">
        <v>58</v>
      </c>
      <c r="G12" t="s">
        <v>59</v>
      </c>
    </row>
    <row r="13" spans="1:7" x14ac:dyDescent="0.25">
      <c r="A13" t="s">
        <v>63</v>
      </c>
      <c r="B13"/>
      <c r="C13"/>
      <c r="D13"/>
      <c r="E13" t="s">
        <v>61</v>
      </c>
      <c r="F13" t="s">
        <v>62</v>
      </c>
      <c r="G13" t="s">
        <v>62</v>
      </c>
    </row>
    <row r="14" spans="1:7" x14ac:dyDescent="0.25">
      <c r="A14"/>
      <c r="B14"/>
      <c r="C14"/>
      <c r="D14"/>
      <c r="E14"/>
      <c r="F14"/>
      <c r="G14"/>
    </row>
    <row r="15" spans="1:7" x14ac:dyDescent="0.25">
      <c r="A15"/>
      <c r="B15"/>
      <c r="C15"/>
      <c r="D15"/>
      <c r="E15"/>
      <c r="F15"/>
      <c r="G15"/>
    </row>
    <row r="16" spans="1:7" x14ac:dyDescent="0.25">
      <c r="A16"/>
      <c r="B16"/>
      <c r="C16"/>
      <c r="D16"/>
      <c r="E16"/>
      <c r="F16"/>
      <c r="G16"/>
    </row>
    <row r="17" spans="1:7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/>
      <c r="B19"/>
      <c r="C19"/>
      <c r="D19"/>
      <c r="E19"/>
      <c r="F19"/>
      <c r="G19"/>
    </row>
    <row r="20" spans="1:7" x14ac:dyDescent="0.25">
      <c r="A20"/>
      <c r="B20"/>
      <c r="C20"/>
      <c r="D20"/>
      <c r="E20"/>
      <c r="F20"/>
      <c r="G20"/>
    </row>
    <row r="21" spans="1:7" x14ac:dyDescent="0.25">
      <c r="A21"/>
      <c r="B21"/>
      <c r="C21"/>
      <c r="D21"/>
      <c r="E21" t="s">
        <v>57</v>
      </c>
      <c r="F21" t="s">
        <v>58</v>
      </c>
      <c r="G21" t="s">
        <v>59</v>
      </c>
    </row>
    <row r="22" spans="1:7" x14ac:dyDescent="0.25">
      <c r="A22" t="s">
        <v>64</v>
      </c>
      <c r="B22"/>
      <c r="C22"/>
      <c r="D22"/>
      <c r="E22" t="s">
        <v>61</v>
      </c>
      <c r="F22" t="s">
        <v>62</v>
      </c>
      <c r="G22" t="s">
        <v>62</v>
      </c>
    </row>
    <row r="23" spans="1:7" x14ac:dyDescent="0.25">
      <c r="A23"/>
      <c r="B23"/>
      <c r="C23"/>
      <c r="D23"/>
    </row>
    <row r="24" spans="1:7" x14ac:dyDescent="0.25">
      <c r="A24"/>
      <c r="B24"/>
      <c r="C24"/>
      <c r="D24"/>
      <c r="E24"/>
      <c r="F24"/>
      <c r="G24"/>
    </row>
    <row r="25" spans="1:7" x14ac:dyDescent="0.25">
      <c r="A25"/>
      <c r="B25"/>
      <c r="C25"/>
      <c r="D25"/>
      <c r="E25"/>
      <c r="F25"/>
      <c r="G25"/>
    </row>
    <row r="26" spans="1:7" x14ac:dyDescent="0.25">
      <c r="B26"/>
      <c r="F26"/>
      <c r="G26"/>
    </row>
    <row r="27" spans="1:7" x14ac:dyDescent="0.25">
      <c r="A27"/>
      <c r="B27"/>
      <c r="C27"/>
      <c r="D27"/>
      <c r="E27" t="s">
        <v>57</v>
      </c>
      <c r="F27" t="s">
        <v>58</v>
      </c>
      <c r="G27" t="s">
        <v>59</v>
      </c>
    </row>
    <row r="28" spans="1:7" x14ac:dyDescent="0.25">
      <c r="A28" t="s">
        <v>65</v>
      </c>
      <c r="B28"/>
      <c r="C28"/>
      <c r="D28"/>
      <c r="E28" t="s">
        <v>61</v>
      </c>
      <c r="F28" t="s">
        <v>62</v>
      </c>
      <c r="G28" t="s">
        <v>62</v>
      </c>
    </row>
    <row r="30" spans="1:7" x14ac:dyDescent="0.25">
      <c r="A30"/>
      <c r="B30"/>
      <c r="C30"/>
      <c r="D30"/>
      <c r="E30"/>
      <c r="F30"/>
      <c r="G30" s="24"/>
    </row>
    <row r="31" spans="1:7" x14ac:dyDescent="0.25">
      <c r="A31"/>
      <c r="B31"/>
      <c r="C31"/>
      <c r="D31"/>
      <c r="E31"/>
      <c r="F31"/>
      <c r="G31" s="24"/>
    </row>
    <row r="32" spans="1:7" x14ac:dyDescent="0.25">
      <c r="A32"/>
      <c r="B32"/>
      <c r="C32"/>
      <c r="D32"/>
      <c r="E32"/>
      <c r="F32"/>
      <c r="G32" s="24"/>
    </row>
    <row r="33" spans="1:7" x14ac:dyDescent="0.25">
      <c r="A33"/>
      <c r="B33"/>
      <c r="C33"/>
      <c r="D33"/>
      <c r="E33"/>
      <c r="F33"/>
      <c r="G33"/>
    </row>
    <row r="34" spans="1:7" x14ac:dyDescent="0.25">
      <c r="A34"/>
      <c r="B34"/>
      <c r="C34"/>
      <c r="F34"/>
    </row>
    <row r="35" spans="1:7" x14ac:dyDescent="0.25">
      <c r="A35"/>
      <c r="B35"/>
      <c r="C35"/>
      <c r="D35"/>
      <c r="E35" t="s">
        <v>57</v>
      </c>
      <c r="F35" t="s">
        <v>58</v>
      </c>
      <c r="G35" t="s">
        <v>59</v>
      </c>
    </row>
    <row r="36" spans="1:7" x14ac:dyDescent="0.25">
      <c r="A36" t="s">
        <v>66</v>
      </c>
      <c r="B36"/>
      <c r="C36"/>
      <c r="D36"/>
      <c r="E36" t="s">
        <v>61</v>
      </c>
      <c r="F36" t="s">
        <v>62</v>
      </c>
      <c r="G36" t="s">
        <v>62</v>
      </c>
    </row>
    <row r="38" spans="1:7" x14ac:dyDescent="0.25">
      <c r="A38"/>
      <c r="B38"/>
      <c r="C38"/>
      <c r="D38"/>
      <c r="E38"/>
      <c r="F38"/>
      <c r="G38" s="24"/>
    </row>
    <row r="39" spans="1:7" x14ac:dyDescent="0.25">
      <c r="A39"/>
      <c r="B39"/>
      <c r="C39"/>
      <c r="D39"/>
      <c r="E39"/>
      <c r="F39"/>
      <c r="G39"/>
    </row>
    <row r="40" spans="1:7" x14ac:dyDescent="0.25">
      <c r="A40"/>
      <c r="B40"/>
      <c r="C40"/>
      <c r="D40"/>
      <c r="E40"/>
      <c r="F40"/>
      <c r="G40"/>
    </row>
    <row r="41" spans="1:7" x14ac:dyDescent="0.25">
      <c r="A41"/>
      <c r="B41"/>
      <c r="C41"/>
      <c r="D41"/>
      <c r="E41" t="s">
        <v>57</v>
      </c>
      <c r="F41" t="s">
        <v>58</v>
      </c>
      <c r="G41" t="s">
        <v>59</v>
      </c>
    </row>
    <row r="42" spans="1:7" x14ac:dyDescent="0.25">
      <c r="A42" t="s">
        <v>67</v>
      </c>
      <c r="B42"/>
      <c r="C42"/>
      <c r="D42"/>
      <c r="E42" t="s">
        <v>61</v>
      </c>
      <c r="F42" t="s">
        <v>62</v>
      </c>
      <c r="G42" t="s">
        <v>62</v>
      </c>
    </row>
  </sheetData>
  <phoneticPr fontId="3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0">
    <pageSetUpPr fitToPage="1"/>
  </sheetPr>
  <dimension ref="A1:CH93"/>
  <sheetViews>
    <sheetView zoomScale="70" zoomScaleNormal="70" workbookViewId="0">
      <pane ySplit="7" topLeftCell="A8" activePane="bottomLeft" state="frozen"/>
      <selection activeCell="C2" sqref="C2"/>
      <selection pane="bottomLeft" activeCell="C2" sqref="C2"/>
    </sheetView>
  </sheetViews>
  <sheetFormatPr defaultColWidth="8.81640625" defaultRowHeight="15" x14ac:dyDescent="0.25"/>
  <cols>
    <col min="1" max="6" width="10.81640625" style="6" customWidth="1"/>
    <col min="7" max="7" width="5.81640625" style="6" customWidth="1"/>
    <col min="8" max="9" width="10.81640625" style="6" customWidth="1"/>
    <col min="10" max="10" width="5.81640625" style="6" customWidth="1"/>
    <col min="11" max="11" width="9.54296875" style="6" customWidth="1"/>
    <col min="12" max="12" width="10.81640625" style="6" customWidth="1"/>
    <col min="13" max="13" width="5.81640625" style="6" customWidth="1"/>
    <col min="14" max="14" width="1.81640625" style="6" customWidth="1"/>
    <col min="15" max="15" width="16" style="6" customWidth="1"/>
    <col min="16" max="16" width="59.453125" style="6" customWidth="1"/>
    <col min="17" max="17" width="7.453125" style="6" customWidth="1"/>
    <col min="18" max="18" width="5.453125" style="6" customWidth="1"/>
    <col min="19" max="19" width="8.54296875" style="6" customWidth="1"/>
    <col min="20" max="21" width="5.81640625" style="6" customWidth="1"/>
    <col min="22" max="22" width="22.81640625" style="6" customWidth="1"/>
    <col min="23" max="23" width="6.453125" style="6" customWidth="1"/>
    <col min="24" max="24" width="10.81640625" style="6" customWidth="1"/>
    <col min="25" max="25" width="19.1796875" style="6" bestFit="1" customWidth="1"/>
    <col min="26" max="26" width="15.81640625" style="6" bestFit="1" customWidth="1"/>
    <col min="27" max="27" width="10.81640625" style="6" customWidth="1"/>
    <col min="28" max="28" width="11" style="6" customWidth="1"/>
    <col min="30" max="30" width="16.81640625" style="6" customWidth="1"/>
    <col min="31" max="34" width="10.81640625" style="6" customWidth="1"/>
    <col min="35" max="35" width="10.81640625" customWidth="1"/>
    <col min="36" max="37" width="12.54296875" style="6" customWidth="1"/>
    <col min="38" max="61" width="10.81640625" style="6" customWidth="1"/>
    <col min="62" max="62" width="19.1796875" style="6" bestFit="1" customWidth="1"/>
    <col min="63" max="63" width="12.81640625" style="6" customWidth="1"/>
    <col min="64" max="64" width="8.81640625" style="6" customWidth="1"/>
    <col min="65" max="65" width="24.81640625" style="6" customWidth="1"/>
    <col min="66" max="66" width="23.453125" style="6" customWidth="1"/>
    <col min="67" max="67" width="10.54296875" style="6" customWidth="1"/>
    <col min="68" max="68" width="8.81640625" style="6" customWidth="1"/>
    <col min="69" max="69" width="17.453125" style="6" customWidth="1"/>
    <col min="70" max="70" width="18" style="6" customWidth="1"/>
    <col min="71" max="93" width="8.81640625" style="6" customWidth="1"/>
    <col min="94" max="16384" width="8.81640625" style="6"/>
  </cols>
  <sheetData>
    <row r="1" spans="1:86" ht="15.6" x14ac:dyDescent="0.3">
      <c r="A1" s="235"/>
      <c r="B1" s="236"/>
      <c r="C1" s="236"/>
      <c r="D1" s="236"/>
      <c r="E1" s="236"/>
      <c r="F1" s="160">
        <f>SUMRY!O5</f>
        <v>25</v>
      </c>
      <c r="G1" s="236"/>
      <c r="H1" s="236"/>
      <c r="I1" s="236" t="s">
        <v>11</v>
      </c>
      <c r="J1" s="155" t="e">
        <f>SUMRY!#REF!</f>
        <v>#REF!</v>
      </c>
      <c r="K1" s="235" t="e">
        <f>SUMRY!#REF!</f>
        <v>#REF!</v>
      </c>
      <c r="M1" s="235"/>
      <c r="N1" s="236" t="s">
        <v>52</v>
      </c>
      <c r="O1" s="722" t="s">
        <v>99</v>
      </c>
      <c r="P1" s="722"/>
      <c r="Q1" s="722"/>
      <c r="R1" s="34"/>
      <c r="S1" s="34"/>
      <c r="T1" s="34"/>
      <c r="U1" s="34"/>
      <c r="V1" s="34"/>
      <c r="W1" s="34"/>
      <c r="X1" s="34"/>
      <c r="Y1" s="1" t="s">
        <v>98</v>
      </c>
      <c r="Z1" s="172">
        <f>SUMRY!F5</f>
        <v>1234</v>
      </c>
      <c r="AA1" s="4"/>
      <c r="AB1" s="432"/>
      <c r="AD1" s="193" t="s">
        <v>47</v>
      </c>
      <c r="AE1" s="193" t="s">
        <v>47</v>
      </c>
      <c r="AF1" s="194"/>
      <c r="AG1" s="194"/>
      <c r="AH1" s="194"/>
      <c r="AI1" s="194"/>
      <c r="AJ1" s="115"/>
      <c r="AK1" s="115"/>
      <c r="AL1" s="115"/>
      <c r="AM1" s="116"/>
      <c r="AN1" s="115"/>
      <c r="AO1" s="116"/>
      <c r="AP1" s="117"/>
      <c r="AQ1" s="116"/>
      <c r="AR1" s="116"/>
      <c r="AS1" s="116"/>
      <c r="AT1" s="116"/>
      <c r="AU1" s="116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</row>
    <row r="2" spans="1:86" ht="16.2" thickBot="1" x14ac:dyDescent="0.35">
      <c r="A2" s="15" t="s">
        <v>12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98">
        <v>0</v>
      </c>
      <c r="M2" s="198"/>
      <c r="N2" s="236" t="s">
        <v>52</v>
      </c>
      <c r="O2" s="723" t="str">
        <f>SUMRY!F2</f>
        <v>(Job Nme)</v>
      </c>
      <c r="P2" s="723"/>
      <c r="Q2" s="723"/>
      <c r="R2" s="35"/>
      <c r="S2" s="35"/>
      <c r="T2" s="35"/>
      <c r="U2" s="36"/>
      <c r="V2" s="37"/>
      <c r="W2" s="36"/>
      <c r="X2" s="37"/>
      <c r="Y2" s="8" t="s">
        <v>133</v>
      </c>
      <c r="Z2" s="185" t="e">
        <f>J1</f>
        <v>#REF!</v>
      </c>
      <c r="AB2" s="432"/>
      <c r="AD2" s="194"/>
      <c r="AE2" s="194"/>
      <c r="AF2" s="194"/>
      <c r="AG2" s="194"/>
      <c r="AH2" s="194"/>
      <c r="AI2" s="194"/>
      <c r="AJ2" s="115"/>
      <c r="AK2" s="115"/>
      <c r="AL2" s="115"/>
      <c r="AM2" s="117"/>
      <c r="AN2" s="115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71" t="s">
        <v>276</v>
      </c>
      <c r="BK2" s="171" t="s">
        <v>88</v>
      </c>
      <c r="BL2" s="171" t="s">
        <v>6</v>
      </c>
      <c r="BM2" s="171" t="s">
        <v>97</v>
      </c>
      <c r="BN2" s="171" t="s">
        <v>91</v>
      </c>
      <c r="BO2" s="171" t="s">
        <v>92</v>
      </c>
      <c r="BP2" s="171"/>
      <c r="BQ2" s="171" t="s">
        <v>9</v>
      </c>
      <c r="BR2" s="171" t="s">
        <v>172</v>
      </c>
    </row>
    <row r="3" spans="1:86" ht="16.2" thickTop="1" x14ac:dyDescent="0.3">
      <c r="A3" s="14" t="s">
        <v>72</v>
      </c>
      <c r="B3" s="14"/>
      <c r="C3" s="14"/>
      <c r="D3" s="14"/>
      <c r="E3" s="14"/>
      <c r="F3" s="25">
        <v>1</v>
      </c>
      <c r="G3" s="14"/>
      <c r="H3" s="14"/>
      <c r="I3" s="14"/>
      <c r="J3" s="14"/>
      <c r="K3" s="14"/>
      <c r="L3" s="25">
        <v>1</v>
      </c>
      <c r="M3" s="14"/>
      <c r="N3" s="236" t="s">
        <v>52</v>
      </c>
      <c r="O3" s="724" t="s">
        <v>166</v>
      </c>
      <c r="P3" s="724"/>
      <c r="Q3" s="724"/>
      <c r="R3" s="35"/>
      <c r="S3" s="35"/>
      <c r="T3" s="35"/>
      <c r="U3" s="36"/>
      <c r="V3" s="37"/>
      <c r="W3" s="36"/>
      <c r="X3" s="37"/>
      <c r="Y3" s="187" t="s">
        <v>164</v>
      </c>
      <c r="Z3" s="188">
        <f>SUMRY!I1</f>
        <v>0</v>
      </c>
      <c r="AA3" s="8"/>
      <c r="AB3" s="432"/>
      <c r="AD3" s="194"/>
      <c r="AE3" s="194"/>
      <c r="AF3" s="194"/>
      <c r="AG3" s="194"/>
      <c r="AH3" s="194"/>
      <c r="AI3" s="194"/>
      <c r="AJ3" s="115"/>
      <c r="AK3" s="115"/>
      <c r="AL3" s="115"/>
      <c r="AM3" s="117"/>
      <c r="AN3" s="115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93"/>
      <c r="BK3" s="93">
        <f>+BE74+BG74+BC74</f>
        <v>0</v>
      </c>
      <c r="BL3" s="93">
        <f>+AT74+AP74</f>
        <v>0</v>
      </c>
      <c r="BM3" s="93">
        <f>+AX74+AZ74+BB74+AV74</f>
        <v>0</v>
      </c>
      <c r="BN3" s="88">
        <f>BI53+BI56+BH74</f>
        <v>0</v>
      </c>
      <c r="BO3" s="93">
        <f>BI66</f>
        <v>25</v>
      </c>
      <c r="BP3" s="93"/>
      <c r="BQ3" s="93">
        <f>SUM(BK3:BP3)</f>
        <v>25</v>
      </c>
      <c r="BR3" s="93">
        <f>AC74</f>
        <v>25</v>
      </c>
    </row>
    <row r="4" spans="1:86" ht="15.6" x14ac:dyDescent="0.3">
      <c r="A4" s="2" t="s">
        <v>73</v>
      </c>
      <c r="B4" s="14"/>
      <c r="C4" s="14"/>
      <c r="D4" s="14"/>
      <c r="E4" s="14"/>
      <c r="F4" s="3">
        <v>0</v>
      </c>
      <c r="G4" s="199">
        <v>0</v>
      </c>
      <c r="H4" s="199"/>
      <c r="I4" s="2">
        <f>SUMRY!O3</f>
        <v>70</v>
      </c>
      <c r="J4" s="199">
        <v>0</v>
      </c>
      <c r="K4" s="199"/>
      <c r="L4" s="3">
        <v>0</v>
      </c>
      <c r="M4" s="199">
        <v>0</v>
      </c>
      <c r="N4" s="236" t="s">
        <v>52</v>
      </c>
      <c r="O4" s="725" t="s">
        <v>101</v>
      </c>
      <c r="P4" s="725"/>
      <c r="Q4" s="5"/>
      <c r="R4" s="35"/>
      <c r="S4" s="35"/>
      <c r="T4" s="35"/>
      <c r="U4" s="38"/>
      <c r="V4" s="37"/>
      <c r="W4" s="38"/>
      <c r="X4" s="37"/>
      <c r="Y4" s="9" t="s">
        <v>2</v>
      </c>
      <c r="Z4" s="275" t="s">
        <v>77</v>
      </c>
      <c r="AB4" s="432"/>
      <c r="AD4" s="194"/>
      <c r="AE4" s="194"/>
      <c r="AF4" s="194"/>
      <c r="AG4" s="194"/>
      <c r="AH4" s="194"/>
      <c r="AI4" s="194"/>
      <c r="AJ4" s="115"/>
      <c r="AK4" s="115"/>
      <c r="AL4" s="115"/>
      <c r="AM4" s="117"/>
      <c r="AN4" s="115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7"/>
      <c r="AZ4" s="117"/>
      <c r="BA4" s="117"/>
      <c r="BB4" s="117"/>
      <c r="BC4" s="117"/>
      <c r="BD4" s="117"/>
      <c r="BE4" s="117"/>
      <c r="BF4" s="117"/>
      <c r="BG4" s="117"/>
      <c r="BH4" s="117"/>
      <c r="BI4" s="117"/>
      <c r="BJ4" s="156"/>
      <c r="BK4" s="156"/>
      <c r="BL4" s="156"/>
    </row>
    <row r="5" spans="1:86" ht="15.6" x14ac:dyDescent="0.3">
      <c r="A5" s="691" t="s">
        <v>31</v>
      </c>
      <c r="B5" s="691"/>
      <c r="C5" s="691"/>
      <c r="D5" s="691"/>
      <c r="E5" s="691"/>
      <c r="F5" s="691"/>
      <c r="G5" s="691"/>
      <c r="H5" s="691"/>
      <c r="I5" s="691"/>
      <c r="J5" s="691"/>
      <c r="K5" s="691"/>
      <c r="L5" s="691"/>
      <c r="M5" s="237"/>
      <c r="N5" s="235" t="s">
        <v>52</v>
      </c>
      <c r="O5" s="725"/>
      <c r="P5" s="725"/>
      <c r="Q5" s="5"/>
      <c r="R5" s="727" t="s">
        <v>26</v>
      </c>
      <c r="S5" s="728"/>
      <c r="T5" s="728"/>
      <c r="U5" s="728"/>
      <c r="V5" s="728"/>
      <c r="W5" s="728"/>
      <c r="X5" s="728"/>
      <c r="Y5" s="4"/>
      <c r="Z5" s="4"/>
      <c r="AA5" s="4"/>
      <c r="AB5" s="432"/>
      <c r="AD5" s="194" t="s">
        <v>4</v>
      </c>
      <c r="AE5" s="194" t="s">
        <v>4</v>
      </c>
      <c r="AF5" s="679"/>
      <c r="AG5" s="679"/>
      <c r="AH5" s="679"/>
      <c r="AI5" s="679"/>
      <c r="AJ5" s="16"/>
      <c r="AK5" s="16"/>
      <c r="AL5" s="16"/>
      <c r="AM5" s="17" t="s">
        <v>3</v>
      </c>
      <c r="AN5" s="16"/>
      <c r="AO5" s="17" t="s">
        <v>3</v>
      </c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14"/>
      <c r="BD5" s="17"/>
      <c r="BE5" s="17"/>
      <c r="BF5" s="17"/>
      <c r="BG5" s="18"/>
      <c r="BH5" s="117"/>
      <c r="BI5" s="117"/>
      <c r="BJ5" s="155"/>
      <c r="BK5" s="155"/>
      <c r="BL5" s="156"/>
      <c r="BQ5" s="93"/>
    </row>
    <row r="6" spans="1:86" ht="15.75" customHeight="1" x14ac:dyDescent="0.3">
      <c r="A6" s="236" t="s">
        <v>13</v>
      </c>
      <c r="B6" s="718" t="s">
        <v>276</v>
      </c>
      <c r="C6" s="718"/>
      <c r="D6" s="234" t="s">
        <v>38</v>
      </c>
      <c r="E6" s="234" t="s">
        <v>14</v>
      </c>
      <c r="F6" s="28" t="s">
        <v>8</v>
      </c>
      <c r="G6" s="28" t="s">
        <v>8</v>
      </c>
      <c r="H6" s="73" t="s">
        <v>6</v>
      </c>
      <c r="I6" s="44" t="s">
        <v>6</v>
      </c>
      <c r="J6" s="44" t="s">
        <v>54</v>
      </c>
      <c r="K6" s="70" t="s">
        <v>7</v>
      </c>
      <c r="L6" s="31" t="s">
        <v>7</v>
      </c>
      <c r="M6" s="31" t="s">
        <v>55</v>
      </c>
      <c r="N6" s="236" t="s">
        <v>52</v>
      </c>
      <c r="O6" s="725"/>
      <c r="P6" s="725"/>
      <c r="Q6" s="11" t="s">
        <v>16</v>
      </c>
      <c r="R6" s="97" t="s">
        <v>27</v>
      </c>
      <c r="S6" s="97" t="s">
        <v>28</v>
      </c>
      <c r="T6" s="97" t="s">
        <v>29</v>
      </c>
      <c r="U6" s="97" t="s">
        <v>30</v>
      </c>
      <c r="V6" s="729" t="s">
        <v>13</v>
      </c>
      <c r="W6" s="719" t="s">
        <v>32</v>
      </c>
      <c r="X6" s="719" t="s">
        <v>33</v>
      </c>
      <c r="Y6" s="233" t="s">
        <v>17</v>
      </c>
      <c r="Z6" s="11" t="s">
        <v>18</v>
      </c>
      <c r="AA6" s="11" t="s">
        <v>18</v>
      </c>
      <c r="AC6" s="439" t="s">
        <v>10</v>
      </c>
      <c r="AD6" s="680" t="s">
        <v>276</v>
      </c>
      <c r="AE6" s="234" t="s">
        <v>5</v>
      </c>
      <c r="AF6" s="44" t="s">
        <v>6</v>
      </c>
      <c r="AG6" s="31" t="s">
        <v>7</v>
      </c>
      <c r="AH6" s="28" t="s">
        <v>8</v>
      </c>
      <c r="AI6" s="65" t="s">
        <v>21</v>
      </c>
      <c r="AJ6" s="65" t="s">
        <v>36</v>
      </c>
      <c r="AK6" s="65" t="s">
        <v>36</v>
      </c>
      <c r="AL6" s="718" t="s">
        <v>276</v>
      </c>
      <c r="AM6" s="731"/>
      <c r="AN6" s="732" t="s">
        <v>5</v>
      </c>
      <c r="AO6" s="733"/>
      <c r="AP6" s="734" t="s">
        <v>6</v>
      </c>
      <c r="AQ6" s="735"/>
      <c r="AR6" s="735"/>
      <c r="AS6" s="735"/>
      <c r="AT6" s="735"/>
      <c r="AU6" s="736"/>
      <c r="AV6" s="737" t="s">
        <v>7</v>
      </c>
      <c r="AW6" s="738"/>
      <c r="AX6" s="738"/>
      <c r="AY6" s="738"/>
      <c r="AZ6" s="738"/>
      <c r="BA6" s="738"/>
      <c r="BB6" s="739"/>
      <c r="BC6" s="740" t="s">
        <v>8</v>
      </c>
      <c r="BD6" s="741"/>
      <c r="BE6" s="741"/>
      <c r="BF6" s="741"/>
      <c r="BG6" s="741"/>
      <c r="BH6" s="262" t="s">
        <v>193</v>
      </c>
      <c r="BI6" s="262" t="s">
        <v>194</v>
      </c>
      <c r="BJ6" s="717" t="s">
        <v>169</v>
      </c>
      <c r="BK6" s="717"/>
      <c r="BL6" s="717"/>
      <c r="BM6" s="717"/>
      <c r="BN6" s="717"/>
      <c r="BO6" s="717"/>
      <c r="BQ6" s="93"/>
    </row>
    <row r="7" spans="1:86" ht="16.2" thickBot="1" x14ac:dyDescent="0.35">
      <c r="A7" s="161"/>
      <c r="B7" s="692" t="s">
        <v>21</v>
      </c>
      <c r="C7" s="692" t="s">
        <v>19</v>
      </c>
      <c r="D7" s="162" t="s">
        <v>21</v>
      </c>
      <c r="E7" s="163" t="s">
        <v>19</v>
      </c>
      <c r="F7" s="164" t="s">
        <v>19</v>
      </c>
      <c r="G7" s="164" t="s">
        <v>53</v>
      </c>
      <c r="H7" s="165" t="s">
        <v>75</v>
      </c>
      <c r="I7" s="166" t="s">
        <v>20</v>
      </c>
      <c r="J7" s="166" t="s">
        <v>53</v>
      </c>
      <c r="K7" s="167" t="s">
        <v>9</v>
      </c>
      <c r="L7" s="168" t="s">
        <v>19</v>
      </c>
      <c r="M7" s="31" t="s">
        <v>53</v>
      </c>
      <c r="N7" s="236" t="s">
        <v>52</v>
      </c>
      <c r="O7" s="726"/>
      <c r="P7" s="726"/>
      <c r="Q7" s="5"/>
      <c r="R7" s="35"/>
      <c r="S7" s="35"/>
      <c r="T7" s="35"/>
      <c r="U7" s="35"/>
      <c r="V7" s="730"/>
      <c r="W7" s="720"/>
      <c r="X7" s="720"/>
      <c r="Y7" s="5"/>
      <c r="Z7" s="11" t="s">
        <v>19</v>
      </c>
      <c r="AA7" s="11" t="s">
        <v>9</v>
      </c>
      <c r="AC7" s="440" t="s">
        <v>195</v>
      </c>
      <c r="AD7" s="681" t="s">
        <v>9</v>
      </c>
      <c r="AE7" s="51" t="s">
        <v>9</v>
      </c>
      <c r="AF7" s="44" t="s">
        <v>9</v>
      </c>
      <c r="AG7" s="31" t="s">
        <v>9</v>
      </c>
      <c r="AH7" s="27" t="s">
        <v>9</v>
      </c>
      <c r="AI7" s="66" t="s">
        <v>9</v>
      </c>
      <c r="AJ7" s="66" t="s">
        <v>42</v>
      </c>
      <c r="AK7" s="66" t="s">
        <v>37</v>
      </c>
      <c r="AL7" s="694" t="s">
        <v>19</v>
      </c>
      <c r="AM7" s="681" t="s">
        <v>9</v>
      </c>
      <c r="AN7" s="56" t="s">
        <v>19</v>
      </c>
      <c r="AO7" s="51" t="s">
        <v>9</v>
      </c>
      <c r="AP7" s="44" t="s">
        <v>50</v>
      </c>
      <c r="AQ7" s="59" t="s">
        <v>48</v>
      </c>
      <c r="AR7" s="59" t="s">
        <v>46</v>
      </c>
      <c r="AS7" s="59" t="s">
        <v>43</v>
      </c>
      <c r="AT7" s="59" t="s">
        <v>44</v>
      </c>
      <c r="AU7" s="59" t="s">
        <v>49</v>
      </c>
      <c r="AV7" s="31" t="s">
        <v>33</v>
      </c>
      <c r="AW7" s="60" t="s">
        <v>22</v>
      </c>
      <c r="AX7" s="60" t="s">
        <v>24</v>
      </c>
      <c r="AY7" s="60" t="s">
        <v>43</v>
      </c>
      <c r="AZ7" s="60" t="s">
        <v>44</v>
      </c>
      <c r="BA7" s="62" t="s">
        <v>23</v>
      </c>
      <c r="BB7" s="62" t="s">
        <v>25</v>
      </c>
      <c r="BC7" s="27" t="s">
        <v>9</v>
      </c>
      <c r="BD7" s="61" t="s">
        <v>68</v>
      </c>
      <c r="BE7" s="61" t="s">
        <v>45</v>
      </c>
      <c r="BF7" s="62" t="s">
        <v>69</v>
      </c>
      <c r="BG7" s="62" t="s">
        <v>21</v>
      </c>
      <c r="BH7" s="270"/>
      <c r="BI7" s="270"/>
      <c r="BJ7" s="271" t="s">
        <v>8</v>
      </c>
      <c r="BK7" s="271" t="s">
        <v>167</v>
      </c>
      <c r="BL7" s="271" t="s">
        <v>15</v>
      </c>
      <c r="BM7" s="271" t="s">
        <v>13</v>
      </c>
      <c r="BN7" s="271" t="s">
        <v>93</v>
      </c>
      <c r="BO7" s="271" t="s">
        <v>103</v>
      </c>
    </row>
    <row r="8" spans="1:86" ht="16.2" thickTop="1" x14ac:dyDescent="0.3">
      <c r="L8" s="155"/>
      <c r="M8" s="90"/>
      <c r="N8" s="155" t="s">
        <v>52</v>
      </c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D8" s="90"/>
      <c r="AE8" s="90"/>
      <c r="AF8" s="90"/>
      <c r="AG8" s="90"/>
      <c r="AH8" s="90"/>
      <c r="AI8" s="90"/>
      <c r="AJ8" s="169"/>
      <c r="AK8" s="90"/>
      <c r="AL8" s="83"/>
      <c r="AM8" s="90"/>
      <c r="AN8" s="83"/>
      <c r="AO8" s="90"/>
      <c r="AP8" s="90"/>
      <c r="AQ8" s="90"/>
      <c r="AR8" s="90"/>
      <c r="AS8" s="90"/>
      <c r="AT8" s="90"/>
      <c r="AU8" s="90"/>
      <c r="AV8" s="90"/>
      <c r="AW8" s="90"/>
      <c r="AX8" s="90"/>
      <c r="AY8" s="90"/>
      <c r="AZ8" s="90"/>
      <c r="BA8" s="90"/>
      <c r="BB8" s="90"/>
      <c r="BC8" s="90"/>
      <c r="BD8" s="90"/>
      <c r="BE8" s="90"/>
      <c r="BF8" s="90"/>
      <c r="BG8" s="90"/>
      <c r="BH8" s="155"/>
      <c r="BI8" s="155"/>
    </row>
    <row r="9" spans="1:86" ht="15.6" x14ac:dyDescent="0.3">
      <c r="C9" s="91"/>
      <c r="E9" s="91"/>
      <c r="F9" s="91"/>
      <c r="G9" s="91"/>
      <c r="H9" s="91"/>
      <c r="I9" s="91"/>
      <c r="J9" s="91"/>
      <c r="K9" s="91"/>
      <c r="L9" s="91"/>
      <c r="M9" s="91"/>
      <c r="N9" s="94" t="s">
        <v>52</v>
      </c>
      <c r="O9" s="422" t="s">
        <v>170</v>
      </c>
      <c r="P9" s="423" t="s">
        <v>80</v>
      </c>
      <c r="R9" s="424"/>
      <c r="S9" s="425"/>
      <c r="T9" s="425"/>
      <c r="U9" s="425"/>
      <c r="V9" s="425"/>
      <c r="W9" s="425"/>
      <c r="X9" s="425"/>
      <c r="Y9" s="426"/>
      <c r="Z9" s="427"/>
      <c r="AA9" s="88"/>
      <c r="AJ9" s="88"/>
      <c r="AK9" s="88"/>
      <c r="AL9" s="88"/>
      <c r="AM9" s="42"/>
      <c r="AN9" s="88"/>
      <c r="AO9" s="42"/>
      <c r="AP9" s="42"/>
      <c r="AQ9" s="42"/>
      <c r="AR9" s="42"/>
      <c r="AS9" s="42"/>
      <c r="AT9" s="42"/>
      <c r="AU9" s="42"/>
      <c r="AV9" s="89"/>
      <c r="AW9" s="42"/>
      <c r="AX9" s="42"/>
      <c r="AY9" s="42"/>
      <c r="AZ9" s="42"/>
      <c r="BA9" s="42"/>
      <c r="BB9" s="42"/>
      <c r="BC9" s="42"/>
      <c r="BD9" s="89"/>
      <c r="BE9" s="89"/>
      <c r="BF9" s="89"/>
      <c r="BG9" s="42"/>
    </row>
    <row r="10" spans="1:86" s="98" customFormat="1" ht="15.6" x14ac:dyDescent="0.3">
      <c r="A10" s="200"/>
      <c r="B10" s="226">
        <v>0</v>
      </c>
      <c r="C10" s="226">
        <v>0</v>
      </c>
      <c r="D10" s="226">
        <v>0</v>
      </c>
      <c r="E10" s="226">
        <v>0</v>
      </c>
      <c r="F10" s="226">
        <v>0</v>
      </c>
      <c r="G10" s="199">
        <f>+G$4</f>
        <v>0</v>
      </c>
      <c r="H10" s="201">
        <f>AQ10+AR10</f>
        <v>0</v>
      </c>
      <c r="I10" s="226">
        <v>0</v>
      </c>
      <c r="J10" s="199">
        <f>+J$4</f>
        <v>0</v>
      </c>
      <c r="K10" s="201">
        <f>AV10+AX10+AZ10+BB10</f>
        <v>0</v>
      </c>
      <c r="L10" s="226">
        <v>0</v>
      </c>
      <c r="M10" s="199">
        <f>+M$4</f>
        <v>0</v>
      </c>
      <c r="N10" s="202" t="s">
        <v>52</v>
      </c>
      <c r="O10" s="224"/>
      <c r="P10" s="225" t="s">
        <v>51</v>
      </c>
      <c r="Q10" s="224" t="s">
        <v>35</v>
      </c>
      <c r="R10" s="100"/>
      <c r="S10" s="101"/>
      <c r="T10" s="101"/>
      <c r="U10" s="101"/>
      <c r="V10" s="102"/>
      <c r="W10" s="103"/>
      <c r="X10" s="104">
        <f>SUM(W11:W16)</f>
        <v>0</v>
      </c>
      <c r="Y10" s="203">
        <f>ROUNDUP(X10,1)</f>
        <v>0</v>
      </c>
      <c r="Z10" s="204">
        <f>ROUNDUP(AJ10+AN10+AS10+AU10+_xlfn.IFNA(L10,0)+AW10+AY10+BA10+_xlfn.IFNA(F10,0)+BD10+BF10,2)</f>
        <v>0</v>
      </c>
      <c r="AA10" s="205">
        <f>ROUND(Z10*ROUNDUP(Y10,1),2)</f>
        <v>0</v>
      </c>
      <c r="AB10" s="433">
        <v>0</v>
      </c>
      <c r="AC10" s="667">
        <f>AA10*AB10</f>
        <v>0</v>
      </c>
      <c r="AD10" s="205">
        <f>ROUNDUP(AM10*AB10,2)</f>
        <v>0</v>
      </c>
      <c r="AE10" s="205">
        <f>ROUNDUP(AO10*AB10,2)</f>
        <v>0</v>
      </c>
      <c r="AF10" s="205">
        <f>ROUNDUP((AT10+AP10)*AB10,2)</f>
        <v>0</v>
      </c>
      <c r="AG10" s="205">
        <f>ROUNDUP((AX10+AZ10+AV10)*AB10,2)</f>
        <v>0</v>
      </c>
      <c r="AH10" s="205">
        <f>ROUNDUP((BE10+BC10)*AB10,2)</f>
        <v>0</v>
      </c>
      <c r="AI10" s="205">
        <f>(BG10+BB10+AK10)*AB10</f>
        <v>0</v>
      </c>
      <c r="AJ10" s="205">
        <f>_xlfn.IFNA(+D10,0)</f>
        <v>0</v>
      </c>
      <c r="AK10" s="205">
        <f>ROUNDUP(_xlfn.IFNA(D10,0)*Y10,2)</f>
        <v>0</v>
      </c>
      <c r="AL10" s="205">
        <f>_xlfn.IFNA(C10,0)</f>
        <v>0</v>
      </c>
      <c r="AM10" s="204">
        <f>_xlfn.IFNA(C10,0)*Y10</f>
        <v>0</v>
      </c>
      <c r="AN10" s="205">
        <f>_xlfn.IFNA(E10,0)</f>
        <v>0</v>
      </c>
      <c r="AO10" s="204">
        <f>_xlfn.IFNA(E10,0)*Y10</f>
        <v>0</v>
      </c>
      <c r="AP10" s="204">
        <f>ROUNDUP(Y10*AU10,2)</f>
        <v>0</v>
      </c>
      <c r="AQ10" s="204">
        <f>ROUNDUP(+_xlfn.IFNA(I10,0)*Y10,2)</f>
        <v>0</v>
      </c>
      <c r="AR10" s="204">
        <f>J10*_xlfn.IFNA(I10,0)*Y10</f>
        <v>0</v>
      </c>
      <c r="AS10" s="204">
        <f>ROUNDUP(_xlfn.IFNA(I10,0)*I$4*J10,2)</f>
        <v>0</v>
      </c>
      <c r="AT10" s="204">
        <f>AS10*Y10</f>
        <v>0</v>
      </c>
      <c r="AU10" s="204">
        <f>_xlfn.IFNA(IF(I10=0,0,ROUNDUP(I$4*I10,2)),0)</f>
        <v>0</v>
      </c>
      <c r="AV10" s="204">
        <f>+ROUNDUP(_xlfn.IFNA(L10,0)*ROUNDUP(Y10,1),2)</f>
        <v>0</v>
      </c>
      <c r="AW10" s="204">
        <f>ROUNDUP(_xlfn.IFNA(L10,0)*L$2,2)</f>
        <v>0</v>
      </c>
      <c r="AX10" s="204">
        <f>+ROUNDUP(AW10*Y10,2)</f>
        <v>0</v>
      </c>
      <c r="AY10" s="204">
        <f>ROUNDUP((_xlfn.IFNA(L10,0)+AW10)*M10,2)</f>
        <v>0</v>
      </c>
      <c r="AZ10" s="204">
        <f>ROUNDUP(AY10*Y10,2)</f>
        <v>0</v>
      </c>
      <c r="BA10" s="204">
        <f>ROUNDUP(((_xlfn.IFNA(L10,0)+AW10+AY10)*(L$4))*L$3,2)</f>
        <v>0</v>
      </c>
      <c r="BB10" s="204">
        <f>ROUNDUP(+BA10*ROUNDUP(Y10,1),2)</f>
        <v>0</v>
      </c>
      <c r="BC10" s="204">
        <f>ROUNDUP(_xlfn.IFNA(F10,0)*Y10,2)</f>
        <v>0</v>
      </c>
      <c r="BD10" s="204">
        <f>ROUNDUP(_xlfn.IFNA(F10,0)*G10,2)</f>
        <v>0</v>
      </c>
      <c r="BE10" s="204">
        <f>ROUNDUP(BD10*Y10,2)</f>
        <v>0</v>
      </c>
      <c r="BF10" s="204">
        <f>ROUNDUP(((ROUNDUP(_xlfn.IFNA(F10,0)+BD10,2)*F$4)*F$3),2)</f>
        <v>0</v>
      </c>
      <c r="BG10" s="204">
        <f>BF10*Y10</f>
        <v>0</v>
      </c>
      <c r="BH10" s="6"/>
      <c r="BI10" s="6"/>
      <c r="BJ10" s="272" t="str">
        <f>N10</f>
        <v>|</v>
      </c>
      <c r="BK10" s="272">
        <f>O10</f>
        <v>0</v>
      </c>
      <c r="BL10" s="272" t="str">
        <f>IF(BK10 = 0," ",$J$1)</f>
        <v xml:space="preserve"> </v>
      </c>
      <c r="BM10" s="273" t="str">
        <f>IF(BL10 = " "," ",P10)</f>
        <v xml:space="preserve"> </v>
      </c>
      <c r="BN10" s="200"/>
      <c r="BO10" s="274" t="str">
        <f>IF(BK10 = 0, " ", IF((BC10+BE10)*AB10 &lt;0,(BC10+BE10)*AB10,0))</f>
        <v xml:space="preserve"> </v>
      </c>
      <c r="BP10" s="274" t="str">
        <f>IF(BK10 = 0, " ",IF((BC10+BE10)*AB10 &gt;0,(BC10+BE10)*AB10,0))</f>
        <v xml:space="preserve"> </v>
      </c>
      <c r="BQ10" s="200"/>
      <c r="BR10" s="200"/>
      <c r="BS10" s="200"/>
      <c r="BT10" s="200"/>
      <c r="BU10" s="200"/>
      <c r="BV10" s="200"/>
      <c r="BW10" s="200"/>
      <c r="BX10" s="200"/>
      <c r="BY10" s="200"/>
      <c r="BZ10" s="200"/>
      <c r="CA10" s="200"/>
      <c r="CB10" s="200"/>
      <c r="CC10" s="200"/>
      <c r="CD10" s="200"/>
      <c r="CE10" s="200"/>
      <c r="CF10" s="200"/>
      <c r="CG10" s="200"/>
      <c r="CH10" s="200"/>
    </row>
    <row r="11" spans="1:86" s="98" customFormat="1" ht="15.6" x14ac:dyDescent="0.3">
      <c r="A11" s="200"/>
      <c r="B11" s="200"/>
      <c r="C11" s="207"/>
      <c r="D11" s="200"/>
      <c r="E11" s="207"/>
      <c r="F11" s="207"/>
      <c r="G11" s="207"/>
      <c r="H11" s="207"/>
      <c r="I11" s="207"/>
      <c r="J11" s="207"/>
      <c r="K11" s="207"/>
      <c r="L11" s="207"/>
      <c r="M11" s="207"/>
      <c r="N11" s="202"/>
      <c r="O11" s="200"/>
      <c r="P11" s="208"/>
      <c r="Q11" s="200"/>
      <c r="R11" s="105"/>
      <c r="S11" s="101"/>
      <c r="T11" s="101"/>
      <c r="U11" s="101"/>
      <c r="V11" s="84"/>
      <c r="W11" s="106"/>
      <c r="X11" s="103" t="s">
        <v>41</v>
      </c>
      <c r="Y11" s="209"/>
      <c r="Z11" s="276"/>
      <c r="AA11" s="206"/>
      <c r="AB11" s="200"/>
      <c r="AD11" s="6"/>
      <c r="AE11" s="6"/>
      <c r="AF11" s="6"/>
      <c r="AG11" s="6"/>
      <c r="AH11" s="6"/>
      <c r="AI11"/>
      <c r="AJ11" s="210"/>
      <c r="AK11" s="200"/>
      <c r="AL11" s="206"/>
      <c r="AM11" s="211"/>
      <c r="AN11" s="206"/>
      <c r="AO11" s="211"/>
      <c r="AP11" s="211"/>
      <c r="AQ11" s="211"/>
      <c r="AR11" s="211"/>
      <c r="AS11" s="211"/>
      <c r="AT11" s="211"/>
      <c r="AU11" s="211"/>
      <c r="AV11" s="212"/>
      <c r="AW11" s="211"/>
      <c r="AX11" s="211"/>
      <c r="AY11" s="211"/>
      <c r="AZ11" s="211"/>
      <c r="BA11" s="211"/>
      <c r="BB11" s="211"/>
      <c r="BC11" s="211"/>
      <c r="BD11" s="212"/>
      <c r="BE11" s="212"/>
      <c r="BF11" s="212"/>
      <c r="BG11" s="211"/>
      <c r="BH11" s="6"/>
      <c r="BI11" s="6"/>
      <c r="BJ11" s="211"/>
      <c r="BK11" s="211"/>
      <c r="BL11" s="211"/>
      <c r="BM11" s="200"/>
      <c r="BN11" s="200"/>
      <c r="BO11" s="206"/>
      <c r="BP11" s="206"/>
      <c r="BQ11" s="200"/>
      <c r="BR11" s="200"/>
      <c r="BS11" s="200"/>
      <c r="BT11" s="200"/>
      <c r="BU11" s="200"/>
      <c r="BV11" s="200"/>
      <c r="BW11" s="200"/>
      <c r="BX11" s="200"/>
      <c r="BY11" s="200"/>
      <c r="BZ11" s="200"/>
      <c r="CA11" s="200"/>
      <c r="CB11" s="200"/>
      <c r="CC11" s="200"/>
      <c r="CD11" s="200"/>
      <c r="CE11" s="200"/>
      <c r="CF11" s="200"/>
      <c r="CG11" s="200"/>
      <c r="CH11" s="200"/>
    </row>
    <row r="12" spans="1:86" s="108" customFormat="1" x14ac:dyDescent="0.25">
      <c r="A12" s="207"/>
      <c r="B12" s="207"/>
      <c r="C12" s="207"/>
      <c r="D12" s="207"/>
      <c r="E12" s="207"/>
      <c r="F12" s="207"/>
      <c r="G12" s="207"/>
      <c r="H12" s="207"/>
      <c r="I12" s="207"/>
      <c r="J12" s="207"/>
      <c r="K12" s="207"/>
      <c r="L12" s="207"/>
      <c r="M12" s="207"/>
      <c r="N12" s="202"/>
      <c r="O12" s="209"/>
      <c r="P12" s="208"/>
      <c r="Q12" s="209"/>
      <c r="R12" s="226">
        <v>0</v>
      </c>
      <c r="S12" s="86"/>
      <c r="T12" s="86"/>
      <c r="U12" s="86"/>
      <c r="V12" s="87"/>
      <c r="W12" s="107">
        <f>_xlfn.IFNA(PRODUCT(R12:U12,(1+X12)),0)</f>
        <v>0</v>
      </c>
      <c r="X12" s="84">
        <v>0</v>
      </c>
      <c r="Y12" s="209"/>
      <c r="Z12" s="276"/>
      <c r="AA12" s="206"/>
      <c r="AB12" s="209"/>
      <c r="AD12" s="200"/>
      <c r="AE12" s="200"/>
      <c r="AF12" s="200"/>
      <c r="AG12" s="200"/>
      <c r="AH12" s="200"/>
      <c r="AI12" s="200"/>
      <c r="AJ12" s="210"/>
      <c r="AK12" s="200"/>
      <c r="AL12" s="206"/>
      <c r="AM12" s="211"/>
      <c r="AN12" s="206"/>
      <c r="AO12" s="211"/>
      <c r="AP12" s="211"/>
      <c r="AQ12" s="211"/>
      <c r="AR12" s="211"/>
      <c r="AS12" s="211"/>
      <c r="AT12" s="211"/>
      <c r="AU12" s="211"/>
      <c r="AV12" s="212"/>
      <c r="AW12" s="211"/>
      <c r="AX12" s="211"/>
      <c r="AY12" s="211"/>
      <c r="AZ12" s="211"/>
      <c r="BA12" s="211"/>
      <c r="BB12" s="211"/>
      <c r="BC12" s="211"/>
      <c r="BD12" s="212"/>
      <c r="BE12" s="212"/>
      <c r="BF12" s="212"/>
      <c r="BG12" s="211"/>
      <c r="BH12" s="6"/>
      <c r="BI12" s="6"/>
      <c r="BJ12" s="211"/>
      <c r="BK12" s="211"/>
      <c r="BL12" s="211"/>
      <c r="BM12" s="200"/>
      <c r="BN12" s="200"/>
      <c r="BO12" s="206"/>
      <c r="BP12" s="206"/>
      <c r="BQ12" s="200"/>
      <c r="BR12" s="200"/>
      <c r="BS12" s="200"/>
      <c r="BT12" s="200"/>
      <c r="BU12" s="200"/>
      <c r="BV12" s="200"/>
      <c r="BW12" s="200"/>
      <c r="BX12" s="200"/>
      <c r="BY12" s="200"/>
      <c r="BZ12" s="200"/>
      <c r="CA12" s="200"/>
      <c r="CB12" s="200"/>
      <c r="CC12" s="200"/>
      <c r="CD12" s="200"/>
      <c r="CE12" s="200"/>
      <c r="CF12" s="200"/>
      <c r="CG12" s="200"/>
      <c r="CH12" s="200"/>
    </row>
    <row r="13" spans="1:86" s="108" customFormat="1" x14ac:dyDescent="0.25">
      <c r="A13" s="207"/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2"/>
      <c r="O13" s="209"/>
      <c r="P13" s="208"/>
      <c r="Q13" s="209"/>
      <c r="R13" s="226">
        <v>0</v>
      </c>
      <c r="S13" s="86"/>
      <c r="T13" s="86"/>
      <c r="U13" s="86"/>
      <c r="V13" s="87"/>
      <c r="W13" s="107">
        <f t="shared" ref="W13:W15" si="0">_xlfn.IFNA(PRODUCT(R13:U13,(1+X13)),0)</f>
        <v>0</v>
      </c>
      <c r="X13" s="84">
        <v>0</v>
      </c>
      <c r="Y13" s="209"/>
      <c r="Z13" s="276"/>
      <c r="AA13" s="206"/>
      <c r="AB13" s="209"/>
      <c r="AD13" s="200"/>
      <c r="AE13" s="200"/>
      <c r="AF13" s="200"/>
      <c r="AG13" s="200"/>
      <c r="AH13" s="200"/>
      <c r="AI13" s="200"/>
      <c r="AJ13" s="210"/>
      <c r="AK13" s="200"/>
      <c r="AL13" s="206"/>
      <c r="AM13" s="211"/>
      <c r="AN13" s="206"/>
      <c r="AO13" s="211"/>
      <c r="AP13" s="211"/>
      <c r="AQ13" s="211"/>
      <c r="AR13" s="211"/>
      <c r="AS13" s="211"/>
      <c r="AT13" s="211"/>
      <c r="AU13" s="211"/>
      <c r="AV13" s="212"/>
      <c r="AW13" s="211"/>
      <c r="AX13" s="211"/>
      <c r="AY13" s="211"/>
      <c r="AZ13" s="211"/>
      <c r="BA13" s="211"/>
      <c r="BB13" s="211"/>
      <c r="BC13" s="211"/>
      <c r="BD13" s="212"/>
      <c r="BE13" s="212"/>
      <c r="BF13" s="212"/>
      <c r="BG13" s="211"/>
      <c r="BH13" s="6"/>
      <c r="BI13" s="6"/>
      <c r="BJ13" s="211"/>
      <c r="BK13" s="211"/>
      <c r="BL13" s="211"/>
      <c r="BM13" s="200"/>
      <c r="BN13" s="200"/>
      <c r="BO13" s="206"/>
      <c r="BP13" s="206"/>
      <c r="BQ13" s="200"/>
      <c r="BR13" s="200"/>
      <c r="BS13" s="200"/>
      <c r="BT13" s="200"/>
      <c r="BU13" s="200"/>
      <c r="BV13" s="200"/>
      <c r="BW13" s="200"/>
      <c r="BX13" s="200"/>
      <c r="BY13" s="200"/>
      <c r="BZ13" s="200"/>
      <c r="CA13" s="200"/>
      <c r="CB13" s="200"/>
      <c r="CC13" s="200"/>
      <c r="CD13" s="200"/>
      <c r="CE13" s="200"/>
      <c r="CF13" s="200"/>
      <c r="CG13" s="200"/>
      <c r="CH13" s="200"/>
    </row>
    <row r="14" spans="1:86" s="108" customFormat="1" x14ac:dyDescent="0.25">
      <c r="A14" s="207"/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2"/>
      <c r="O14" s="209"/>
      <c r="P14" s="208"/>
      <c r="Q14" s="209"/>
      <c r="R14" s="226">
        <v>0</v>
      </c>
      <c r="S14" s="86"/>
      <c r="T14" s="86"/>
      <c r="U14" s="86"/>
      <c r="V14" s="87"/>
      <c r="W14" s="107">
        <f t="shared" si="0"/>
        <v>0</v>
      </c>
      <c r="X14" s="84">
        <v>0</v>
      </c>
      <c r="Y14" s="209"/>
      <c r="Z14" s="276"/>
      <c r="AA14" s="206"/>
      <c r="AB14" s="209"/>
      <c r="AD14" s="200"/>
      <c r="AE14" s="200"/>
      <c r="AF14" s="200"/>
      <c r="AG14" s="200"/>
      <c r="AH14" s="200"/>
      <c r="AI14" s="200"/>
      <c r="AJ14" s="210"/>
      <c r="AK14" s="200"/>
      <c r="AL14" s="206"/>
      <c r="AM14" s="211"/>
      <c r="AN14" s="206"/>
      <c r="AO14" s="211"/>
      <c r="AP14" s="211"/>
      <c r="AQ14" s="211"/>
      <c r="AR14" s="211"/>
      <c r="AS14" s="211"/>
      <c r="AT14" s="211"/>
      <c r="AU14" s="211"/>
      <c r="AV14" s="212"/>
      <c r="AW14" s="211"/>
      <c r="AX14" s="211"/>
      <c r="AY14" s="211"/>
      <c r="AZ14" s="211"/>
      <c r="BA14" s="211"/>
      <c r="BB14" s="211"/>
      <c r="BC14" s="211"/>
      <c r="BD14" s="212"/>
      <c r="BE14" s="212"/>
      <c r="BF14" s="212"/>
      <c r="BG14" s="211"/>
      <c r="BH14" s="6"/>
      <c r="BI14" s="6"/>
      <c r="BJ14" s="211"/>
      <c r="BK14" s="211"/>
      <c r="BL14" s="211"/>
      <c r="BM14" s="200"/>
      <c r="BN14" s="200"/>
      <c r="BO14" s="206"/>
      <c r="BP14" s="206"/>
      <c r="BQ14" s="200"/>
      <c r="BR14" s="200"/>
      <c r="BS14" s="200"/>
      <c r="BT14" s="200"/>
      <c r="BU14" s="200"/>
      <c r="BV14" s="200"/>
      <c r="BW14" s="200"/>
      <c r="BX14" s="200"/>
      <c r="BY14" s="200"/>
      <c r="BZ14" s="200"/>
      <c r="CA14" s="200"/>
      <c r="CB14" s="200"/>
      <c r="CC14" s="200"/>
      <c r="CD14" s="200"/>
      <c r="CE14" s="200"/>
      <c r="CF14" s="200"/>
      <c r="CG14" s="200"/>
      <c r="CH14" s="200"/>
    </row>
    <row r="15" spans="1:86" s="108" customFormat="1" x14ac:dyDescent="0.25">
      <c r="A15" s="207"/>
      <c r="B15" s="207"/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2"/>
      <c r="O15" s="209"/>
      <c r="P15" s="208"/>
      <c r="Q15" s="209"/>
      <c r="R15" s="226">
        <v>0</v>
      </c>
      <c r="S15" s="86"/>
      <c r="T15" s="86"/>
      <c r="U15" s="86"/>
      <c r="V15" s="87"/>
      <c r="W15" s="107">
        <f t="shared" si="0"/>
        <v>0</v>
      </c>
      <c r="X15" s="84">
        <v>0</v>
      </c>
      <c r="Y15" s="209"/>
      <c r="Z15" s="276"/>
      <c r="AA15" s="206"/>
      <c r="AB15" s="209"/>
      <c r="AD15" s="6"/>
      <c r="AE15" s="6"/>
      <c r="AF15" s="6"/>
      <c r="AG15" s="6"/>
      <c r="AH15" s="6"/>
      <c r="AI15"/>
      <c r="AJ15" s="210"/>
      <c r="AK15" s="200"/>
      <c r="AL15" s="206"/>
      <c r="AM15" s="211"/>
      <c r="AN15" s="206"/>
      <c r="AO15" s="211"/>
      <c r="AP15" s="211"/>
      <c r="AQ15" s="211"/>
      <c r="AR15" s="211"/>
      <c r="AS15" s="211"/>
      <c r="AT15" s="211"/>
      <c r="AU15" s="211"/>
      <c r="AV15" s="212"/>
      <c r="AW15" s="211"/>
      <c r="AX15" s="211"/>
      <c r="AY15" s="211"/>
      <c r="AZ15" s="211"/>
      <c r="BA15" s="211"/>
      <c r="BB15" s="211"/>
      <c r="BC15" s="211"/>
      <c r="BD15" s="212"/>
      <c r="BE15" s="212"/>
      <c r="BF15" s="212"/>
      <c r="BG15" s="211"/>
      <c r="BH15" s="6"/>
      <c r="BI15" s="6"/>
      <c r="BJ15" s="200"/>
      <c r="BK15" s="200"/>
      <c r="BL15" s="200"/>
      <c r="BM15" s="200"/>
      <c r="BN15" s="200"/>
      <c r="BO15" s="206"/>
      <c r="BP15" s="206"/>
      <c r="BQ15" s="200"/>
      <c r="BR15" s="200"/>
      <c r="BS15" s="200"/>
      <c r="BT15" s="200"/>
      <c r="BU15" s="200"/>
      <c r="BV15" s="200"/>
      <c r="BW15" s="200"/>
      <c r="BX15" s="200"/>
      <c r="BY15" s="200"/>
      <c r="BZ15" s="200"/>
      <c r="CA15" s="200"/>
      <c r="CB15" s="200"/>
      <c r="CC15" s="200"/>
      <c r="CD15" s="200"/>
      <c r="CE15" s="200"/>
      <c r="CF15" s="200"/>
      <c r="CG15" s="200"/>
      <c r="CH15" s="200"/>
    </row>
    <row r="16" spans="1:86" s="108" customFormat="1" x14ac:dyDescent="0.25">
      <c r="A16" s="207"/>
      <c r="B16" s="207"/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2"/>
      <c r="O16" s="209"/>
      <c r="P16" s="208"/>
      <c r="Q16" s="209"/>
      <c r="R16" s="109"/>
      <c r="S16" s="109"/>
      <c r="T16" s="109"/>
      <c r="U16" s="109"/>
      <c r="V16" s="109"/>
      <c r="W16" s="109"/>
      <c r="X16" s="109"/>
      <c r="Y16" s="209"/>
      <c r="Z16" s="276"/>
      <c r="AA16" s="206"/>
      <c r="AB16" s="209"/>
      <c r="AD16" s="6"/>
      <c r="AE16" s="6"/>
      <c r="AF16" s="6"/>
      <c r="AG16" s="6"/>
      <c r="AH16" s="6"/>
      <c r="AI16"/>
      <c r="AJ16" s="210"/>
      <c r="AK16" s="200"/>
      <c r="AL16" s="206"/>
      <c r="AM16" s="211"/>
      <c r="AN16" s="206"/>
      <c r="AO16" s="211"/>
      <c r="AP16" s="211"/>
      <c r="AQ16" s="211"/>
      <c r="AR16" s="211"/>
      <c r="AS16" s="211"/>
      <c r="AT16" s="211"/>
      <c r="AU16" s="211"/>
      <c r="AV16" s="212"/>
      <c r="AW16" s="211"/>
      <c r="AX16" s="211"/>
      <c r="AY16" s="211"/>
      <c r="AZ16" s="211"/>
      <c r="BA16" s="211"/>
      <c r="BB16" s="211"/>
      <c r="BC16" s="211"/>
      <c r="BD16" s="212"/>
      <c r="BE16" s="212"/>
      <c r="BF16" s="212"/>
      <c r="BG16" s="211"/>
      <c r="BH16" s="6"/>
      <c r="BI16" s="6"/>
      <c r="BJ16" s="200"/>
      <c r="BK16" s="200"/>
      <c r="BL16" s="200"/>
      <c r="BM16" s="200"/>
      <c r="BN16" s="200"/>
      <c r="BO16" s="206"/>
      <c r="BP16" s="206"/>
      <c r="BQ16" s="200"/>
      <c r="BR16" s="200"/>
      <c r="BS16" s="200"/>
      <c r="BT16" s="200"/>
      <c r="BU16" s="200"/>
      <c r="BV16" s="200"/>
      <c r="BW16" s="200"/>
      <c r="BX16" s="200"/>
      <c r="BY16" s="200"/>
      <c r="BZ16" s="200"/>
      <c r="CA16" s="200"/>
      <c r="CB16" s="200"/>
      <c r="CC16" s="200"/>
      <c r="CD16" s="200"/>
      <c r="CE16" s="200"/>
      <c r="CF16" s="200"/>
      <c r="CG16" s="200"/>
      <c r="CH16" s="200"/>
    </row>
    <row r="17" spans="1:86" ht="15.6" x14ac:dyDescent="0.3">
      <c r="A17" s="118"/>
      <c r="B17" s="118">
        <f>SUM(AI9:AI17)</f>
        <v>0</v>
      </c>
      <c r="C17" s="119">
        <f>SUM(AK9:AK17)</f>
        <v>0</v>
      </c>
      <c r="D17" s="118">
        <f>SUM(AK9:AK17)</f>
        <v>0</v>
      </c>
      <c r="E17" s="119">
        <f>SUM(AO9:AO17)</f>
        <v>0</v>
      </c>
      <c r="F17" s="119">
        <f>SUM(BE9:BE17, BG9:BG17,BC9:BC17)</f>
        <v>0</v>
      </c>
      <c r="G17" s="119"/>
      <c r="H17" s="119">
        <f>SUM(AQ9:AQ17)+SUM(AR9:AR17)</f>
        <v>0</v>
      </c>
      <c r="I17" s="119">
        <f>SUM(AT9:AT17)+SUM(AP9:AP17)</f>
        <v>0</v>
      </c>
      <c r="J17" s="119"/>
      <c r="K17" s="119">
        <f>SUM(AX9:AX17)+SUM(AZ9:AZ17)+SUM(BB9:BB17)+SUM(AV9:AV17)</f>
        <v>0</v>
      </c>
      <c r="M17" s="119"/>
      <c r="N17" s="94" t="s">
        <v>52</v>
      </c>
      <c r="P17" s="95" t="str">
        <f>"Subtotal of Costs for "&amp;P9</f>
        <v xml:space="preserve">Subtotal of Costs for Subcontractor Net Costs </v>
      </c>
      <c r="R17" s="88"/>
      <c r="S17" s="88"/>
      <c r="T17" s="88"/>
      <c r="U17" s="88"/>
      <c r="V17" s="88"/>
      <c r="W17" s="88"/>
      <c r="X17" s="88"/>
      <c r="Z17" s="192">
        <f>SUM(AA9:AA17)</f>
        <v>0</v>
      </c>
      <c r="AA17" s="88"/>
      <c r="AJ17" s="92"/>
      <c r="AK17" s="92"/>
      <c r="AL17" s="92"/>
      <c r="AN17" s="92"/>
      <c r="AY17" s="42"/>
      <c r="AZ17" s="42"/>
    </row>
    <row r="18" spans="1:86" ht="15.6" x14ac:dyDescent="0.3">
      <c r="A18" s="118"/>
      <c r="B18" s="118"/>
      <c r="C18" s="119"/>
      <c r="D18" s="118"/>
      <c r="E18" s="119"/>
      <c r="F18" s="119"/>
      <c r="G18" s="119"/>
      <c r="H18" s="119"/>
      <c r="I18" s="119"/>
      <c r="J18" s="119"/>
      <c r="K18" s="119"/>
      <c r="M18" s="119"/>
      <c r="N18" s="94" t="s">
        <v>52</v>
      </c>
      <c r="P18" s="95"/>
      <c r="R18" s="88"/>
      <c r="S18" s="88"/>
      <c r="T18" s="88"/>
      <c r="U18" s="88"/>
      <c r="V18" s="88"/>
      <c r="W18" s="88"/>
      <c r="X18" s="88"/>
      <c r="Y18" s="192"/>
      <c r="Z18" s="192"/>
      <c r="AA18" s="88"/>
      <c r="AJ18" s="92"/>
      <c r="AK18" s="92"/>
      <c r="AL18" s="92"/>
      <c r="AN18" s="92"/>
      <c r="AY18" s="42"/>
      <c r="AZ18" s="42"/>
    </row>
    <row r="19" spans="1:86" ht="15.6" x14ac:dyDescent="0.3">
      <c r="C19" s="91"/>
      <c r="E19" s="91"/>
      <c r="F19" s="91"/>
      <c r="G19" s="91"/>
      <c r="H19" s="91"/>
      <c r="I19" s="91"/>
      <c r="J19" s="91"/>
      <c r="K19" s="91"/>
      <c r="L19" s="91"/>
      <c r="M19" s="91"/>
      <c r="N19" s="94" t="s">
        <v>52</v>
      </c>
      <c r="P19" s="423" t="s">
        <v>81</v>
      </c>
      <c r="R19" s="424"/>
      <c r="S19" s="425"/>
      <c r="T19" s="425"/>
      <c r="U19" s="425"/>
      <c r="V19" s="425"/>
      <c r="W19" s="425"/>
      <c r="X19" s="425"/>
      <c r="Y19" s="426"/>
      <c r="Z19" s="427"/>
      <c r="AA19" s="88"/>
      <c r="AJ19" s="88"/>
      <c r="AK19" s="88"/>
      <c r="AL19" s="88"/>
      <c r="AM19" s="42"/>
      <c r="AN19" s="88"/>
      <c r="AO19" s="42"/>
      <c r="AP19" s="42"/>
      <c r="AQ19" s="42"/>
      <c r="AR19" s="42"/>
      <c r="AS19" s="42"/>
      <c r="AT19" s="42"/>
      <c r="AU19" s="42"/>
      <c r="AV19" s="89"/>
      <c r="AW19" s="42"/>
      <c r="AX19" s="42"/>
      <c r="AY19" s="42"/>
      <c r="AZ19" s="42"/>
      <c r="BA19" s="42"/>
      <c r="BB19" s="42"/>
      <c r="BC19" s="42"/>
      <c r="BD19" s="89"/>
      <c r="BE19" s="89"/>
      <c r="BF19" s="89"/>
      <c r="BG19" s="42"/>
      <c r="BH19" s="42"/>
      <c r="BI19" s="42"/>
    </row>
    <row r="20" spans="1:86" s="98" customFormat="1" ht="15.6" x14ac:dyDescent="0.3">
      <c r="A20" s="200"/>
      <c r="B20" s="226">
        <v>0</v>
      </c>
      <c r="C20" s="226">
        <v>0</v>
      </c>
      <c r="D20" s="226">
        <v>0</v>
      </c>
      <c r="E20" s="226">
        <v>0</v>
      </c>
      <c r="F20" s="226">
        <v>0</v>
      </c>
      <c r="G20" s="199">
        <f>+G$4</f>
        <v>0</v>
      </c>
      <c r="H20" s="201">
        <f>AQ20+AR20</f>
        <v>0</v>
      </c>
      <c r="I20" s="226">
        <v>0</v>
      </c>
      <c r="J20" s="199">
        <f>+J$4</f>
        <v>0</v>
      </c>
      <c r="K20" s="201">
        <f>AV20+AX20+AZ20+BB20</f>
        <v>0</v>
      </c>
      <c r="L20" s="226">
        <v>0</v>
      </c>
      <c r="M20" s="199">
        <f>+M$4</f>
        <v>0</v>
      </c>
      <c r="N20" s="202" t="s">
        <v>52</v>
      </c>
      <c r="O20" s="224"/>
      <c r="P20" s="225" t="s">
        <v>51</v>
      </c>
      <c r="Q20" s="224" t="s">
        <v>35</v>
      </c>
      <c r="R20" s="100"/>
      <c r="S20" s="101"/>
      <c r="T20" s="101"/>
      <c r="U20" s="101"/>
      <c r="V20" s="102"/>
      <c r="W20" s="103"/>
      <c r="X20" s="104">
        <f>SUM(W21:W26)</f>
        <v>0</v>
      </c>
      <c r="Y20" s="203">
        <f>ROUNDUP(X20,1)</f>
        <v>0</v>
      </c>
      <c r="Z20" s="204">
        <f>ROUNDUP(AJ20+AN20+AS20+AU20+_xlfn.IFNA(L20,0)+AW20+AY20+BA20+_xlfn.IFNA(F20,0)+BD20+BF20,2)</f>
        <v>0</v>
      </c>
      <c r="AA20" s="205">
        <f>ROUND(Z20*ROUNDUP(Y20,1),2)</f>
        <v>0</v>
      </c>
      <c r="AB20" s="433">
        <v>0</v>
      </c>
      <c r="AC20" s="667">
        <f>AA20*AB20</f>
        <v>0</v>
      </c>
      <c r="AD20" s="205">
        <f>ROUNDUP(AM20*AB20,2)</f>
        <v>0</v>
      </c>
      <c r="AE20" s="205">
        <f>ROUNDUP(AO20*AB20,2)</f>
        <v>0</v>
      </c>
      <c r="AF20" s="205">
        <f>ROUNDUP((AT20+AP20)*AB20,2)</f>
        <v>0</v>
      </c>
      <c r="AG20" s="205">
        <f>ROUNDUP((AX20+AZ20+AV20)*AB20,2)</f>
        <v>0</v>
      </c>
      <c r="AH20" s="205">
        <f>ROUNDUP((BE20+BC20)*AB20,2)</f>
        <v>0</v>
      </c>
      <c r="AI20" s="205">
        <f>(BG20+BB20+AK20)*AB20</f>
        <v>0</v>
      </c>
      <c r="AJ20" s="205">
        <f>_xlfn.IFNA(+D20,0)</f>
        <v>0</v>
      </c>
      <c r="AK20" s="205">
        <f>ROUNDUP(_xlfn.IFNA(D20,0)*Y20,2)</f>
        <v>0</v>
      </c>
      <c r="AL20" s="205">
        <f>_xlfn.IFNA(C20,0)</f>
        <v>0</v>
      </c>
      <c r="AM20" s="204">
        <f>_xlfn.IFNA(C20,0)*Y20</f>
        <v>0</v>
      </c>
      <c r="AN20" s="205">
        <f>_xlfn.IFNA(E20,0)</f>
        <v>0</v>
      </c>
      <c r="AO20" s="204">
        <f>_xlfn.IFNA(E20,0)*Y20</f>
        <v>0</v>
      </c>
      <c r="AP20" s="204">
        <f>ROUNDUP(Y20*AU20,2)</f>
        <v>0</v>
      </c>
      <c r="AQ20" s="204">
        <f>ROUNDUP(+_xlfn.IFNA(I20,0)*Y20,2)</f>
        <v>0</v>
      </c>
      <c r="AR20" s="204">
        <f>J20*_xlfn.IFNA(I20,0)*Y20</f>
        <v>0</v>
      </c>
      <c r="AS20" s="204">
        <f>ROUNDUP(_xlfn.IFNA(I20,0)*I$4*J20,2)</f>
        <v>0</v>
      </c>
      <c r="AT20" s="204">
        <f>AS20*Y20</f>
        <v>0</v>
      </c>
      <c r="AU20" s="204">
        <f>_xlfn.IFNA(IF(I20=0,0,ROUNDUP(I$4*I20,2)),0)</f>
        <v>0</v>
      </c>
      <c r="AV20" s="204">
        <f>+ROUNDUP(_xlfn.IFNA(L20,0)*ROUNDUP(Y20,1),2)</f>
        <v>0</v>
      </c>
      <c r="AW20" s="204">
        <f>ROUNDUP(_xlfn.IFNA(L20,0)*L$2,2)</f>
        <v>0</v>
      </c>
      <c r="AX20" s="204">
        <f>+ROUNDUP(AW20*Y20,2)</f>
        <v>0</v>
      </c>
      <c r="AY20" s="204">
        <f>ROUNDUP((_xlfn.IFNA(L20,0)+AW20)*M20,2)</f>
        <v>0</v>
      </c>
      <c r="AZ20" s="204">
        <f>ROUNDUP(AY20*Y20,2)</f>
        <v>0</v>
      </c>
      <c r="BA20" s="204">
        <f>ROUNDUP(((_xlfn.IFNA(L20,0)+AW20+AY20)*(L$4))*L$3,2)</f>
        <v>0</v>
      </c>
      <c r="BB20" s="204">
        <f>ROUNDUP(+BA20*ROUNDUP(Y20,1),2)</f>
        <v>0</v>
      </c>
      <c r="BC20" s="204">
        <f>ROUNDUP(_xlfn.IFNA(F20,0)*Y20,2)</f>
        <v>0</v>
      </c>
      <c r="BD20" s="204">
        <f>ROUNDUP(_xlfn.IFNA(F20,0)*G20,2)</f>
        <v>0</v>
      </c>
      <c r="BE20" s="204">
        <f>ROUNDUP(BD20*Y20,2)</f>
        <v>0</v>
      </c>
      <c r="BF20" s="204">
        <f>ROUNDUP(((ROUNDUP(_xlfn.IFNA(F20,0)+BD20,2)*F$4)*F$3),2)</f>
        <v>0</v>
      </c>
      <c r="BG20" s="204">
        <f>BF20*Y20</f>
        <v>0</v>
      </c>
      <c r="BH20" s="204"/>
      <c r="BI20" s="204"/>
      <c r="BJ20" s="204"/>
      <c r="BK20" s="204"/>
      <c r="BL20" s="204"/>
      <c r="BM20" s="200"/>
      <c r="BN20" s="200"/>
      <c r="BO20" s="200"/>
      <c r="BP20" s="200"/>
      <c r="BQ20" s="200"/>
      <c r="BR20" s="200"/>
      <c r="BS20" s="200"/>
      <c r="BT20" s="200"/>
      <c r="BU20" s="200"/>
      <c r="BV20" s="200"/>
      <c r="BW20" s="200"/>
      <c r="BX20" s="200"/>
      <c r="BY20" s="200"/>
      <c r="BZ20" s="200"/>
      <c r="CA20" s="200"/>
      <c r="CB20" s="200"/>
      <c r="CC20" s="200"/>
      <c r="CD20" s="200"/>
      <c r="CE20" s="200"/>
      <c r="CF20" s="200"/>
      <c r="CG20" s="200"/>
      <c r="CH20" s="200"/>
    </row>
    <row r="21" spans="1:86" s="98" customFormat="1" ht="15.6" x14ac:dyDescent="0.3">
      <c r="A21" s="200"/>
      <c r="C21" s="99"/>
      <c r="E21" s="99"/>
      <c r="F21" s="207"/>
      <c r="G21" s="207"/>
      <c r="H21" s="207"/>
      <c r="I21" s="207"/>
      <c r="J21" s="207"/>
      <c r="K21" s="207"/>
      <c r="L21" s="207"/>
      <c r="M21" s="207"/>
      <c r="N21" s="202"/>
      <c r="O21" s="200"/>
      <c r="P21" s="208"/>
      <c r="Q21" s="200"/>
      <c r="R21" s="105"/>
      <c r="S21" s="101"/>
      <c r="T21" s="101"/>
      <c r="U21" s="101"/>
      <c r="V21" s="84"/>
      <c r="W21" s="106"/>
      <c r="X21" s="103" t="s">
        <v>41</v>
      </c>
      <c r="Y21" s="209"/>
      <c r="Z21" s="276"/>
      <c r="AA21" s="206"/>
      <c r="AB21" s="200"/>
      <c r="AD21" s="6"/>
      <c r="AE21" s="6"/>
      <c r="AF21" s="6"/>
      <c r="AG21" s="6"/>
      <c r="AH21" s="6"/>
      <c r="AI21"/>
      <c r="AJ21" s="210"/>
      <c r="AK21" s="200"/>
      <c r="AL21" s="206"/>
      <c r="AM21" s="211"/>
      <c r="AN21" s="206"/>
      <c r="AO21" s="211"/>
      <c r="AP21" s="211"/>
      <c r="AQ21" s="211"/>
      <c r="AR21" s="211"/>
      <c r="AS21" s="211"/>
      <c r="AT21" s="211"/>
      <c r="AU21" s="211"/>
      <c r="AV21" s="212"/>
      <c r="AW21" s="211"/>
      <c r="AX21" s="211"/>
      <c r="AY21" s="211"/>
      <c r="AZ21" s="211"/>
      <c r="BA21" s="211"/>
      <c r="BB21" s="211"/>
      <c r="BC21" s="211"/>
      <c r="BD21" s="212"/>
      <c r="BE21" s="212"/>
      <c r="BF21" s="212"/>
      <c r="BG21" s="211"/>
      <c r="BH21" s="211"/>
      <c r="BI21" s="211"/>
      <c r="BJ21" s="211"/>
      <c r="BK21" s="211"/>
      <c r="BL21" s="211"/>
      <c r="BM21" s="200"/>
      <c r="BN21" s="200"/>
      <c r="BO21" s="200"/>
      <c r="BP21" s="200"/>
      <c r="BQ21" s="200"/>
      <c r="BR21" s="200"/>
      <c r="BS21" s="200"/>
      <c r="BT21" s="200"/>
      <c r="BU21" s="200"/>
      <c r="BV21" s="200"/>
      <c r="BW21" s="200"/>
      <c r="BX21" s="200"/>
      <c r="BY21" s="200"/>
      <c r="BZ21" s="200"/>
      <c r="CA21" s="200"/>
      <c r="CB21" s="200"/>
      <c r="CC21" s="200"/>
      <c r="CD21" s="200"/>
      <c r="CE21" s="200"/>
      <c r="CF21" s="200"/>
      <c r="CG21" s="200"/>
      <c r="CH21" s="200"/>
    </row>
    <row r="22" spans="1:86" s="108" customFormat="1" x14ac:dyDescent="0.25">
      <c r="A22" s="207"/>
      <c r="B22" s="207"/>
      <c r="C22" s="207"/>
      <c r="D22" s="207"/>
      <c r="E22" s="207"/>
      <c r="F22" s="207"/>
      <c r="G22" s="207"/>
      <c r="H22" s="207"/>
      <c r="I22" s="207"/>
      <c r="J22" s="207"/>
      <c r="K22" s="207"/>
      <c r="L22" s="207"/>
      <c r="M22" s="207"/>
      <c r="N22" s="202"/>
      <c r="O22" s="209"/>
      <c r="P22" s="208"/>
      <c r="Q22" s="209"/>
      <c r="R22" s="226">
        <v>0</v>
      </c>
      <c r="S22" s="86"/>
      <c r="T22" s="86"/>
      <c r="U22" s="86"/>
      <c r="V22" s="87"/>
      <c r="W22" s="107">
        <f>_xlfn.IFNA(PRODUCT(R22:U22,(1+X22)),0)</f>
        <v>0</v>
      </c>
      <c r="X22" s="84">
        <v>0</v>
      </c>
      <c r="Y22" s="209"/>
      <c r="Z22" s="276"/>
      <c r="AA22" s="206"/>
      <c r="AB22" s="209"/>
      <c r="AD22" s="200"/>
      <c r="AE22" s="200"/>
      <c r="AF22" s="200"/>
      <c r="AG22" s="200"/>
      <c r="AH22" s="200"/>
      <c r="AI22" s="200"/>
      <c r="AJ22" s="210"/>
      <c r="AK22" s="200"/>
      <c r="AL22" s="206"/>
      <c r="AM22" s="211"/>
      <c r="AN22" s="206"/>
      <c r="AO22" s="211"/>
      <c r="AP22" s="211"/>
      <c r="AQ22" s="211"/>
      <c r="AR22" s="211"/>
      <c r="AS22" s="211"/>
      <c r="AT22" s="211"/>
      <c r="AU22" s="211"/>
      <c r="AV22" s="212"/>
      <c r="AW22" s="211"/>
      <c r="AX22" s="211"/>
      <c r="AY22" s="211"/>
      <c r="AZ22" s="211"/>
      <c r="BA22" s="211"/>
      <c r="BB22" s="211"/>
      <c r="BC22" s="211"/>
      <c r="BD22" s="212"/>
      <c r="BE22" s="212"/>
      <c r="BF22" s="212"/>
      <c r="BG22" s="211"/>
      <c r="BH22" s="211"/>
      <c r="BI22" s="211"/>
      <c r="BJ22" s="211"/>
      <c r="BK22" s="211"/>
      <c r="BL22" s="211"/>
      <c r="BM22" s="200"/>
      <c r="BN22" s="200"/>
      <c r="BO22" s="200"/>
      <c r="BP22" s="200"/>
      <c r="BQ22" s="200"/>
      <c r="BR22" s="200"/>
      <c r="BS22" s="200"/>
      <c r="BT22" s="200"/>
      <c r="BU22" s="200"/>
      <c r="BV22" s="200"/>
      <c r="BW22" s="200"/>
      <c r="BX22" s="200"/>
      <c r="BY22" s="200"/>
      <c r="BZ22" s="200"/>
      <c r="CA22" s="200"/>
      <c r="CB22" s="200"/>
      <c r="CC22" s="200"/>
      <c r="CD22" s="200"/>
      <c r="CE22" s="200"/>
      <c r="CF22" s="200"/>
      <c r="CG22" s="200"/>
      <c r="CH22" s="200"/>
    </row>
    <row r="23" spans="1:86" s="108" customFormat="1" x14ac:dyDescent="0.25">
      <c r="A23" s="207"/>
      <c r="B23" s="207"/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2"/>
      <c r="O23" s="209"/>
      <c r="P23" s="208"/>
      <c r="Q23" s="209"/>
      <c r="R23" s="226">
        <v>0</v>
      </c>
      <c r="S23" s="86"/>
      <c r="T23" s="86"/>
      <c r="U23" s="86"/>
      <c r="V23" s="87"/>
      <c r="W23" s="107">
        <f t="shared" ref="W23:W25" si="1">_xlfn.IFNA(PRODUCT(R23:U23,(1+X23)),0)</f>
        <v>0</v>
      </c>
      <c r="X23" s="84">
        <v>0</v>
      </c>
      <c r="Y23" s="209"/>
      <c r="Z23" s="276"/>
      <c r="AA23" s="206"/>
      <c r="AB23" s="209"/>
      <c r="AD23" s="200"/>
      <c r="AE23" s="200"/>
      <c r="AF23" s="200"/>
      <c r="AG23" s="200"/>
      <c r="AH23" s="200"/>
      <c r="AI23" s="200"/>
      <c r="AJ23" s="210"/>
      <c r="AK23" s="200"/>
      <c r="AL23" s="206"/>
      <c r="AM23" s="211"/>
      <c r="AN23" s="206"/>
      <c r="AO23" s="211"/>
      <c r="AP23" s="211"/>
      <c r="AQ23" s="211"/>
      <c r="AR23" s="211"/>
      <c r="AS23" s="211"/>
      <c r="AT23" s="211"/>
      <c r="AU23" s="211"/>
      <c r="AV23" s="212"/>
      <c r="AW23" s="211"/>
      <c r="AX23" s="211"/>
      <c r="AY23" s="211"/>
      <c r="AZ23" s="211"/>
      <c r="BA23" s="211"/>
      <c r="BB23" s="211"/>
      <c r="BC23" s="211"/>
      <c r="BD23" s="212"/>
      <c r="BE23" s="212"/>
      <c r="BF23" s="212"/>
      <c r="BG23" s="211"/>
      <c r="BH23" s="211"/>
      <c r="BI23" s="211"/>
      <c r="BJ23" s="211"/>
      <c r="BK23" s="211"/>
      <c r="BL23" s="211"/>
      <c r="BM23" s="200"/>
      <c r="BN23" s="200"/>
      <c r="BO23" s="200"/>
      <c r="BP23" s="200"/>
      <c r="BQ23" s="200"/>
      <c r="BR23" s="200"/>
      <c r="BS23" s="200"/>
      <c r="BT23" s="200"/>
      <c r="BU23" s="200"/>
      <c r="BV23" s="200"/>
      <c r="BW23" s="200"/>
      <c r="BX23" s="200"/>
      <c r="BY23" s="200"/>
      <c r="BZ23" s="200"/>
      <c r="CA23" s="200"/>
      <c r="CB23" s="200"/>
      <c r="CC23" s="200"/>
      <c r="CD23" s="200"/>
      <c r="CE23" s="200"/>
      <c r="CF23" s="200"/>
      <c r="CG23" s="200"/>
      <c r="CH23" s="200"/>
    </row>
    <row r="24" spans="1:86" s="108" customFormat="1" x14ac:dyDescent="0.25">
      <c r="A24" s="207"/>
      <c r="B24" s="207"/>
      <c r="C24" s="207"/>
      <c r="D24" s="207"/>
      <c r="E24" s="207"/>
      <c r="F24" s="207"/>
      <c r="G24" s="207"/>
      <c r="H24" s="207"/>
      <c r="I24" s="207"/>
      <c r="J24" s="207"/>
      <c r="K24" s="207"/>
      <c r="L24" s="207"/>
      <c r="M24" s="207"/>
      <c r="N24" s="202"/>
      <c r="O24" s="209"/>
      <c r="P24" s="208"/>
      <c r="Q24" s="209"/>
      <c r="R24" s="226">
        <v>0</v>
      </c>
      <c r="S24" s="86"/>
      <c r="T24" s="86"/>
      <c r="U24" s="86"/>
      <c r="V24" s="87"/>
      <c r="W24" s="107">
        <f t="shared" si="1"/>
        <v>0</v>
      </c>
      <c r="X24" s="84">
        <v>0</v>
      </c>
      <c r="Y24" s="209"/>
      <c r="Z24" s="276"/>
      <c r="AA24" s="206"/>
      <c r="AB24" s="209"/>
      <c r="AD24" s="200"/>
      <c r="AE24" s="200"/>
      <c r="AF24" s="200"/>
      <c r="AG24" s="200"/>
      <c r="AH24" s="200"/>
      <c r="AI24" s="200"/>
      <c r="AJ24" s="210"/>
      <c r="AK24" s="200"/>
      <c r="AL24" s="206"/>
      <c r="AM24" s="211"/>
      <c r="AN24" s="206"/>
      <c r="AO24" s="211"/>
      <c r="AP24" s="211"/>
      <c r="AQ24" s="211"/>
      <c r="AR24" s="211"/>
      <c r="AS24" s="211"/>
      <c r="AT24" s="211"/>
      <c r="AU24" s="211"/>
      <c r="AV24" s="212"/>
      <c r="AW24" s="211"/>
      <c r="AX24" s="211"/>
      <c r="AY24" s="211"/>
      <c r="AZ24" s="211"/>
      <c r="BA24" s="211"/>
      <c r="BB24" s="211"/>
      <c r="BC24" s="211"/>
      <c r="BD24" s="212"/>
      <c r="BE24" s="212"/>
      <c r="BF24" s="212"/>
      <c r="BG24" s="211"/>
      <c r="BH24" s="211"/>
      <c r="BI24" s="211"/>
      <c r="BJ24" s="211"/>
      <c r="BK24" s="211"/>
      <c r="BL24" s="211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</row>
    <row r="25" spans="1:86" s="108" customFormat="1" x14ac:dyDescent="0.25">
      <c r="A25" s="207"/>
      <c r="B25" s="207"/>
      <c r="C25" s="207"/>
      <c r="D25" s="207"/>
      <c r="E25" s="207"/>
      <c r="F25" s="207"/>
      <c r="G25" s="207"/>
      <c r="H25" s="207"/>
      <c r="I25" s="207"/>
      <c r="J25" s="207"/>
      <c r="K25" s="207"/>
      <c r="L25" s="207"/>
      <c r="M25" s="207"/>
      <c r="N25" s="202"/>
      <c r="O25" s="209"/>
      <c r="P25" s="208"/>
      <c r="Q25" s="209"/>
      <c r="R25" s="226">
        <v>0</v>
      </c>
      <c r="S25" s="86"/>
      <c r="T25" s="86"/>
      <c r="U25" s="86"/>
      <c r="V25" s="87"/>
      <c r="W25" s="107">
        <f t="shared" si="1"/>
        <v>0</v>
      </c>
      <c r="X25" s="84">
        <v>0</v>
      </c>
      <c r="Y25" s="209"/>
      <c r="Z25" s="276"/>
      <c r="AA25" s="206"/>
      <c r="AB25" s="209"/>
      <c r="AD25" s="6"/>
      <c r="AE25" s="6"/>
      <c r="AF25" s="6"/>
      <c r="AG25" s="6"/>
      <c r="AH25" s="6"/>
      <c r="AI25"/>
      <c r="AJ25" s="210"/>
      <c r="AK25" s="200"/>
      <c r="AL25" s="206"/>
      <c r="AM25" s="211"/>
      <c r="AN25" s="206"/>
      <c r="AO25" s="211"/>
      <c r="AP25" s="211"/>
      <c r="AQ25" s="211"/>
      <c r="AR25" s="211"/>
      <c r="AS25" s="211"/>
      <c r="AT25" s="211"/>
      <c r="AU25" s="211"/>
      <c r="AV25" s="212"/>
      <c r="AW25" s="211"/>
      <c r="AX25" s="211"/>
      <c r="AY25" s="211"/>
      <c r="AZ25" s="211"/>
      <c r="BA25" s="211"/>
      <c r="BB25" s="211"/>
      <c r="BC25" s="211"/>
      <c r="BD25" s="212"/>
      <c r="BE25" s="212"/>
      <c r="BF25" s="212"/>
      <c r="BG25" s="211"/>
      <c r="BH25" s="211"/>
      <c r="BI25" s="211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</row>
    <row r="26" spans="1:86" s="108" customFormat="1" x14ac:dyDescent="0.25">
      <c r="A26" s="207"/>
      <c r="B26" s="207"/>
      <c r="C26" s="207"/>
      <c r="D26" s="207"/>
      <c r="E26" s="207"/>
      <c r="F26" s="207"/>
      <c r="G26" s="207"/>
      <c r="H26" s="207"/>
      <c r="I26" s="207"/>
      <c r="J26" s="207"/>
      <c r="K26" s="207"/>
      <c r="L26" s="207"/>
      <c r="M26" s="207"/>
      <c r="N26" s="202"/>
      <c r="O26" s="209"/>
      <c r="P26" s="208"/>
      <c r="Q26" s="209"/>
      <c r="R26" s="109"/>
      <c r="S26" s="109"/>
      <c r="T26" s="109"/>
      <c r="U26" s="109"/>
      <c r="V26" s="109"/>
      <c r="W26" s="109"/>
      <c r="X26" s="109"/>
      <c r="Y26" s="209"/>
      <c r="Z26" s="276"/>
      <c r="AA26" s="206"/>
      <c r="AB26" s="209"/>
      <c r="AD26" s="6"/>
      <c r="AE26" s="6"/>
      <c r="AF26" s="6"/>
      <c r="AG26" s="6"/>
      <c r="AH26" s="6"/>
      <c r="AI26"/>
      <c r="AJ26" s="210"/>
      <c r="AK26" s="200"/>
      <c r="AL26" s="206"/>
      <c r="AM26" s="211"/>
      <c r="AN26" s="206"/>
      <c r="AO26" s="211"/>
      <c r="AP26" s="211"/>
      <c r="AQ26" s="211"/>
      <c r="AR26" s="211"/>
      <c r="AS26" s="211"/>
      <c r="AT26" s="211"/>
      <c r="AU26" s="211"/>
      <c r="AV26" s="212"/>
      <c r="AW26" s="211"/>
      <c r="AX26" s="211"/>
      <c r="AY26" s="211"/>
      <c r="AZ26" s="211"/>
      <c r="BA26" s="211"/>
      <c r="BB26" s="211"/>
      <c r="BC26" s="211"/>
      <c r="BD26" s="212"/>
      <c r="BE26" s="212"/>
      <c r="BF26" s="212"/>
      <c r="BG26" s="211"/>
      <c r="BH26" s="211"/>
      <c r="BI26" s="211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</row>
    <row r="27" spans="1:86" ht="15.6" x14ac:dyDescent="0.3">
      <c r="A27" s="118"/>
      <c r="B27" s="118">
        <f>SUM(AI19:AI27)</f>
        <v>0</v>
      </c>
      <c r="C27" s="119">
        <f>SUM(AK19:AK27)</f>
        <v>0</v>
      </c>
      <c r="D27" s="118">
        <f>SUM(AK19:AK27)</f>
        <v>0</v>
      </c>
      <c r="E27" s="119">
        <f>SUM(AO19:AO27)</f>
        <v>0</v>
      </c>
      <c r="F27" s="119">
        <f>SUM(BE19:BE27, BG19:BG27,BC19:BC27)</f>
        <v>0</v>
      </c>
      <c r="G27" s="119"/>
      <c r="H27" s="119">
        <f>SUM(AQ19:AQ27)+SUM(AR19:AR27)</f>
        <v>0</v>
      </c>
      <c r="I27" s="119">
        <f>SUM(AT19:AT27)+SUM(AP19:AP27)</f>
        <v>0</v>
      </c>
      <c r="J27" s="119"/>
      <c r="K27" s="119">
        <f>SUM(AX19:AX27)+SUM(AZ19:AZ27)+SUM(BB19:BB27)+SUM(AV19:AV27)</f>
        <v>0</v>
      </c>
      <c r="M27" s="119"/>
      <c r="N27" s="94" t="s">
        <v>52</v>
      </c>
      <c r="P27" s="95" t="str">
        <f>"Subtotal of Costs for "&amp;P19</f>
        <v>Subtotal of Costs for Materials Net Cost</v>
      </c>
      <c r="R27" s="88"/>
      <c r="S27" s="88"/>
      <c r="T27" s="88"/>
      <c r="U27" s="88"/>
      <c r="V27" s="88"/>
      <c r="W27" s="88"/>
      <c r="X27" s="88"/>
      <c r="Z27" s="127">
        <f>SUM(AA19:AA27)</f>
        <v>0</v>
      </c>
      <c r="AA27" s="88"/>
      <c r="AJ27" s="92"/>
      <c r="AK27" s="92"/>
      <c r="AL27" s="92"/>
      <c r="AN27" s="92"/>
      <c r="AY27" s="42"/>
      <c r="AZ27" s="42"/>
    </row>
    <row r="28" spans="1:86" ht="15.6" x14ac:dyDescent="0.3">
      <c r="A28" s="118"/>
      <c r="B28" s="118"/>
      <c r="C28" s="119"/>
      <c r="D28" s="118"/>
      <c r="E28" s="119"/>
      <c r="F28" s="119"/>
      <c r="G28" s="119"/>
      <c r="H28" s="119"/>
      <c r="I28" s="119"/>
      <c r="J28" s="119"/>
      <c r="K28" s="119"/>
      <c r="M28" s="119"/>
      <c r="N28" s="94" t="s">
        <v>52</v>
      </c>
      <c r="P28" s="95"/>
      <c r="R28" s="88"/>
      <c r="S28" s="88"/>
      <c r="T28" s="88"/>
      <c r="U28" s="88"/>
      <c r="V28" s="88"/>
      <c r="W28" s="88"/>
      <c r="X28" s="88"/>
      <c r="Y28" s="192"/>
      <c r="Z28" s="192"/>
      <c r="AA28" s="88"/>
      <c r="AJ28" s="92"/>
      <c r="AK28" s="92"/>
      <c r="AL28" s="92"/>
      <c r="AN28" s="92"/>
      <c r="AY28" s="42"/>
      <c r="AZ28" s="42"/>
    </row>
    <row r="29" spans="1:86" ht="15.6" x14ac:dyDescent="0.3">
      <c r="C29" s="91"/>
      <c r="E29" s="91"/>
      <c r="F29" s="91"/>
      <c r="G29" s="91"/>
      <c r="H29" s="91"/>
      <c r="I29" s="91"/>
      <c r="J29" s="91"/>
      <c r="K29" s="91"/>
      <c r="L29" s="91"/>
      <c r="M29" s="91"/>
      <c r="N29" s="94" t="s">
        <v>52</v>
      </c>
      <c r="P29" s="423" t="s">
        <v>82</v>
      </c>
      <c r="R29" s="424"/>
      <c r="S29" s="425"/>
      <c r="T29" s="425"/>
      <c r="U29" s="425"/>
      <c r="V29" s="425"/>
      <c r="W29" s="425"/>
      <c r="X29" s="425"/>
      <c r="Y29" s="426"/>
      <c r="Z29" s="427"/>
      <c r="AA29" s="88"/>
      <c r="AJ29" s="88"/>
      <c r="AK29" s="88"/>
      <c r="AL29" s="88"/>
      <c r="AM29" s="42"/>
      <c r="AN29" s="88"/>
      <c r="AO29" s="42"/>
      <c r="AP29" s="42"/>
      <c r="AQ29" s="42"/>
      <c r="AR29" s="42"/>
      <c r="AS29" s="42"/>
      <c r="AT29" s="42"/>
      <c r="AU29" s="42"/>
      <c r="AV29" s="89"/>
      <c r="AW29" s="42"/>
      <c r="AX29" s="42"/>
      <c r="AY29" s="42"/>
      <c r="AZ29" s="42"/>
      <c r="BA29" s="42"/>
      <c r="BB29" s="42"/>
      <c r="BC29" s="42"/>
      <c r="BD29" s="89"/>
      <c r="BE29" s="89"/>
      <c r="BF29" s="89"/>
      <c r="BG29" s="42"/>
      <c r="BH29" s="42"/>
      <c r="BI29" s="42"/>
    </row>
    <row r="30" spans="1:86" s="98" customFormat="1" ht="15.6" x14ac:dyDescent="0.3">
      <c r="A30" s="200"/>
      <c r="B30" s="226">
        <v>0</v>
      </c>
      <c r="C30" s="226">
        <v>0</v>
      </c>
      <c r="D30" s="226">
        <v>0</v>
      </c>
      <c r="E30" s="226">
        <v>0</v>
      </c>
      <c r="F30" s="226">
        <v>0</v>
      </c>
      <c r="G30" s="199">
        <f>+G$4</f>
        <v>0</v>
      </c>
      <c r="H30" s="201">
        <f>AQ30+AR30</f>
        <v>0</v>
      </c>
      <c r="I30" s="226">
        <v>0</v>
      </c>
      <c r="J30" s="199">
        <f>+J$4</f>
        <v>0</v>
      </c>
      <c r="K30" s="201">
        <f>AV30+AX30+AZ30+BB30</f>
        <v>0</v>
      </c>
      <c r="L30" s="226">
        <v>0</v>
      </c>
      <c r="M30" s="199">
        <f>+M$4</f>
        <v>0</v>
      </c>
      <c r="N30" s="202" t="s">
        <v>52</v>
      </c>
      <c r="O30" s="224"/>
      <c r="P30" s="225" t="s">
        <v>51</v>
      </c>
      <c r="Q30" s="224" t="s">
        <v>35</v>
      </c>
      <c r="R30" s="100"/>
      <c r="S30" s="101"/>
      <c r="T30" s="101"/>
      <c r="U30" s="101"/>
      <c r="V30" s="102"/>
      <c r="W30" s="103"/>
      <c r="X30" s="104">
        <f>SUM(W31:W36)</f>
        <v>0</v>
      </c>
      <c r="Y30" s="203">
        <f>ROUNDUP(X30,1)</f>
        <v>0</v>
      </c>
      <c r="Z30" s="204">
        <f>ROUNDUP(AJ30+AN30+AS30+AU30+_xlfn.IFNA(L30,0)+AW30+AY30+BA30+_xlfn.IFNA(F30,0)+BD30+BF30,2)</f>
        <v>0</v>
      </c>
      <c r="AA30" s="205">
        <f>ROUND(Z30*ROUNDUP(Y30,1),2)</f>
        <v>0</v>
      </c>
      <c r="AB30" s="433">
        <v>0</v>
      </c>
      <c r="AC30" s="667">
        <f>AA30*AB30</f>
        <v>0</v>
      </c>
      <c r="AD30" s="205">
        <f>ROUNDUP(AM30*AB30,2)</f>
        <v>0</v>
      </c>
      <c r="AE30" s="205">
        <f>ROUNDUP(AO30*AB30,2)</f>
        <v>0</v>
      </c>
      <c r="AF30" s="205">
        <f>ROUNDUP((AT30+AP30)*AB30,2)</f>
        <v>0</v>
      </c>
      <c r="AG30" s="205">
        <f>ROUNDUP((AX30+AZ30+AV30)*AB30,2)</f>
        <v>0</v>
      </c>
      <c r="AH30" s="205">
        <f>ROUNDUP((BE30+BC30)*AB30,2)</f>
        <v>0</v>
      </c>
      <c r="AI30" s="205">
        <f>(BG30+BB30+AK30)*AB30</f>
        <v>0</v>
      </c>
      <c r="AJ30" s="205">
        <f>_xlfn.IFNA(+D30,0)</f>
        <v>0</v>
      </c>
      <c r="AK30" s="205">
        <f>ROUNDUP(_xlfn.IFNA(D30,0)*Y30,2)</f>
        <v>0</v>
      </c>
      <c r="AL30" s="205">
        <f>_xlfn.IFNA(C30,0)</f>
        <v>0</v>
      </c>
      <c r="AM30" s="204">
        <f>_xlfn.IFNA(C30,0)*Y30</f>
        <v>0</v>
      </c>
      <c r="AN30" s="205">
        <f>_xlfn.IFNA(E30,0)</f>
        <v>0</v>
      </c>
      <c r="AO30" s="204">
        <f>_xlfn.IFNA(E30,0)*Y30</f>
        <v>0</v>
      </c>
      <c r="AP30" s="204">
        <f>ROUNDUP(Y30*AU30,2)</f>
        <v>0</v>
      </c>
      <c r="AQ30" s="204">
        <f>ROUNDUP(+_xlfn.IFNA(I30,0)*Y30,2)</f>
        <v>0</v>
      </c>
      <c r="AR30" s="204">
        <f>J30*_xlfn.IFNA(I30,0)*Y30</f>
        <v>0</v>
      </c>
      <c r="AS30" s="204">
        <f>ROUNDUP(_xlfn.IFNA(I30,0)*I$4*J30,2)</f>
        <v>0</v>
      </c>
      <c r="AT30" s="204">
        <f>AS30*Y30</f>
        <v>0</v>
      </c>
      <c r="AU30" s="204">
        <f>_xlfn.IFNA(IF(I30=0,0,ROUNDUP(I$4*I30,2)),0)</f>
        <v>0</v>
      </c>
      <c r="AV30" s="204">
        <f>+ROUNDUP(_xlfn.IFNA(L30,0)*ROUNDUP(Y30,1),2)</f>
        <v>0</v>
      </c>
      <c r="AW30" s="204">
        <f>ROUNDUP(_xlfn.IFNA(L30,0)*L$2,2)</f>
        <v>0</v>
      </c>
      <c r="AX30" s="204">
        <f>+ROUNDUP(AW30*Y30,2)</f>
        <v>0</v>
      </c>
      <c r="AY30" s="204">
        <f>ROUNDUP((_xlfn.IFNA(L30,0)+AW30)*M30,2)</f>
        <v>0</v>
      </c>
      <c r="AZ30" s="204">
        <f>ROUNDUP(AY30*Y30,2)</f>
        <v>0</v>
      </c>
      <c r="BA30" s="204">
        <f>ROUNDUP(((_xlfn.IFNA(L30,0)+AW30+AY30)*(L$4))*L$3,2)</f>
        <v>0</v>
      </c>
      <c r="BB30" s="204">
        <f>ROUNDUP(+BA30*ROUNDUP(Y30,1),2)</f>
        <v>0</v>
      </c>
      <c r="BC30" s="204">
        <f>ROUNDUP(_xlfn.IFNA(F30,0)*Y30,2)</f>
        <v>0</v>
      </c>
      <c r="BD30" s="204">
        <f>ROUNDUP(_xlfn.IFNA(F30,0)*G30,2)</f>
        <v>0</v>
      </c>
      <c r="BE30" s="204">
        <f>ROUNDUP(BD30*Y30,2)</f>
        <v>0</v>
      </c>
      <c r="BF30" s="204">
        <f>ROUNDUP(((ROUNDUP(_xlfn.IFNA(F30,0)+BD30,2)*F$4)*F$3),2)</f>
        <v>0</v>
      </c>
      <c r="BG30" s="204">
        <f>BF30*Y30</f>
        <v>0</v>
      </c>
      <c r="BH30" s="204"/>
      <c r="BI30" s="204"/>
      <c r="BJ30" s="204"/>
      <c r="BK30" s="204"/>
      <c r="BL30" s="204"/>
      <c r="BM30" s="200"/>
      <c r="BN30" s="200"/>
      <c r="BO30" s="200"/>
      <c r="BP30" s="200"/>
      <c r="BQ30" s="200"/>
      <c r="BR30" s="200"/>
      <c r="BS30" s="200"/>
      <c r="BT30" s="200"/>
      <c r="BU30" s="200"/>
      <c r="BV30" s="200"/>
      <c r="BW30" s="200"/>
      <c r="BX30" s="200"/>
      <c r="BY30" s="200"/>
      <c r="BZ30" s="200"/>
      <c r="CA30" s="200"/>
      <c r="CB30" s="200"/>
      <c r="CC30" s="200"/>
      <c r="CD30" s="200"/>
      <c r="CE30" s="200"/>
      <c r="CF30" s="200"/>
      <c r="CG30" s="200"/>
      <c r="CH30" s="200"/>
    </row>
    <row r="31" spans="1:86" s="98" customFormat="1" ht="15.6" x14ac:dyDescent="0.3">
      <c r="A31" s="200"/>
      <c r="B31" s="200"/>
      <c r="C31" s="207"/>
      <c r="D31" s="200"/>
      <c r="E31" s="207"/>
      <c r="F31" s="207"/>
      <c r="G31" s="207"/>
      <c r="H31" s="207"/>
      <c r="I31" s="207"/>
      <c r="J31" s="207"/>
      <c r="K31" s="207"/>
      <c r="L31" s="207"/>
      <c r="M31" s="207"/>
      <c r="N31" s="202"/>
      <c r="O31" s="200"/>
      <c r="P31" s="208"/>
      <c r="Q31" s="200"/>
      <c r="R31" s="105"/>
      <c r="S31" s="101"/>
      <c r="T31" s="101"/>
      <c r="U31" s="101"/>
      <c r="V31" s="84"/>
      <c r="W31" s="106"/>
      <c r="X31" s="103" t="s">
        <v>41</v>
      </c>
      <c r="Y31" s="209"/>
      <c r="Z31" s="276"/>
      <c r="AA31" s="206"/>
      <c r="AB31" s="200"/>
      <c r="AD31" s="6"/>
      <c r="AE31" s="6"/>
      <c r="AF31" s="6"/>
      <c r="AG31" s="6"/>
      <c r="AH31" s="6"/>
      <c r="AI31"/>
      <c r="AJ31" s="210"/>
      <c r="AK31" s="200"/>
      <c r="AL31" s="206"/>
      <c r="AM31" s="211"/>
      <c r="AN31" s="206"/>
      <c r="AO31" s="211"/>
      <c r="AP31" s="211"/>
      <c r="AQ31" s="211"/>
      <c r="AR31" s="211"/>
      <c r="AS31" s="211"/>
      <c r="AT31" s="211"/>
      <c r="AU31" s="211"/>
      <c r="AV31" s="212"/>
      <c r="AW31" s="211"/>
      <c r="AX31" s="211"/>
      <c r="AY31" s="211"/>
      <c r="AZ31" s="211"/>
      <c r="BA31" s="211"/>
      <c r="BB31" s="211"/>
      <c r="BC31" s="211"/>
      <c r="BD31" s="212"/>
      <c r="BE31" s="212"/>
      <c r="BF31" s="212"/>
      <c r="BG31" s="211"/>
      <c r="BH31" s="211"/>
      <c r="BI31" s="211"/>
      <c r="BJ31" s="211"/>
      <c r="BK31" s="211"/>
      <c r="BL31" s="211"/>
      <c r="BM31" s="200"/>
      <c r="BN31" s="200"/>
      <c r="BO31" s="200"/>
      <c r="BP31" s="200"/>
      <c r="BQ31" s="200"/>
      <c r="BR31" s="200"/>
      <c r="BS31" s="200"/>
      <c r="BT31" s="200"/>
      <c r="BU31" s="200"/>
      <c r="BV31" s="200"/>
      <c r="BW31" s="200"/>
      <c r="BX31" s="200"/>
      <c r="BY31" s="200"/>
      <c r="BZ31" s="200"/>
      <c r="CA31" s="200"/>
      <c r="CB31" s="200"/>
      <c r="CC31" s="200"/>
      <c r="CD31" s="200"/>
      <c r="CE31" s="200"/>
      <c r="CF31" s="200"/>
      <c r="CG31" s="200"/>
      <c r="CH31" s="200"/>
    </row>
    <row r="32" spans="1:86" s="108" customFormat="1" x14ac:dyDescent="0.25">
      <c r="A32" s="207"/>
      <c r="B32" s="207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2"/>
      <c r="O32" s="209"/>
      <c r="P32" s="208"/>
      <c r="Q32" s="209"/>
      <c r="R32" s="226">
        <v>0</v>
      </c>
      <c r="S32" s="86"/>
      <c r="T32" s="86"/>
      <c r="U32" s="86"/>
      <c r="V32" s="87"/>
      <c r="W32" s="107">
        <f>_xlfn.IFNA(PRODUCT(R32:U32,(1+X32)),0)</f>
        <v>0</v>
      </c>
      <c r="X32" s="84">
        <v>0</v>
      </c>
      <c r="Y32" s="209"/>
      <c r="Z32" s="276"/>
      <c r="AA32" s="206"/>
      <c r="AB32" s="209"/>
      <c r="AD32" s="200"/>
      <c r="AE32" s="200"/>
      <c r="AF32" s="200"/>
      <c r="AG32" s="200"/>
      <c r="AH32" s="200"/>
      <c r="AI32" s="200"/>
      <c r="AJ32" s="210"/>
      <c r="AK32" s="200"/>
      <c r="AL32" s="206"/>
      <c r="AM32" s="211"/>
      <c r="AN32" s="206"/>
      <c r="AO32" s="211"/>
      <c r="AP32" s="211"/>
      <c r="AQ32" s="211"/>
      <c r="AR32" s="211"/>
      <c r="AS32" s="211"/>
      <c r="AT32" s="211"/>
      <c r="AU32" s="211"/>
      <c r="AV32" s="212"/>
      <c r="AW32" s="211"/>
      <c r="AX32" s="211"/>
      <c r="AY32" s="211"/>
      <c r="AZ32" s="211"/>
      <c r="BA32" s="211"/>
      <c r="BB32" s="211"/>
      <c r="BC32" s="211"/>
      <c r="BD32" s="212"/>
      <c r="BE32" s="212"/>
      <c r="BF32" s="212"/>
      <c r="BG32" s="211"/>
      <c r="BH32" s="211"/>
      <c r="BI32" s="211"/>
      <c r="BJ32" s="211"/>
      <c r="BK32" s="211"/>
      <c r="BL32" s="211"/>
      <c r="BM32" s="200"/>
      <c r="BN32" s="200"/>
      <c r="BO32" s="200"/>
      <c r="BP32" s="200"/>
      <c r="BQ32" s="200"/>
      <c r="BR32" s="200"/>
      <c r="BS32" s="200"/>
      <c r="BT32" s="200"/>
      <c r="BU32" s="200"/>
      <c r="BV32" s="200"/>
      <c r="BW32" s="200"/>
      <c r="BX32" s="200"/>
      <c r="BY32" s="200"/>
      <c r="BZ32" s="200"/>
      <c r="CA32" s="200"/>
      <c r="CB32" s="200"/>
      <c r="CC32" s="200"/>
      <c r="CD32" s="200"/>
      <c r="CE32" s="200"/>
      <c r="CF32" s="200"/>
      <c r="CG32" s="200"/>
      <c r="CH32" s="200"/>
    </row>
    <row r="33" spans="1:86" s="108" customFormat="1" x14ac:dyDescent="0.25">
      <c r="A33" s="207"/>
      <c r="B33" s="207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2"/>
      <c r="O33" s="209"/>
      <c r="P33" s="208"/>
      <c r="Q33" s="209"/>
      <c r="R33" s="226">
        <v>0</v>
      </c>
      <c r="S33" s="86"/>
      <c r="T33" s="86"/>
      <c r="U33" s="86"/>
      <c r="V33" s="87"/>
      <c r="W33" s="107">
        <f t="shared" ref="W33:W35" si="2">_xlfn.IFNA(PRODUCT(R33:U33,(1+X33)),0)</f>
        <v>0</v>
      </c>
      <c r="X33" s="84">
        <v>0</v>
      </c>
      <c r="Y33" s="209"/>
      <c r="Z33" s="276"/>
      <c r="AA33" s="206"/>
      <c r="AB33" s="209"/>
      <c r="AD33" s="200"/>
      <c r="AE33" s="200"/>
      <c r="AF33" s="200"/>
      <c r="AG33" s="200"/>
      <c r="AH33" s="200"/>
      <c r="AI33" s="200"/>
      <c r="AJ33" s="210"/>
      <c r="AK33" s="200"/>
      <c r="AL33" s="206"/>
      <c r="AM33" s="211"/>
      <c r="AN33" s="206"/>
      <c r="AO33" s="211"/>
      <c r="AP33" s="211"/>
      <c r="AQ33" s="211"/>
      <c r="AR33" s="211"/>
      <c r="AS33" s="211"/>
      <c r="AT33" s="211"/>
      <c r="AU33" s="211"/>
      <c r="AV33" s="212"/>
      <c r="AW33" s="211"/>
      <c r="AX33" s="211"/>
      <c r="AY33" s="211"/>
      <c r="AZ33" s="211"/>
      <c r="BA33" s="211"/>
      <c r="BB33" s="211"/>
      <c r="BC33" s="211"/>
      <c r="BD33" s="212"/>
      <c r="BE33" s="212"/>
      <c r="BF33" s="212"/>
      <c r="BG33" s="211"/>
      <c r="BH33" s="211"/>
      <c r="BI33" s="211"/>
      <c r="BJ33" s="211"/>
      <c r="BK33" s="211"/>
      <c r="BL33" s="211"/>
      <c r="BM33" s="200"/>
      <c r="BN33" s="200"/>
      <c r="BO33" s="200"/>
      <c r="BP33" s="200"/>
      <c r="BQ33" s="200"/>
      <c r="BR33" s="200"/>
      <c r="BS33" s="200"/>
      <c r="BT33" s="200"/>
      <c r="BU33" s="200"/>
      <c r="BV33" s="200"/>
      <c r="BW33" s="200"/>
      <c r="BX33" s="200"/>
      <c r="BY33" s="200"/>
      <c r="BZ33" s="200"/>
      <c r="CA33" s="200"/>
      <c r="CB33" s="200"/>
      <c r="CC33" s="200"/>
      <c r="CD33" s="200"/>
      <c r="CE33" s="200"/>
      <c r="CF33" s="200"/>
      <c r="CG33" s="200"/>
      <c r="CH33" s="200"/>
    </row>
    <row r="34" spans="1:86" s="108" customFormat="1" x14ac:dyDescent="0.25">
      <c r="A34" s="207"/>
      <c r="B34" s="207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2"/>
      <c r="O34" s="209"/>
      <c r="P34" s="208"/>
      <c r="Q34" s="209"/>
      <c r="R34" s="226">
        <v>0</v>
      </c>
      <c r="S34" s="86"/>
      <c r="T34" s="86"/>
      <c r="U34" s="86"/>
      <c r="V34" s="87"/>
      <c r="W34" s="107">
        <f t="shared" si="2"/>
        <v>0</v>
      </c>
      <c r="X34" s="84">
        <v>0</v>
      </c>
      <c r="Y34" s="209"/>
      <c r="Z34" s="276"/>
      <c r="AA34" s="206"/>
      <c r="AB34" s="209"/>
      <c r="AD34" s="200"/>
      <c r="AE34" s="200"/>
      <c r="AF34" s="200"/>
      <c r="AG34" s="200"/>
      <c r="AH34" s="200"/>
      <c r="AI34" s="200"/>
      <c r="AJ34" s="210"/>
      <c r="AK34" s="200"/>
      <c r="AL34" s="206"/>
      <c r="AM34" s="211"/>
      <c r="AN34" s="206"/>
      <c r="AO34" s="211"/>
      <c r="AP34" s="211"/>
      <c r="AQ34" s="211"/>
      <c r="AR34" s="211"/>
      <c r="AS34" s="211"/>
      <c r="AT34" s="211"/>
      <c r="AU34" s="211"/>
      <c r="AV34" s="212"/>
      <c r="AW34" s="211"/>
      <c r="AX34" s="211"/>
      <c r="AY34" s="211"/>
      <c r="AZ34" s="211"/>
      <c r="BA34" s="211"/>
      <c r="BB34" s="211"/>
      <c r="BC34" s="211"/>
      <c r="BD34" s="212"/>
      <c r="BE34" s="212"/>
      <c r="BF34" s="212"/>
      <c r="BG34" s="211"/>
      <c r="BH34" s="211"/>
      <c r="BI34" s="211"/>
      <c r="BJ34" s="211"/>
      <c r="BK34" s="211"/>
      <c r="BL34" s="211"/>
      <c r="BM34" s="200"/>
      <c r="BN34" s="200"/>
      <c r="BO34" s="200"/>
      <c r="BP34" s="200"/>
      <c r="BQ34" s="200"/>
      <c r="BR34" s="200"/>
      <c r="BS34" s="200"/>
      <c r="BT34" s="200"/>
      <c r="BU34" s="200"/>
      <c r="BV34" s="200"/>
      <c r="BW34" s="200"/>
      <c r="BX34" s="200"/>
      <c r="BY34" s="200"/>
      <c r="BZ34" s="200"/>
      <c r="CA34" s="200"/>
      <c r="CB34" s="200"/>
      <c r="CC34" s="200"/>
      <c r="CD34" s="200"/>
      <c r="CE34" s="200"/>
      <c r="CF34" s="200"/>
      <c r="CG34" s="200"/>
      <c r="CH34" s="200"/>
    </row>
    <row r="35" spans="1:86" s="108" customFormat="1" x14ac:dyDescent="0.25">
      <c r="A35" s="207"/>
      <c r="B35" s="207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2"/>
      <c r="O35" s="209"/>
      <c r="P35" s="208"/>
      <c r="Q35" s="209"/>
      <c r="R35" s="226">
        <v>0</v>
      </c>
      <c r="S35" s="86"/>
      <c r="T35" s="86"/>
      <c r="U35" s="86"/>
      <c r="V35" s="87"/>
      <c r="W35" s="107">
        <f t="shared" si="2"/>
        <v>0</v>
      </c>
      <c r="X35" s="84">
        <v>0</v>
      </c>
      <c r="Y35" s="209"/>
      <c r="Z35" s="276"/>
      <c r="AA35" s="206"/>
      <c r="AB35" s="209"/>
      <c r="AD35" s="6"/>
      <c r="AE35" s="6"/>
      <c r="AF35" s="6"/>
      <c r="AG35" s="6"/>
      <c r="AH35" s="6"/>
      <c r="AI35"/>
      <c r="AJ35" s="210"/>
      <c r="AK35" s="200"/>
      <c r="AL35" s="206"/>
      <c r="AM35" s="211"/>
      <c r="AN35" s="206"/>
      <c r="AO35" s="211"/>
      <c r="AP35" s="211"/>
      <c r="AQ35" s="211"/>
      <c r="AR35" s="211"/>
      <c r="AS35" s="211"/>
      <c r="AT35" s="211"/>
      <c r="AU35" s="211"/>
      <c r="AV35" s="212"/>
      <c r="AW35" s="211"/>
      <c r="AX35" s="211"/>
      <c r="AY35" s="211"/>
      <c r="AZ35" s="211"/>
      <c r="BA35" s="211"/>
      <c r="BB35" s="211"/>
      <c r="BC35" s="211"/>
      <c r="BD35" s="212"/>
      <c r="BE35" s="212"/>
      <c r="BF35" s="212"/>
      <c r="BG35" s="211"/>
      <c r="BH35" s="211"/>
      <c r="BI35" s="211"/>
      <c r="BJ35" s="200"/>
      <c r="BK35" s="200"/>
      <c r="BL35" s="200"/>
      <c r="BM35" s="200"/>
      <c r="BN35" s="200"/>
      <c r="BO35" s="200"/>
      <c r="BP35" s="200"/>
      <c r="BQ35" s="200"/>
      <c r="BR35" s="200"/>
      <c r="BS35" s="200"/>
      <c r="BT35" s="200"/>
      <c r="BU35" s="200"/>
      <c r="BV35" s="200"/>
      <c r="BW35" s="200"/>
      <c r="BX35" s="200"/>
      <c r="BY35" s="200"/>
      <c r="BZ35" s="200"/>
      <c r="CA35" s="200"/>
      <c r="CB35" s="200"/>
      <c r="CC35" s="200"/>
      <c r="CD35" s="200"/>
      <c r="CE35" s="200"/>
      <c r="CF35" s="200"/>
      <c r="CG35" s="200"/>
      <c r="CH35" s="200"/>
    </row>
    <row r="36" spans="1:86" s="108" customFormat="1" x14ac:dyDescent="0.25">
      <c r="A36" s="207"/>
      <c r="B36" s="207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2"/>
      <c r="O36" s="209"/>
      <c r="P36" s="208"/>
      <c r="Q36" s="209"/>
      <c r="R36" s="109"/>
      <c r="S36" s="109"/>
      <c r="T36" s="109"/>
      <c r="U36" s="109"/>
      <c r="V36" s="109"/>
      <c r="W36" s="109"/>
      <c r="X36" s="109"/>
      <c r="Y36" s="209"/>
      <c r="Z36" s="276"/>
      <c r="AA36" s="206"/>
      <c r="AB36" s="209"/>
      <c r="AD36" s="6"/>
      <c r="AE36" s="6"/>
      <c r="AF36" s="6"/>
      <c r="AG36" s="6"/>
      <c r="AH36" s="6"/>
      <c r="AI36"/>
      <c r="AJ36" s="210"/>
      <c r="AK36" s="200"/>
      <c r="AL36" s="206"/>
      <c r="AM36" s="211"/>
      <c r="AN36" s="206"/>
      <c r="AO36" s="211"/>
      <c r="AP36" s="211"/>
      <c r="AQ36" s="211"/>
      <c r="AR36" s="211"/>
      <c r="AS36" s="211"/>
      <c r="AT36" s="211"/>
      <c r="AU36" s="211"/>
      <c r="AV36" s="212"/>
      <c r="AW36" s="211"/>
      <c r="AX36" s="211"/>
      <c r="AY36" s="211"/>
      <c r="AZ36" s="211"/>
      <c r="BA36" s="211"/>
      <c r="BB36" s="211"/>
      <c r="BC36" s="211"/>
      <c r="BD36" s="212"/>
      <c r="BE36" s="212"/>
      <c r="BF36" s="212"/>
      <c r="BG36" s="211"/>
      <c r="BH36" s="211"/>
      <c r="BI36" s="211"/>
      <c r="BJ36" s="200"/>
      <c r="BK36" s="200"/>
      <c r="BL36" s="200"/>
      <c r="BM36" s="200"/>
      <c r="BN36" s="200"/>
      <c r="BO36" s="200"/>
      <c r="BP36" s="200"/>
      <c r="BQ36" s="200"/>
      <c r="BR36" s="200"/>
      <c r="BS36" s="200"/>
      <c r="BT36" s="200"/>
      <c r="BU36" s="200"/>
      <c r="BV36" s="200"/>
      <c r="BW36" s="200"/>
      <c r="BX36" s="200"/>
      <c r="BY36" s="200"/>
      <c r="BZ36" s="200"/>
      <c r="CA36" s="200"/>
      <c r="CB36" s="200"/>
      <c r="CC36" s="200"/>
      <c r="CD36" s="200"/>
      <c r="CE36" s="200"/>
      <c r="CF36" s="200"/>
      <c r="CG36" s="200"/>
      <c r="CH36" s="200"/>
    </row>
    <row r="37" spans="1:86" ht="15.6" x14ac:dyDescent="0.3">
      <c r="A37" s="118"/>
      <c r="B37" s="118">
        <f>SUM(AI29:AI37)</f>
        <v>0</v>
      </c>
      <c r="C37" s="119">
        <f>SUM(AK29:AK37)</f>
        <v>0</v>
      </c>
      <c r="D37" s="118">
        <f>SUM(AK29:AK37)</f>
        <v>0</v>
      </c>
      <c r="E37" s="119">
        <f>SUM(AO29:AO37)</f>
        <v>0</v>
      </c>
      <c r="F37" s="119">
        <f>SUM(BE29:BE37, BG29:BG37,BC29:BC37)</f>
        <v>0</v>
      </c>
      <c r="G37" s="119"/>
      <c r="H37" s="119">
        <f>SUM(AQ29:AQ37)+SUM(AR29:AR37)</f>
        <v>0</v>
      </c>
      <c r="I37" s="119">
        <f>SUM(AT29:AT37)+SUM(AP29:AP37)</f>
        <v>0</v>
      </c>
      <c r="J37" s="119"/>
      <c r="K37" s="119">
        <f>SUM(AX29:AX37)+SUM(AZ29:AZ37)+SUM(BB29:BB37)+SUM(AV29:AV37)</f>
        <v>0</v>
      </c>
      <c r="M37" s="119"/>
      <c r="N37" s="94" t="s">
        <v>52</v>
      </c>
      <c r="P37" s="95" t="str">
        <f>"Subtotal of Costs for "&amp;P29</f>
        <v xml:space="preserve">Subtotal of Costs for Net Plant Costs </v>
      </c>
      <c r="R37" s="88"/>
      <c r="S37" s="88"/>
      <c r="T37" s="88"/>
      <c r="U37" s="88"/>
      <c r="V37" s="88"/>
      <c r="W37" s="88"/>
      <c r="X37" s="88"/>
      <c r="Z37" s="127">
        <f>SUM(AA29:AA37)</f>
        <v>0</v>
      </c>
      <c r="AA37" s="88"/>
      <c r="AJ37" s="92"/>
      <c r="AK37" s="92"/>
      <c r="AL37" s="92"/>
      <c r="AN37" s="92"/>
      <c r="AY37" s="42"/>
      <c r="AZ37" s="42"/>
      <c r="BM37" s="213"/>
    </row>
    <row r="38" spans="1:86" ht="15.6" x14ac:dyDescent="0.3">
      <c r="A38" s="118"/>
      <c r="B38" s="118"/>
      <c r="C38" s="119"/>
      <c r="D38" s="118"/>
      <c r="E38" s="119"/>
      <c r="F38" s="119"/>
      <c r="G38" s="119"/>
      <c r="H38" s="119"/>
      <c r="I38" s="119"/>
      <c r="J38" s="119"/>
      <c r="K38" s="119"/>
      <c r="M38" s="119"/>
      <c r="N38" s="94" t="s">
        <v>52</v>
      </c>
      <c r="P38" s="95"/>
      <c r="R38" s="88"/>
      <c r="S38" s="88"/>
      <c r="T38" s="88"/>
      <c r="U38" s="88"/>
      <c r="V38" s="88"/>
      <c r="W38" s="88"/>
      <c r="X38" s="88"/>
      <c r="Y38" s="192"/>
      <c r="Z38" s="192"/>
      <c r="AA38" s="88"/>
      <c r="AJ38" s="92"/>
      <c r="AK38" s="92"/>
      <c r="AL38" s="92"/>
      <c r="AN38" s="92"/>
      <c r="AY38" s="42"/>
      <c r="AZ38" s="42"/>
    </row>
    <row r="39" spans="1:86" ht="15.6" x14ac:dyDescent="0.3">
      <c r="C39" s="91"/>
      <c r="E39" s="91"/>
      <c r="F39" s="91"/>
      <c r="G39" s="91"/>
      <c r="H39" s="91"/>
      <c r="I39" s="91"/>
      <c r="J39" s="91"/>
      <c r="K39" s="91"/>
      <c r="L39" s="91"/>
      <c r="M39" s="91"/>
      <c r="N39" s="94" t="s">
        <v>52</v>
      </c>
      <c r="P39" s="423" t="s">
        <v>83</v>
      </c>
      <c r="R39" s="424"/>
      <c r="S39" s="425"/>
      <c r="T39" s="425"/>
      <c r="U39" s="425"/>
      <c r="V39" s="425"/>
      <c r="W39" s="425"/>
      <c r="X39" s="425"/>
      <c r="Y39" s="426"/>
      <c r="Z39" s="427"/>
      <c r="AA39" s="88"/>
      <c r="AJ39" s="88"/>
      <c r="AK39" s="88"/>
      <c r="AL39" s="88"/>
      <c r="AM39" s="42"/>
      <c r="AN39" s="88"/>
      <c r="AO39" s="42"/>
      <c r="AP39" s="42"/>
      <c r="AQ39" s="42"/>
      <c r="AR39" s="42"/>
      <c r="AS39" s="42"/>
      <c r="AT39" s="42"/>
      <c r="AU39" s="42"/>
      <c r="AV39" s="89"/>
      <c r="AW39" s="42"/>
      <c r="AX39" s="42"/>
      <c r="AY39" s="42"/>
      <c r="AZ39" s="42"/>
      <c r="BA39" s="42"/>
      <c r="BB39" s="42"/>
      <c r="BC39" s="42"/>
      <c r="BD39" s="89"/>
      <c r="BE39" s="89"/>
      <c r="BF39" s="89"/>
      <c r="BG39" s="42"/>
      <c r="BH39" s="42"/>
      <c r="BI39" s="42"/>
      <c r="BJ39" s="42"/>
      <c r="BK39" s="42"/>
      <c r="BL39" s="42"/>
    </row>
    <row r="40" spans="1:86" s="98" customFormat="1" ht="15.6" x14ac:dyDescent="0.3">
      <c r="A40" s="200"/>
      <c r="B40" s="226">
        <v>0</v>
      </c>
      <c r="C40" s="226">
        <v>0</v>
      </c>
      <c r="D40" s="226">
        <v>0</v>
      </c>
      <c r="E40" s="226">
        <v>0</v>
      </c>
      <c r="F40" s="226">
        <v>0</v>
      </c>
      <c r="G40" s="199">
        <f>+G$4</f>
        <v>0</v>
      </c>
      <c r="H40" s="201">
        <f>AQ40+AR40</f>
        <v>0</v>
      </c>
      <c r="I40" s="226">
        <v>0</v>
      </c>
      <c r="J40" s="199">
        <f>+J$4</f>
        <v>0</v>
      </c>
      <c r="K40" s="201">
        <f>AV40+AX40+AZ40+BB40</f>
        <v>0</v>
      </c>
      <c r="L40" s="226">
        <v>0</v>
      </c>
      <c r="M40" s="199">
        <f>+M$4</f>
        <v>0</v>
      </c>
      <c r="N40" s="202" t="s">
        <v>52</v>
      </c>
      <c r="O40" s="224"/>
      <c r="P40" s="225" t="s">
        <v>51</v>
      </c>
      <c r="Q40" s="224" t="s">
        <v>35</v>
      </c>
      <c r="R40" s="100"/>
      <c r="S40" s="101"/>
      <c r="T40" s="101"/>
      <c r="U40" s="101"/>
      <c r="V40" s="102"/>
      <c r="W40" s="103"/>
      <c r="X40" s="104">
        <f>SUM(W41:W46)</f>
        <v>0</v>
      </c>
      <c r="Y40" s="203">
        <f>ROUNDUP(X40,1)</f>
        <v>0</v>
      </c>
      <c r="Z40" s="204">
        <f>ROUNDUP(AJ40+AN40+AS40+AU40+_xlfn.IFNA(L40,0)+AW40+AY40+BA40+_xlfn.IFNA(F40,0)+BD40+BF40,2)</f>
        <v>0</v>
      </c>
      <c r="AA40" s="205">
        <f>ROUND(Z40*ROUNDUP(Y40,1),2)</f>
        <v>0</v>
      </c>
      <c r="AB40" s="433">
        <v>0</v>
      </c>
      <c r="AC40" s="667">
        <f>AA40*AB40</f>
        <v>0</v>
      </c>
      <c r="AD40" s="205">
        <f>ROUNDUP(AM40*AB40,2)</f>
        <v>0</v>
      </c>
      <c r="AE40" s="205">
        <f>ROUNDUP(AO40*AB40,2)</f>
        <v>0</v>
      </c>
      <c r="AF40" s="205">
        <f>ROUNDUP((AT40+AP40)*AB40,2)</f>
        <v>0</v>
      </c>
      <c r="AG40" s="205">
        <f>ROUNDUP((AX40+AZ40+AV40)*AB40,2)</f>
        <v>0</v>
      </c>
      <c r="AH40" s="205">
        <f>ROUNDUP((BE40+BC40)*AB40,2)</f>
        <v>0</v>
      </c>
      <c r="AI40" s="205">
        <f>(BG40+BB40+AK40)*AB40</f>
        <v>0</v>
      </c>
      <c r="AJ40" s="205">
        <f>_xlfn.IFNA(+D40,0)</f>
        <v>0</v>
      </c>
      <c r="AK40" s="205">
        <f>ROUNDUP(_xlfn.IFNA(D40,0)*Y40,2)</f>
        <v>0</v>
      </c>
      <c r="AL40" s="205">
        <f>_xlfn.IFNA(C40,0)</f>
        <v>0</v>
      </c>
      <c r="AM40" s="204">
        <f>_xlfn.IFNA(C40,0)*Y40</f>
        <v>0</v>
      </c>
      <c r="AN40" s="205">
        <f>_xlfn.IFNA(E40,0)</f>
        <v>0</v>
      </c>
      <c r="AO40" s="204">
        <f>_xlfn.IFNA(E40,0)*Y40</f>
        <v>0</v>
      </c>
      <c r="AP40" s="204">
        <f>ROUNDUP(Y40*AU40,2)</f>
        <v>0</v>
      </c>
      <c r="AQ40" s="204">
        <f>ROUNDUP(+_xlfn.IFNA(I40,0)*Y40,2)</f>
        <v>0</v>
      </c>
      <c r="AR40" s="204">
        <f>J40*_xlfn.IFNA(I40,0)*Y40</f>
        <v>0</v>
      </c>
      <c r="AS40" s="204">
        <f>ROUNDUP(_xlfn.IFNA(I40,0)*I$4*J40,2)</f>
        <v>0</v>
      </c>
      <c r="AT40" s="204">
        <f>AS40*Y40</f>
        <v>0</v>
      </c>
      <c r="AU40" s="204">
        <f>_xlfn.IFNA(IF(I40=0,0,ROUNDUP(I$4*I40,2)),0)</f>
        <v>0</v>
      </c>
      <c r="AV40" s="204">
        <f>+ROUNDUP(_xlfn.IFNA(L40,0)*ROUNDUP(Y40,1),2)</f>
        <v>0</v>
      </c>
      <c r="AW40" s="204">
        <f>ROUNDUP(_xlfn.IFNA(L40,0)*L$2,2)</f>
        <v>0</v>
      </c>
      <c r="AX40" s="204">
        <f>+ROUNDUP(AW40*Y40,2)</f>
        <v>0</v>
      </c>
      <c r="AY40" s="204">
        <f>ROUNDUP((_xlfn.IFNA(L40,0)+AW40)*M40,2)</f>
        <v>0</v>
      </c>
      <c r="AZ40" s="204">
        <f>ROUNDUP(AY40*Y40,2)</f>
        <v>0</v>
      </c>
      <c r="BA40" s="204">
        <f>ROUNDUP(((_xlfn.IFNA(L40,0)+AW40+AY40)*(L$4))*L$3,2)</f>
        <v>0</v>
      </c>
      <c r="BB40" s="204">
        <f>ROUNDUP(+BA40*ROUNDUP(Y40,1),2)</f>
        <v>0</v>
      </c>
      <c r="BC40" s="204">
        <f>ROUNDUP(_xlfn.IFNA(F40,0)*Y40,2)</f>
        <v>0</v>
      </c>
      <c r="BD40" s="204">
        <f>ROUNDUP(_xlfn.IFNA(F40,0)*G40,2)</f>
        <v>0</v>
      </c>
      <c r="BE40" s="204">
        <f>ROUNDUP(BD40*Y40,2)</f>
        <v>0</v>
      </c>
      <c r="BF40" s="204">
        <f>ROUNDUP(((ROUNDUP(_xlfn.IFNA(F40,0)+BD40,2)*F$4)*F$3),2)</f>
        <v>0</v>
      </c>
      <c r="BG40" s="204">
        <f>BF40*Y40</f>
        <v>0</v>
      </c>
      <c r="BH40" s="204"/>
      <c r="BI40" s="204"/>
      <c r="BJ40" s="204"/>
      <c r="BK40" s="204"/>
      <c r="BL40" s="204"/>
      <c r="BM40" s="200"/>
      <c r="BN40" s="200"/>
      <c r="BO40" s="200"/>
      <c r="BP40" s="200"/>
      <c r="BQ40" s="200"/>
      <c r="BR40" s="200"/>
      <c r="BS40" s="200"/>
      <c r="BT40" s="200"/>
      <c r="BU40" s="200"/>
      <c r="BV40" s="200"/>
      <c r="BW40" s="200"/>
      <c r="BX40" s="200"/>
      <c r="BY40" s="200"/>
      <c r="BZ40" s="200"/>
      <c r="CA40" s="200"/>
      <c r="CB40" s="200"/>
      <c r="CC40" s="200"/>
      <c r="CD40" s="200"/>
      <c r="CE40" s="200"/>
      <c r="CF40" s="200"/>
      <c r="CG40" s="200"/>
      <c r="CH40" s="200"/>
    </row>
    <row r="41" spans="1:86" s="98" customFormat="1" ht="15.6" x14ac:dyDescent="0.3">
      <c r="A41" s="200"/>
      <c r="B41" s="200"/>
      <c r="C41" s="207"/>
      <c r="D41" s="200"/>
      <c r="E41" s="207"/>
      <c r="F41" s="207"/>
      <c r="G41" s="207"/>
      <c r="H41" s="207"/>
      <c r="I41" s="207"/>
      <c r="J41" s="207"/>
      <c r="K41" s="207"/>
      <c r="L41" s="207"/>
      <c r="M41" s="207"/>
      <c r="N41" s="202"/>
      <c r="O41" s="200"/>
      <c r="P41" s="208"/>
      <c r="Q41" s="200"/>
      <c r="R41" s="105"/>
      <c r="S41" s="101"/>
      <c r="T41" s="101"/>
      <c r="U41" s="101"/>
      <c r="V41" s="84"/>
      <c r="W41" s="106"/>
      <c r="X41" s="103" t="s">
        <v>41</v>
      </c>
      <c r="Y41" s="209"/>
      <c r="Z41" s="276"/>
      <c r="AA41" s="206"/>
      <c r="AB41" s="200"/>
      <c r="AD41" s="6"/>
      <c r="AE41" s="6"/>
      <c r="AF41" s="6"/>
      <c r="AG41" s="6"/>
      <c r="AH41" s="6"/>
      <c r="AI41"/>
      <c r="AJ41" s="210"/>
      <c r="AK41" s="200"/>
      <c r="AL41" s="206"/>
      <c r="AM41" s="211"/>
      <c r="AN41" s="206"/>
      <c r="AO41" s="211"/>
      <c r="AP41" s="211"/>
      <c r="AQ41" s="211"/>
      <c r="AR41" s="211"/>
      <c r="AS41" s="211"/>
      <c r="AT41" s="211"/>
      <c r="AU41" s="211"/>
      <c r="AV41" s="212"/>
      <c r="AW41" s="211"/>
      <c r="AX41" s="211"/>
      <c r="AY41" s="211"/>
      <c r="AZ41" s="211"/>
      <c r="BA41" s="211"/>
      <c r="BB41" s="211"/>
      <c r="BC41" s="211"/>
      <c r="BD41" s="212"/>
      <c r="BE41" s="212"/>
      <c r="BF41" s="212"/>
      <c r="BG41" s="211"/>
      <c r="BH41" s="211"/>
      <c r="BI41" s="211"/>
      <c r="BJ41" s="211"/>
      <c r="BK41" s="211"/>
      <c r="BL41" s="211"/>
      <c r="BM41" s="200"/>
      <c r="BN41" s="200"/>
      <c r="BO41" s="200"/>
      <c r="BP41" s="200"/>
      <c r="BQ41" s="200"/>
      <c r="BR41" s="200"/>
      <c r="BS41" s="200"/>
      <c r="BT41" s="200"/>
      <c r="BU41" s="200"/>
      <c r="BV41" s="200"/>
      <c r="BW41" s="200"/>
      <c r="BX41" s="200"/>
      <c r="BY41" s="200"/>
      <c r="BZ41" s="200"/>
      <c r="CA41" s="200"/>
      <c r="CB41" s="200"/>
      <c r="CC41" s="200"/>
      <c r="CD41" s="200"/>
      <c r="CE41" s="200"/>
      <c r="CF41" s="200"/>
      <c r="CG41" s="200"/>
      <c r="CH41" s="200"/>
    </row>
    <row r="42" spans="1:86" s="108" customFormat="1" x14ac:dyDescent="0.25">
      <c r="A42" s="207"/>
      <c r="B42" s="207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2"/>
      <c r="O42" s="209"/>
      <c r="P42" s="208"/>
      <c r="Q42" s="209"/>
      <c r="R42" s="226">
        <v>0</v>
      </c>
      <c r="S42" s="86"/>
      <c r="T42" s="86"/>
      <c r="U42" s="86"/>
      <c r="V42" s="87"/>
      <c r="W42" s="107">
        <f>_xlfn.IFNA(PRODUCT(R42:U42,(1+X42)),0)</f>
        <v>0</v>
      </c>
      <c r="X42" s="84">
        <v>0</v>
      </c>
      <c r="Y42" s="209"/>
      <c r="Z42" s="276"/>
      <c r="AA42" s="206"/>
      <c r="AB42" s="209"/>
      <c r="AD42" s="200"/>
      <c r="AE42" s="200"/>
      <c r="AF42" s="200"/>
      <c r="AG42" s="200"/>
      <c r="AH42" s="200"/>
      <c r="AI42" s="200"/>
      <c r="AJ42" s="210"/>
      <c r="AK42" s="200"/>
      <c r="AL42" s="206"/>
      <c r="AM42" s="211"/>
      <c r="AN42" s="206"/>
      <c r="AO42" s="211"/>
      <c r="AP42" s="211"/>
      <c r="AQ42" s="211"/>
      <c r="AR42" s="211"/>
      <c r="AS42" s="211"/>
      <c r="AT42" s="211"/>
      <c r="AU42" s="211"/>
      <c r="AV42" s="212"/>
      <c r="AW42" s="211"/>
      <c r="AX42" s="211"/>
      <c r="AY42" s="211"/>
      <c r="AZ42" s="211"/>
      <c r="BA42" s="211"/>
      <c r="BB42" s="211"/>
      <c r="BC42" s="211"/>
      <c r="BD42" s="212"/>
      <c r="BE42" s="212"/>
      <c r="BF42" s="212"/>
      <c r="BG42" s="211"/>
      <c r="BH42" s="211"/>
      <c r="BI42" s="211"/>
      <c r="BJ42" s="211"/>
      <c r="BK42" s="211"/>
      <c r="BL42" s="211"/>
      <c r="BM42" s="200"/>
      <c r="BN42" s="200"/>
      <c r="BO42" s="200"/>
      <c r="BP42" s="200"/>
      <c r="BQ42" s="200"/>
      <c r="BR42" s="200"/>
      <c r="BS42" s="200"/>
      <c r="BT42" s="200"/>
      <c r="BU42" s="200"/>
      <c r="BV42" s="200"/>
      <c r="BW42" s="200"/>
      <c r="BX42" s="200"/>
      <c r="BY42" s="200"/>
      <c r="BZ42" s="200"/>
      <c r="CA42" s="200"/>
      <c r="CB42" s="200"/>
      <c r="CC42" s="200"/>
      <c r="CD42" s="200"/>
      <c r="CE42" s="200"/>
      <c r="CF42" s="200"/>
      <c r="CG42" s="200"/>
      <c r="CH42" s="200"/>
    </row>
    <row r="43" spans="1:86" s="108" customFormat="1" x14ac:dyDescent="0.25">
      <c r="A43" s="207"/>
      <c r="B43" s="207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2"/>
      <c r="O43" s="209"/>
      <c r="P43" s="208"/>
      <c r="Q43" s="209"/>
      <c r="R43" s="226">
        <v>0</v>
      </c>
      <c r="S43" s="86"/>
      <c r="T43" s="86"/>
      <c r="U43" s="86"/>
      <c r="V43" s="87"/>
      <c r="W43" s="107">
        <f t="shared" ref="W43:W45" si="3">_xlfn.IFNA(PRODUCT(R43:U43,(1+X43)),0)</f>
        <v>0</v>
      </c>
      <c r="X43" s="84">
        <v>0</v>
      </c>
      <c r="Y43" s="209"/>
      <c r="Z43" s="276"/>
      <c r="AA43" s="206"/>
      <c r="AB43" s="209"/>
      <c r="AD43" s="200"/>
      <c r="AE43" s="200"/>
      <c r="AF43" s="200"/>
      <c r="AG43" s="200"/>
      <c r="AH43" s="200"/>
      <c r="AI43" s="200"/>
      <c r="AJ43" s="210"/>
      <c r="AK43" s="200"/>
      <c r="AL43" s="206"/>
      <c r="AM43" s="211"/>
      <c r="AN43" s="206"/>
      <c r="AO43" s="211"/>
      <c r="AP43" s="211"/>
      <c r="AQ43" s="211"/>
      <c r="AR43" s="211"/>
      <c r="AS43" s="211"/>
      <c r="AT43" s="211"/>
      <c r="AU43" s="211"/>
      <c r="AV43" s="212"/>
      <c r="AW43" s="211"/>
      <c r="AX43" s="211"/>
      <c r="AY43" s="211"/>
      <c r="AZ43" s="211"/>
      <c r="BA43" s="211"/>
      <c r="BB43" s="211"/>
      <c r="BC43" s="211"/>
      <c r="BD43" s="212"/>
      <c r="BE43" s="212"/>
      <c r="BF43" s="212"/>
      <c r="BG43" s="211"/>
      <c r="BH43" s="211"/>
      <c r="BI43" s="211"/>
      <c r="BJ43" s="211"/>
      <c r="BK43" s="211"/>
      <c r="BL43" s="211"/>
      <c r="BM43" s="200"/>
      <c r="BN43" s="200"/>
      <c r="BO43" s="200"/>
      <c r="BP43" s="200"/>
      <c r="BQ43" s="200"/>
      <c r="BR43" s="200"/>
      <c r="BS43" s="200"/>
      <c r="BT43" s="200"/>
      <c r="BU43" s="200"/>
      <c r="BV43" s="200"/>
      <c r="BW43" s="200"/>
      <c r="BX43" s="200"/>
      <c r="BY43" s="200"/>
      <c r="BZ43" s="200"/>
      <c r="CA43" s="200"/>
      <c r="CB43" s="200"/>
      <c r="CC43" s="200"/>
      <c r="CD43" s="200"/>
      <c r="CE43" s="200"/>
      <c r="CF43" s="200"/>
      <c r="CG43" s="200"/>
      <c r="CH43" s="200"/>
    </row>
    <row r="44" spans="1:86" s="108" customFormat="1" x14ac:dyDescent="0.25">
      <c r="A44" s="207"/>
      <c r="B44" s="207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2"/>
      <c r="O44" s="209"/>
      <c r="P44" s="208"/>
      <c r="Q44" s="209"/>
      <c r="R44" s="226">
        <v>0</v>
      </c>
      <c r="S44" s="86"/>
      <c r="T44" s="86"/>
      <c r="U44" s="86"/>
      <c r="V44" s="87"/>
      <c r="W44" s="107">
        <f t="shared" si="3"/>
        <v>0</v>
      </c>
      <c r="X44" s="84">
        <v>0</v>
      </c>
      <c r="Y44" s="209"/>
      <c r="Z44" s="276"/>
      <c r="AA44" s="206"/>
      <c r="AB44" s="209"/>
      <c r="AD44" s="200"/>
      <c r="AE44" s="200"/>
      <c r="AF44" s="200"/>
      <c r="AG44" s="200"/>
      <c r="AH44" s="200"/>
      <c r="AI44" s="200"/>
      <c r="AJ44" s="210"/>
      <c r="AK44" s="200"/>
      <c r="AL44" s="206"/>
      <c r="AM44" s="211"/>
      <c r="AN44" s="206"/>
      <c r="AO44" s="211"/>
      <c r="AP44" s="211"/>
      <c r="AQ44" s="211"/>
      <c r="AR44" s="211"/>
      <c r="AS44" s="211"/>
      <c r="AT44" s="211"/>
      <c r="AU44" s="211"/>
      <c r="AV44" s="212"/>
      <c r="AW44" s="211"/>
      <c r="AX44" s="211"/>
      <c r="AY44" s="211"/>
      <c r="AZ44" s="211"/>
      <c r="BA44" s="211"/>
      <c r="BB44" s="211"/>
      <c r="BC44" s="211"/>
      <c r="BD44" s="212"/>
      <c r="BE44" s="212"/>
      <c r="BF44" s="212"/>
      <c r="BG44" s="211"/>
      <c r="BH44" s="211"/>
      <c r="BI44" s="211"/>
      <c r="BJ44" s="211"/>
      <c r="BK44" s="211"/>
      <c r="BL44" s="211"/>
      <c r="BM44" s="200"/>
      <c r="BN44" s="200"/>
      <c r="BO44" s="200"/>
      <c r="BP44" s="200"/>
      <c r="BQ44" s="200"/>
      <c r="BR44" s="200"/>
      <c r="BS44" s="200"/>
      <c r="BT44" s="200"/>
      <c r="BU44" s="200"/>
      <c r="BV44" s="200"/>
      <c r="BW44" s="200"/>
      <c r="BX44" s="200"/>
      <c r="BY44" s="200"/>
      <c r="BZ44" s="200"/>
      <c r="CA44" s="200"/>
      <c r="CB44" s="200"/>
      <c r="CC44" s="200"/>
      <c r="CD44" s="200"/>
      <c r="CE44" s="200"/>
      <c r="CF44" s="200"/>
      <c r="CG44" s="200"/>
      <c r="CH44" s="200"/>
    </row>
    <row r="45" spans="1:86" s="108" customFormat="1" x14ac:dyDescent="0.25">
      <c r="A45" s="207"/>
      <c r="B45" s="207"/>
      <c r="C45" s="207"/>
      <c r="D45" s="207"/>
      <c r="E45" s="207"/>
      <c r="F45" s="207"/>
      <c r="G45" s="207"/>
      <c r="H45" s="207"/>
      <c r="I45" s="207"/>
      <c r="J45" s="207"/>
      <c r="K45" s="207"/>
      <c r="L45" s="207"/>
      <c r="M45" s="207"/>
      <c r="N45" s="202"/>
      <c r="O45" s="209"/>
      <c r="P45" s="208"/>
      <c r="Q45" s="209"/>
      <c r="R45" s="226">
        <v>0</v>
      </c>
      <c r="S45" s="86"/>
      <c r="T45" s="86"/>
      <c r="U45" s="86"/>
      <c r="V45" s="87"/>
      <c r="W45" s="107">
        <f t="shared" si="3"/>
        <v>0</v>
      </c>
      <c r="X45" s="84">
        <v>0</v>
      </c>
      <c r="Y45" s="209"/>
      <c r="Z45" s="276"/>
      <c r="AA45" s="206"/>
      <c r="AB45" s="209"/>
      <c r="AD45" s="6"/>
      <c r="AE45" s="6"/>
      <c r="AF45" s="6"/>
      <c r="AG45" s="6"/>
      <c r="AH45" s="6"/>
      <c r="AI45"/>
      <c r="AJ45" s="210"/>
      <c r="AK45" s="200"/>
      <c r="AL45" s="206"/>
      <c r="AM45" s="211"/>
      <c r="AN45" s="206"/>
      <c r="AO45" s="211"/>
      <c r="AP45" s="211"/>
      <c r="AQ45" s="211"/>
      <c r="AR45" s="211"/>
      <c r="AS45" s="211"/>
      <c r="AT45" s="211"/>
      <c r="AU45" s="211"/>
      <c r="AV45" s="212"/>
      <c r="AW45" s="211"/>
      <c r="AX45" s="211"/>
      <c r="AY45" s="211"/>
      <c r="AZ45" s="211"/>
      <c r="BA45" s="211"/>
      <c r="BB45" s="211"/>
      <c r="BC45" s="211"/>
      <c r="BD45" s="212"/>
      <c r="BE45" s="212"/>
      <c r="BF45" s="212"/>
      <c r="BG45" s="211"/>
      <c r="BH45" s="211"/>
      <c r="BI45" s="211"/>
      <c r="BJ45" s="200"/>
      <c r="BK45" s="200"/>
      <c r="BL45" s="200"/>
      <c r="BM45" s="200"/>
      <c r="BN45" s="200"/>
      <c r="BO45" s="200"/>
      <c r="BP45" s="200"/>
      <c r="BQ45" s="200"/>
      <c r="BR45" s="200"/>
      <c r="BS45" s="200"/>
      <c r="BT45" s="200"/>
      <c r="BU45" s="200"/>
      <c r="BV45" s="200"/>
      <c r="BW45" s="200"/>
      <c r="BX45" s="200"/>
      <c r="BY45" s="200"/>
      <c r="BZ45" s="200"/>
      <c r="CA45" s="200"/>
      <c r="CB45" s="200"/>
      <c r="CC45" s="200"/>
      <c r="CD45" s="200"/>
      <c r="CE45" s="200"/>
      <c r="CF45" s="200"/>
      <c r="CG45" s="200"/>
      <c r="CH45" s="200"/>
    </row>
    <row r="46" spans="1:86" s="108" customFormat="1" x14ac:dyDescent="0.25">
      <c r="A46" s="207"/>
      <c r="B46" s="207"/>
      <c r="C46" s="207"/>
      <c r="D46" s="207"/>
      <c r="E46" s="207"/>
      <c r="F46" s="207"/>
      <c r="G46" s="207"/>
      <c r="H46" s="207"/>
      <c r="I46" s="207"/>
      <c r="J46" s="207"/>
      <c r="K46" s="207"/>
      <c r="L46" s="207"/>
      <c r="M46" s="207"/>
      <c r="N46" s="202"/>
      <c r="O46" s="209"/>
      <c r="P46" s="208"/>
      <c r="Q46" s="209"/>
      <c r="R46" s="109"/>
      <c r="S46" s="109"/>
      <c r="T46" s="109"/>
      <c r="U46" s="109"/>
      <c r="V46" s="109"/>
      <c r="W46" s="109"/>
      <c r="X46" s="109"/>
      <c r="Y46" s="209"/>
      <c r="Z46" s="276"/>
      <c r="AA46" s="206"/>
      <c r="AB46" s="209"/>
      <c r="AD46" s="6"/>
      <c r="AE46" s="6"/>
      <c r="AF46" s="6"/>
      <c r="AG46" s="6"/>
      <c r="AH46" s="6"/>
      <c r="AI46"/>
      <c r="AJ46" s="210"/>
      <c r="AK46" s="200"/>
      <c r="AL46" s="206"/>
      <c r="AM46" s="211"/>
      <c r="AN46" s="206"/>
      <c r="AO46" s="211"/>
      <c r="AP46" s="211"/>
      <c r="AQ46" s="211"/>
      <c r="AR46" s="211"/>
      <c r="AS46" s="211"/>
      <c r="AT46" s="211"/>
      <c r="AU46" s="211"/>
      <c r="AV46" s="212"/>
      <c r="AW46" s="211"/>
      <c r="AX46" s="211"/>
      <c r="AY46" s="211"/>
      <c r="AZ46" s="211"/>
      <c r="BA46" s="211"/>
      <c r="BB46" s="211"/>
      <c r="BC46" s="211"/>
      <c r="BD46" s="212"/>
      <c r="BE46" s="212"/>
      <c r="BF46" s="212"/>
      <c r="BG46" s="211"/>
      <c r="BH46" s="211"/>
      <c r="BI46" s="211"/>
      <c r="BJ46" s="200"/>
      <c r="BK46" s="200"/>
      <c r="BL46" s="200"/>
      <c r="BM46" s="200"/>
      <c r="BN46" s="200"/>
      <c r="BO46" s="200"/>
      <c r="BP46" s="200"/>
      <c r="BQ46" s="200"/>
      <c r="BR46" s="200"/>
      <c r="BS46" s="200"/>
      <c r="BT46" s="200"/>
      <c r="BU46" s="200"/>
      <c r="BV46" s="200"/>
      <c r="BW46" s="200"/>
      <c r="BX46" s="200"/>
      <c r="BY46" s="200"/>
      <c r="BZ46" s="200"/>
      <c r="CA46" s="200"/>
      <c r="CB46" s="200"/>
      <c r="CC46" s="200"/>
      <c r="CD46" s="200"/>
      <c r="CE46" s="200"/>
      <c r="CF46" s="200"/>
      <c r="CG46" s="200"/>
      <c r="CH46" s="200"/>
    </row>
    <row r="47" spans="1:86" ht="15.6" x14ac:dyDescent="0.3">
      <c r="A47" s="118"/>
      <c r="B47" s="118">
        <f>SUM(AI39:AI47)</f>
        <v>0</v>
      </c>
      <c r="C47" s="119">
        <f>SUM(AK39:AK47)</f>
        <v>0</v>
      </c>
      <c r="D47" s="118">
        <f>SUM(AK39:AK47)</f>
        <v>0</v>
      </c>
      <c r="E47" s="119">
        <f>SUM(AO39:AO47)</f>
        <v>0</v>
      </c>
      <c r="F47" s="119">
        <f>SUM(BE39:BE47, BG39:BG47,BC39:BC47)</f>
        <v>0</v>
      </c>
      <c r="G47" s="119"/>
      <c r="H47" s="119">
        <f>SUM(AQ39:AQ47)+SUM(AR39:AR47)</f>
        <v>0</v>
      </c>
      <c r="I47" s="119">
        <f>SUM(AT39:AT47)+SUM(AP39:AP47)</f>
        <v>0</v>
      </c>
      <c r="J47" s="119"/>
      <c r="K47" s="119">
        <f>SUM(AX39:AX47)+SUM(AZ39:AZ47)+SUM(BB39:BB47)+SUM(AV39:AV47)</f>
        <v>0</v>
      </c>
      <c r="M47" s="119"/>
      <c r="N47" s="94" t="s">
        <v>52</v>
      </c>
      <c r="P47" s="95" t="str">
        <f>"Subtotal of Costs for "&amp;P39</f>
        <v>Subtotal of Costs for Net Labour Costs</v>
      </c>
      <c r="R47" s="88"/>
      <c r="S47" s="88"/>
      <c r="T47" s="88"/>
      <c r="U47" s="88"/>
      <c r="V47" s="88"/>
      <c r="W47" s="88"/>
      <c r="X47" s="88"/>
      <c r="Y47" s="721">
        <f>SUM(AA39:AA47)</f>
        <v>0</v>
      </c>
      <c r="Z47" s="721"/>
      <c r="AA47" s="88"/>
      <c r="AJ47" s="92"/>
      <c r="AK47" s="92"/>
      <c r="AL47" s="92"/>
      <c r="AN47" s="92"/>
      <c r="AY47" s="42"/>
      <c r="AZ47" s="42"/>
    </row>
    <row r="48" spans="1:86" ht="15.6" x14ac:dyDescent="0.3">
      <c r="A48" s="118"/>
      <c r="B48" s="118"/>
      <c r="C48" s="119"/>
      <c r="D48" s="118"/>
      <c r="E48" s="119"/>
      <c r="F48" s="119"/>
      <c r="G48" s="119"/>
      <c r="H48" s="119"/>
      <c r="I48" s="119"/>
      <c r="J48" s="119"/>
      <c r="K48" s="119"/>
      <c r="M48" s="119"/>
      <c r="N48" s="94" t="s">
        <v>52</v>
      </c>
      <c r="P48" s="95"/>
      <c r="R48" s="88"/>
      <c r="S48" s="88"/>
      <c r="T48" s="88"/>
      <c r="U48" s="88"/>
      <c r="V48" s="88"/>
      <c r="W48" s="88"/>
      <c r="X48" s="88"/>
      <c r="Y48" s="192"/>
      <c r="Z48" s="192"/>
      <c r="AA48" s="88"/>
      <c r="AJ48" s="92"/>
      <c r="AK48" s="92"/>
      <c r="AL48" s="92"/>
      <c r="AN48" s="92"/>
      <c r="AY48" s="42"/>
      <c r="AZ48" s="42"/>
    </row>
    <row r="49" spans="1:64" ht="15.6" x14ac:dyDescent="0.3">
      <c r="A49" s="118"/>
      <c r="B49" s="118"/>
      <c r="C49" s="119"/>
      <c r="D49" s="118"/>
      <c r="E49" s="119"/>
      <c r="F49" s="119"/>
      <c r="G49" s="119"/>
      <c r="H49" s="119"/>
      <c r="I49" s="119"/>
      <c r="J49" s="119"/>
      <c r="K49" s="119"/>
      <c r="M49" s="119"/>
      <c r="N49" s="94" t="s">
        <v>52</v>
      </c>
      <c r="P49" s="95" t="s">
        <v>187</v>
      </c>
      <c r="R49" s="88"/>
      <c r="S49" s="88"/>
      <c r="T49" s="88"/>
      <c r="U49" s="88"/>
      <c r="V49" s="88"/>
      <c r="W49" s="88"/>
      <c r="X49" s="88"/>
      <c r="Y49" s="192"/>
      <c r="Z49" s="192">
        <f>-SUMIF(AA8:AA49, "&lt;0")</f>
        <v>0</v>
      </c>
      <c r="AA49" s="88"/>
      <c r="AC49" s="192">
        <f>-SUMIF(AE9:AI47, "&lt;0")</f>
        <v>0</v>
      </c>
      <c r="AJ49" s="92"/>
      <c r="AK49" s="92"/>
      <c r="AL49" s="92"/>
      <c r="AN49" s="92"/>
      <c r="AY49" s="42"/>
      <c r="AZ49" s="42"/>
    </row>
    <row r="50" spans="1:64" ht="16.2" thickBot="1" x14ac:dyDescent="0.35">
      <c r="A50" s="118"/>
      <c r="B50" s="118"/>
      <c r="C50" s="119"/>
      <c r="D50" s="118"/>
      <c r="E50" s="119"/>
      <c r="F50" s="119"/>
      <c r="G50" s="119"/>
      <c r="H50" s="119"/>
      <c r="I50" s="119"/>
      <c r="J50" s="119"/>
      <c r="K50" s="119"/>
      <c r="M50" s="119"/>
      <c r="N50" s="94" t="s">
        <v>52</v>
      </c>
      <c r="P50" s="95" t="s">
        <v>188</v>
      </c>
      <c r="R50" s="88"/>
      <c r="S50" s="88"/>
      <c r="T50" s="88"/>
      <c r="U50" s="88"/>
      <c r="V50" s="88"/>
      <c r="W50" s="88"/>
      <c r="X50" s="88"/>
      <c r="Y50" s="192"/>
      <c r="Z50" s="192">
        <f>SUMIF(AA8:AA49, "&gt;0")</f>
        <v>0</v>
      </c>
      <c r="AA50" s="230"/>
      <c r="AC50" s="192">
        <f>SUMIF(AE9:AI47, "&gt;0")</f>
        <v>0</v>
      </c>
      <c r="AJ50" s="92"/>
      <c r="AK50" s="92"/>
      <c r="AL50" s="92"/>
      <c r="AN50" s="92"/>
      <c r="AY50" s="42"/>
      <c r="AZ50" s="42"/>
    </row>
    <row r="51" spans="1:64" ht="16.2" thickBot="1" x14ac:dyDescent="0.35">
      <c r="A51" s="118"/>
      <c r="B51" s="118"/>
      <c r="C51" s="119"/>
      <c r="D51" s="118"/>
      <c r="E51" s="119"/>
      <c r="F51" s="119"/>
      <c r="G51" s="119"/>
      <c r="H51" s="119"/>
      <c r="I51" s="119"/>
      <c r="J51" s="119"/>
      <c r="K51" s="119"/>
      <c r="M51" s="119"/>
      <c r="N51" s="94" t="s">
        <v>52</v>
      </c>
      <c r="O51" s="245" t="s">
        <v>189</v>
      </c>
      <c r="P51" s="214" t="s">
        <v>190</v>
      </c>
      <c r="Q51" s="215"/>
      <c r="R51" s="227"/>
      <c r="S51" s="227"/>
      <c r="T51" s="227"/>
      <c r="U51" s="227"/>
      <c r="V51" s="227"/>
      <c r="W51" s="227"/>
      <c r="X51" s="227"/>
      <c r="Y51" s="216"/>
      <c r="Z51" s="244">
        <f>-Z49+Z50</f>
        <v>0</v>
      </c>
      <c r="AA51" s="215"/>
      <c r="AB51" s="215"/>
      <c r="AC51" s="244">
        <f>-AC49+AC50</f>
        <v>0</v>
      </c>
      <c r="AD51" s="431"/>
      <c r="AE51" s="431"/>
      <c r="AJ51" s="92"/>
      <c r="AK51" s="92"/>
      <c r="AL51" s="92"/>
      <c r="AN51" s="92"/>
      <c r="AY51" s="42"/>
      <c r="AZ51" s="42"/>
    </row>
    <row r="52" spans="1:64" ht="16.2" thickBot="1" x14ac:dyDescent="0.35">
      <c r="A52" s="118"/>
      <c r="B52" s="118"/>
      <c r="C52" s="119"/>
      <c r="D52" s="118"/>
      <c r="E52" s="119"/>
      <c r="F52" s="119"/>
      <c r="G52" s="119"/>
      <c r="H52" s="119"/>
      <c r="I52" s="119"/>
      <c r="J52" s="119"/>
      <c r="K52" s="119"/>
      <c r="M52" s="119"/>
      <c r="N52" s="94" t="s">
        <v>52</v>
      </c>
      <c r="O52" s="241"/>
      <c r="P52" s="240"/>
      <c r="Q52" s="241"/>
      <c r="R52" s="242"/>
      <c r="S52" s="242"/>
      <c r="T52" s="242"/>
      <c r="U52" s="242"/>
      <c r="V52" s="242"/>
      <c r="W52" s="242"/>
      <c r="X52" s="242"/>
      <c r="Y52" s="243"/>
      <c r="Z52" s="253"/>
      <c r="AA52" s="215"/>
      <c r="AB52" s="241"/>
      <c r="AC52" s="6"/>
      <c r="AJ52" s="92"/>
      <c r="AK52" s="92"/>
      <c r="AL52" s="92"/>
      <c r="AN52" s="92"/>
      <c r="AY52" s="42"/>
      <c r="AZ52" s="42"/>
    </row>
    <row r="53" spans="1:64" ht="15.6" x14ac:dyDescent="0.3">
      <c r="C53" s="91"/>
      <c r="E53" s="91"/>
      <c r="F53" s="91"/>
      <c r="G53" s="91"/>
      <c r="H53" s="91"/>
      <c r="I53" s="91"/>
      <c r="J53" s="91"/>
      <c r="K53" s="91"/>
      <c r="L53" s="91"/>
      <c r="M53" s="91"/>
      <c r="N53" s="94" t="s">
        <v>52</v>
      </c>
      <c r="O53" s="222" t="s">
        <v>175</v>
      </c>
      <c r="P53" s="217" t="s">
        <v>173</v>
      </c>
      <c r="Q53" s="218">
        <f>SUMRY!O1</f>
        <v>0.05</v>
      </c>
      <c r="R53" s="228"/>
      <c r="S53" s="229"/>
      <c r="T53" s="229"/>
      <c r="U53" s="229"/>
      <c r="V53" s="229"/>
      <c r="W53" s="229"/>
      <c r="X53" s="229"/>
      <c r="Y53" s="241"/>
      <c r="Z53" s="264">
        <f>IF(Z51&lt;=0,0,(+Z51*Q53))</f>
        <v>0</v>
      </c>
      <c r="AB53" s="241"/>
      <c r="AC53" s="264">
        <f>IF(AC51&lt;=0,0,(+AC51*Q53))</f>
        <v>0</v>
      </c>
      <c r="AD53" s="431"/>
      <c r="AE53" s="431"/>
      <c r="AJ53" s="88"/>
      <c r="AK53" s="88"/>
      <c r="AL53" s="88"/>
      <c r="AM53" s="42"/>
      <c r="AN53" s="88"/>
      <c r="AO53" s="42"/>
      <c r="AP53" s="42"/>
      <c r="AQ53" s="42"/>
      <c r="AR53" s="42"/>
      <c r="AS53" s="42"/>
      <c r="AT53" s="42"/>
      <c r="AU53" s="42"/>
      <c r="AV53" s="89"/>
      <c r="AW53" s="42"/>
      <c r="AX53" s="42"/>
      <c r="AY53" s="42"/>
      <c r="AZ53" s="42"/>
      <c r="BA53" s="42"/>
      <c r="BB53" s="42"/>
      <c r="BC53" s="42"/>
      <c r="BD53" s="89"/>
      <c r="BE53" s="89"/>
      <c r="BF53" s="89"/>
      <c r="BG53" s="42"/>
      <c r="BH53" s="42"/>
      <c r="BI53" s="263">
        <f>Z53</f>
        <v>0</v>
      </c>
      <c r="BJ53" s="42"/>
      <c r="BK53" s="42"/>
      <c r="BL53" s="42"/>
    </row>
    <row r="54" spans="1:64" ht="16.2" thickBot="1" x14ac:dyDescent="0.35">
      <c r="A54" s="118"/>
      <c r="B54" s="118">
        <f>SUM(AI53:AI54)</f>
        <v>0</v>
      </c>
      <c r="C54" s="119">
        <f>SUM(AK53:AK54)</f>
        <v>0</v>
      </c>
      <c r="D54" s="118">
        <f>SUM(AK53:AK54)</f>
        <v>0</v>
      </c>
      <c r="E54" s="119">
        <f>SUM(AO53:AO54)</f>
        <v>0</v>
      </c>
      <c r="F54" s="119">
        <f>SUM(BE53:BE54, BG53:BG54,BC53:BC54)</f>
        <v>0</v>
      </c>
      <c r="G54" s="119"/>
      <c r="H54" s="119">
        <f>SUM(AQ53:AQ54)+SUM(AR53:AR54)</f>
        <v>0</v>
      </c>
      <c r="I54" s="119">
        <f>SUM(AT53:AT54)+SUM(AP53:AP54)</f>
        <v>0</v>
      </c>
      <c r="J54" s="119"/>
      <c r="K54" s="119">
        <f>SUM(AX53:AX54)+SUM(AZ53:AZ54)+SUM(BB53:BB54)+SUM(AV53:AV54)</f>
        <v>0</v>
      </c>
      <c r="M54" s="119"/>
      <c r="N54" s="94" t="s">
        <v>52</v>
      </c>
      <c r="O54" s="223"/>
      <c r="P54" s="220" t="str">
        <f>"Subtotal of Costs for "&amp;P53</f>
        <v>Subtotal of Costs for Nominated On-site overheads (9.3.9)</v>
      </c>
      <c r="Q54" s="221"/>
      <c r="R54" s="230"/>
      <c r="S54" s="230"/>
      <c r="T54" s="230"/>
      <c r="U54" s="230"/>
      <c r="V54" s="230"/>
      <c r="W54" s="230"/>
      <c r="X54" s="230"/>
      <c r="Y54" s="221"/>
      <c r="Z54" s="246">
        <f>Z51+Z53</f>
        <v>0</v>
      </c>
      <c r="AA54" s="221"/>
      <c r="AC54" s="246">
        <f>AC51+AC53</f>
        <v>0</v>
      </c>
      <c r="AD54" s="431"/>
      <c r="AE54" s="431"/>
      <c r="AJ54" s="92"/>
      <c r="AK54" s="92"/>
      <c r="AL54" s="92"/>
      <c r="AN54" s="92"/>
      <c r="AY54" s="42"/>
      <c r="AZ54" s="42"/>
    </row>
    <row r="55" spans="1:64" ht="16.2" thickBot="1" x14ac:dyDescent="0.35">
      <c r="A55" s="118"/>
      <c r="B55" s="118"/>
      <c r="C55" s="119"/>
      <c r="D55" s="118"/>
      <c r="E55" s="119"/>
      <c r="F55" s="119"/>
      <c r="G55" s="119"/>
      <c r="H55" s="119"/>
      <c r="I55" s="119"/>
      <c r="J55" s="119"/>
      <c r="K55" s="119"/>
      <c r="M55" s="119"/>
      <c r="N55" s="94" t="s">
        <v>52</v>
      </c>
      <c r="P55" s="95"/>
      <c r="R55" s="88"/>
      <c r="S55" s="88"/>
      <c r="T55" s="88"/>
      <c r="U55" s="88"/>
      <c r="V55" s="88"/>
      <c r="W55" s="88"/>
      <c r="X55" s="88"/>
      <c r="Y55" s="192"/>
      <c r="Z55" s="192"/>
      <c r="AA55" s="215"/>
      <c r="AB55" s="215"/>
      <c r="AC55" s="6"/>
      <c r="AJ55" s="92"/>
      <c r="AK55" s="92"/>
      <c r="AL55" s="92"/>
      <c r="AN55" s="92"/>
      <c r="AY55" s="42"/>
      <c r="AZ55" s="42"/>
    </row>
    <row r="56" spans="1:64" ht="15.6" x14ac:dyDescent="0.3">
      <c r="C56" s="91"/>
      <c r="E56" s="91"/>
      <c r="F56" s="91"/>
      <c r="G56" s="91"/>
      <c r="H56" s="91"/>
      <c r="I56" s="91"/>
      <c r="J56" s="91"/>
      <c r="K56" s="91"/>
      <c r="L56" s="91"/>
      <c r="M56" s="91"/>
      <c r="N56" s="94" t="s">
        <v>52</v>
      </c>
      <c r="O56" s="222" t="s">
        <v>176</v>
      </c>
      <c r="P56" s="217" t="s">
        <v>174</v>
      </c>
      <c r="Q56" s="218">
        <f>SUMRY!O2</f>
        <v>0.05</v>
      </c>
      <c r="R56" s="228"/>
      <c r="S56" s="229"/>
      <c r="T56" s="229"/>
      <c r="U56" s="229"/>
      <c r="V56" s="229"/>
      <c r="W56" s="229"/>
      <c r="X56" s="229"/>
      <c r="Y56" s="241"/>
      <c r="Z56" s="264">
        <f>IF(Z51&lt;=0,0,(+Z54*Q56))</f>
        <v>0</v>
      </c>
      <c r="AC56" s="264">
        <f>IF(AC51&lt;=0,0,(+AC54*Q56))</f>
        <v>0</v>
      </c>
      <c r="AD56" s="431"/>
      <c r="AE56" s="431"/>
      <c r="AJ56" s="88"/>
      <c r="AK56" s="88"/>
      <c r="AL56" s="88"/>
      <c r="AM56" s="42"/>
      <c r="AN56" s="88"/>
      <c r="AO56" s="42"/>
      <c r="AP56" s="42"/>
      <c r="AQ56" s="42"/>
      <c r="AR56" s="42"/>
      <c r="AS56" s="42"/>
      <c r="AT56" s="42"/>
      <c r="AU56" s="42"/>
      <c r="AV56" s="89"/>
      <c r="AW56" s="42"/>
      <c r="AX56" s="42"/>
      <c r="AY56" s="42"/>
      <c r="AZ56" s="42"/>
      <c r="BA56" s="42"/>
      <c r="BB56" s="42"/>
      <c r="BC56" s="42"/>
      <c r="BD56" s="89"/>
      <c r="BE56" s="89"/>
      <c r="BF56" s="89"/>
      <c r="BG56" s="42"/>
      <c r="BH56" s="42"/>
      <c r="BI56" s="263">
        <f>Z56</f>
        <v>0</v>
      </c>
      <c r="BJ56" s="42"/>
      <c r="BK56" s="42"/>
      <c r="BL56" s="42"/>
    </row>
    <row r="57" spans="1:64" ht="16.2" thickBot="1" x14ac:dyDescent="0.35">
      <c r="A57" s="118"/>
      <c r="B57" s="118">
        <f>SUM(AI56:AI57)</f>
        <v>0</v>
      </c>
      <c r="C57" s="119">
        <f>SUM(AK56:AK57)</f>
        <v>0</v>
      </c>
      <c r="D57" s="118">
        <f>SUM(AK56:AK57)</f>
        <v>0</v>
      </c>
      <c r="E57" s="119">
        <f>SUM(AO56:AO57)</f>
        <v>0</v>
      </c>
      <c r="F57" s="119">
        <f>SUM(BE56:BE57, BG56:BG57,BC56:BC57)</f>
        <v>0</v>
      </c>
      <c r="G57" s="119"/>
      <c r="H57" s="119">
        <f>SUM(AQ56:AQ57)+SUM(AR56:AR57)</f>
        <v>0</v>
      </c>
      <c r="I57" s="119">
        <f>SUM(AT56:AT57)+SUM(AP56:AP57)</f>
        <v>0</v>
      </c>
      <c r="J57" s="119"/>
      <c r="K57" s="119">
        <f>SUM(AX56:AX57)+SUM(AZ56:AZ57)+SUM(BB56:BB57)+SUM(AV56:AV57)</f>
        <v>0</v>
      </c>
      <c r="M57" s="119"/>
      <c r="N57" s="94" t="s">
        <v>52</v>
      </c>
      <c r="O57" s="223"/>
      <c r="P57" s="220" t="str">
        <f>"Subtotal of Costs for "&amp;P56</f>
        <v>Subtotal of Costs for Nominated Off-site overheads (9.3.10)</v>
      </c>
      <c r="Q57" s="221"/>
      <c r="R57" s="230"/>
      <c r="S57" s="230"/>
      <c r="T57" s="230"/>
      <c r="U57" s="230"/>
      <c r="V57" s="230"/>
      <c r="W57" s="230"/>
      <c r="X57" s="230"/>
      <c r="Y57" s="221"/>
      <c r="Z57" s="246">
        <f>Z54+Z56</f>
        <v>0</v>
      </c>
      <c r="AA57" s="221"/>
      <c r="AC57" s="445">
        <f>AC54+AC56</f>
        <v>0</v>
      </c>
      <c r="AJ57" s="92"/>
      <c r="AK57" s="92"/>
      <c r="AL57" s="92"/>
      <c r="AN57" s="92"/>
      <c r="AY57" s="42"/>
      <c r="AZ57" s="42"/>
    </row>
    <row r="58" spans="1:64" ht="16.2" thickBot="1" x14ac:dyDescent="0.35">
      <c r="A58" s="118"/>
      <c r="B58" s="118"/>
      <c r="C58" s="119"/>
      <c r="D58" s="118"/>
      <c r="E58" s="119"/>
      <c r="F58" s="119"/>
      <c r="G58" s="119"/>
      <c r="H58" s="119"/>
      <c r="I58" s="119"/>
      <c r="J58" s="119"/>
      <c r="K58" s="119"/>
      <c r="M58" s="119"/>
      <c r="N58" s="94" t="s">
        <v>52</v>
      </c>
      <c r="P58" s="95"/>
      <c r="R58" s="88"/>
      <c r="S58" s="88"/>
      <c r="T58" s="88"/>
      <c r="U58" s="88"/>
      <c r="V58" s="88"/>
      <c r="W58" s="88"/>
      <c r="X58" s="88"/>
      <c r="Y58" s="192"/>
      <c r="Z58" s="192"/>
      <c r="AA58" s="215"/>
      <c r="AB58" s="241"/>
      <c r="AC58" s="6"/>
      <c r="AJ58" s="92"/>
      <c r="AK58" s="92"/>
      <c r="AL58" s="92"/>
      <c r="AN58" s="92"/>
      <c r="AY58" s="42"/>
      <c r="AZ58" s="42"/>
    </row>
    <row r="59" spans="1:64" ht="16.2" thickBot="1" x14ac:dyDescent="0.35">
      <c r="A59" s="118"/>
      <c r="B59" s="118"/>
      <c r="C59" s="119"/>
      <c r="D59" s="118"/>
      <c r="E59" s="119"/>
      <c r="F59" s="119"/>
      <c r="G59" s="119"/>
      <c r="H59" s="119"/>
      <c r="I59" s="119"/>
      <c r="J59" s="119"/>
      <c r="K59" s="119"/>
      <c r="M59" s="119"/>
      <c r="N59" s="94" t="s">
        <v>52</v>
      </c>
      <c r="O59" s="245" t="s">
        <v>182</v>
      </c>
      <c r="P59" s="244" t="s">
        <v>183</v>
      </c>
      <c r="Q59" s="256">
        <f>O69</f>
        <v>0</v>
      </c>
      <c r="R59" s="215"/>
      <c r="S59" s="215"/>
      <c r="T59" s="215"/>
      <c r="U59" s="244"/>
      <c r="V59" s="227"/>
      <c r="W59" s="227"/>
      <c r="X59" s="227"/>
      <c r="Y59" s="244">
        <f>Q69</f>
        <v>0</v>
      </c>
      <c r="Z59" s="216">
        <f>Y59*Q59</f>
        <v>0</v>
      </c>
      <c r="AA59" s="215"/>
      <c r="AB59" s="241"/>
      <c r="AC59" s="444">
        <f>Z59</f>
        <v>0</v>
      </c>
      <c r="AJ59" s="92"/>
      <c r="AK59" s="92"/>
      <c r="AL59" s="92"/>
      <c r="AN59" s="92"/>
      <c r="AY59" s="42"/>
      <c r="AZ59" s="42"/>
      <c r="BI59" s="93"/>
    </row>
    <row r="60" spans="1:64" ht="15.6" x14ac:dyDescent="0.3">
      <c r="A60" s="118"/>
      <c r="B60" s="118"/>
      <c r="C60" s="119"/>
      <c r="D60" s="118"/>
      <c r="E60" s="119"/>
      <c r="F60" s="119"/>
      <c r="G60" s="119"/>
      <c r="H60" s="119"/>
      <c r="I60" s="119"/>
      <c r="J60" s="119"/>
      <c r="K60" s="119"/>
      <c r="M60" s="119"/>
      <c r="N60" s="94" t="s">
        <v>52</v>
      </c>
      <c r="O60" s="255" t="s">
        <v>184</v>
      </c>
      <c r="P60" s="92"/>
      <c r="Q60" s="252"/>
      <c r="U60" s="92"/>
      <c r="V60" s="88"/>
      <c r="W60" s="88"/>
      <c r="X60" s="88"/>
      <c r="Y60" s="88">
        <f>Z53+Z56</f>
        <v>0</v>
      </c>
      <c r="Z60" s="192"/>
      <c r="AA60" s="88"/>
      <c r="AB60" s="241"/>
      <c r="AC60" s="6"/>
      <c r="AJ60" s="92"/>
      <c r="AK60" s="92"/>
      <c r="AL60" s="92"/>
      <c r="AN60" s="92"/>
      <c r="AY60" s="42"/>
      <c r="AZ60" s="42"/>
    </row>
    <row r="61" spans="1:64" ht="15.6" x14ac:dyDescent="0.3">
      <c r="A61" s="118"/>
      <c r="B61" s="118"/>
      <c r="C61" s="119"/>
      <c r="D61" s="118"/>
      <c r="E61" s="119"/>
      <c r="F61" s="119"/>
      <c r="G61" s="119"/>
      <c r="H61" s="119"/>
      <c r="I61" s="119"/>
      <c r="J61" s="119"/>
      <c r="K61" s="119"/>
      <c r="M61" s="119"/>
      <c r="N61" s="94" t="s">
        <v>52</v>
      </c>
      <c r="O61" s="255" t="s">
        <v>185</v>
      </c>
      <c r="P61" s="92"/>
      <c r="Q61" s="252"/>
      <c r="U61" s="92"/>
      <c r="V61" s="88"/>
      <c r="W61" s="88"/>
      <c r="X61" s="88"/>
      <c r="Y61" s="88">
        <f>Z59-Y60</f>
        <v>0</v>
      </c>
      <c r="Z61" s="257">
        <f>IF(Y61&gt;0,Y61,0)</f>
        <v>0</v>
      </c>
      <c r="AA61" s="88"/>
      <c r="AC61" s="257">
        <f>IF(Y61&gt;0,Y61,0)</f>
        <v>0</v>
      </c>
      <c r="AJ61" s="92"/>
      <c r="AK61" s="92"/>
      <c r="AL61" s="92"/>
      <c r="AN61" s="92"/>
      <c r="AY61" s="42"/>
      <c r="AZ61" s="42"/>
      <c r="BH61" s="93">
        <f>Z61</f>
        <v>0</v>
      </c>
    </row>
    <row r="62" spans="1:64" ht="15.6" x14ac:dyDescent="0.3">
      <c r="A62" s="118"/>
      <c r="B62" s="118"/>
      <c r="C62" s="119"/>
      <c r="D62" s="118"/>
      <c r="E62" s="119"/>
      <c r="F62" s="119"/>
      <c r="G62" s="119"/>
      <c r="H62" s="119"/>
      <c r="I62" s="119"/>
      <c r="J62" s="119"/>
      <c r="K62" s="119"/>
      <c r="M62" s="119"/>
      <c r="N62" s="94" t="s">
        <v>52</v>
      </c>
      <c r="P62" s="254" t="s">
        <v>186</v>
      </c>
      <c r="Q62" s="252"/>
      <c r="U62" s="92"/>
      <c r="V62" s="88"/>
      <c r="W62" s="88"/>
      <c r="X62" s="88"/>
      <c r="Y62" s="92"/>
      <c r="Z62" s="192">
        <f>Z61+Z57</f>
        <v>0</v>
      </c>
      <c r="AA62" s="88"/>
      <c r="AC62" s="192">
        <f>AC61+AC57</f>
        <v>0</v>
      </c>
      <c r="AJ62" s="92"/>
      <c r="AK62" s="92"/>
      <c r="AL62" s="92"/>
      <c r="AN62" s="92"/>
      <c r="AY62" s="42"/>
      <c r="AZ62" s="42"/>
    </row>
    <row r="63" spans="1:64" ht="15.6" x14ac:dyDescent="0.3">
      <c r="A63" s="118"/>
      <c r="B63" s="118"/>
      <c r="C63" s="119"/>
      <c r="D63" s="118"/>
      <c r="E63" s="119"/>
      <c r="F63" s="119"/>
      <c r="G63" s="119"/>
      <c r="H63" s="119"/>
      <c r="I63" s="119"/>
      <c r="J63" s="119"/>
      <c r="K63" s="119"/>
      <c r="M63" s="119"/>
      <c r="N63" s="94" t="s">
        <v>52</v>
      </c>
      <c r="O63" s="255" t="s">
        <v>192</v>
      </c>
      <c r="P63" s="92"/>
      <c r="Q63" s="252"/>
      <c r="U63" s="92"/>
      <c r="V63" s="88"/>
      <c r="W63" s="88"/>
      <c r="X63" s="88"/>
      <c r="Y63" s="92"/>
      <c r="Z63" s="192"/>
      <c r="AA63" s="88"/>
      <c r="AC63" s="6"/>
      <c r="AJ63" s="92"/>
      <c r="AK63" s="92"/>
      <c r="AL63" s="92"/>
      <c r="AN63" s="92"/>
      <c r="AY63" s="42"/>
      <c r="AZ63" s="42"/>
    </row>
    <row r="64" spans="1:64" ht="16.2" thickBot="1" x14ac:dyDescent="0.35">
      <c r="A64" s="118"/>
      <c r="B64" s="118"/>
      <c r="C64" s="119"/>
      <c r="D64" s="118"/>
      <c r="E64" s="119"/>
      <c r="F64" s="119"/>
      <c r="G64" s="119"/>
      <c r="H64" s="119"/>
      <c r="I64" s="119"/>
      <c r="J64" s="119"/>
      <c r="K64" s="119"/>
      <c r="M64" s="119"/>
      <c r="N64" s="94" t="s">
        <v>52</v>
      </c>
      <c r="P64" t="s">
        <v>191</v>
      </c>
      <c r="R64" s="88"/>
      <c r="S64" s="88"/>
      <c r="T64" s="88"/>
      <c r="U64" s="88"/>
      <c r="V64" s="88"/>
      <c r="W64" s="88"/>
      <c r="X64" s="88"/>
      <c r="Y64" s="192">
        <f>(Z49+Z50)</f>
        <v>0</v>
      </c>
      <c r="Z64" s="192"/>
      <c r="AA64" s="230"/>
      <c r="AB64" s="221"/>
      <c r="AC64" s="6"/>
      <c r="AJ64" s="92"/>
      <c r="AK64" s="92"/>
      <c r="AL64" s="92"/>
      <c r="AN64" s="92"/>
      <c r="AY64" s="42"/>
      <c r="AZ64" s="42"/>
    </row>
    <row r="65" spans="1:68" ht="15.6" x14ac:dyDescent="0.3">
      <c r="C65" s="91"/>
      <c r="E65" s="91"/>
      <c r="F65" s="91"/>
      <c r="G65" s="91"/>
      <c r="H65" s="91"/>
      <c r="I65" s="91"/>
      <c r="J65" s="91"/>
      <c r="K65" s="91"/>
      <c r="L65" s="91"/>
      <c r="M65" s="91"/>
      <c r="N65" s="94" t="s">
        <v>52</v>
      </c>
      <c r="O65" s="222" t="s">
        <v>178</v>
      </c>
      <c r="P65" s="217" t="s">
        <v>171</v>
      </c>
      <c r="Q65" s="218">
        <f>SUMRY!O4</f>
        <v>0.03</v>
      </c>
      <c r="R65" s="228"/>
      <c r="S65" s="229"/>
      <c r="T65" s="229"/>
      <c r="U65" s="229"/>
      <c r="V65" s="229"/>
      <c r="W65" s="229"/>
      <c r="X65" s="229"/>
      <c r="Y65" s="219"/>
      <c r="Z65" s="265"/>
      <c r="AC65" s="218"/>
      <c r="AD65" s="431"/>
      <c r="AE65" s="431"/>
      <c r="AJ65" s="88"/>
      <c r="AK65" s="88"/>
      <c r="AL65" s="88"/>
      <c r="AM65" s="42"/>
      <c r="AN65" s="88"/>
      <c r="AO65" s="42"/>
      <c r="AP65" s="42"/>
      <c r="AQ65" s="42"/>
      <c r="AR65" s="42"/>
      <c r="AS65" s="42"/>
      <c r="AT65" s="42"/>
      <c r="AU65" s="42"/>
      <c r="AV65" s="89"/>
      <c r="AW65" s="42"/>
      <c r="AX65" s="42"/>
      <c r="AY65" s="42"/>
      <c r="AZ65" s="42"/>
      <c r="BA65" s="42"/>
      <c r="BB65" s="42"/>
      <c r="BC65" s="42"/>
      <c r="BD65" s="89"/>
      <c r="BE65" s="89"/>
      <c r="BF65" s="89"/>
      <c r="BG65" s="42"/>
      <c r="BH65" s="42"/>
      <c r="BI65" s="42"/>
      <c r="BJ65" s="42"/>
      <c r="BK65" s="42"/>
      <c r="BL65" s="42"/>
    </row>
    <row r="66" spans="1:68" ht="16.2" thickBot="1" x14ac:dyDescent="0.35">
      <c r="A66" s="118"/>
      <c r="B66" s="118">
        <f>SUM(AI65:AI66)</f>
        <v>0</v>
      </c>
      <c r="C66" s="119">
        <f>SUM(AK65:AK66)</f>
        <v>0</v>
      </c>
      <c r="D66" s="118">
        <f>SUM(AK65:AK66)</f>
        <v>0</v>
      </c>
      <c r="E66" s="119">
        <f>SUM(AO65:AO66)</f>
        <v>0</v>
      </c>
      <c r="F66" s="119">
        <f>SUM(BE65:BE66, BG65:BG66,BC65:BC66)</f>
        <v>0</v>
      </c>
      <c r="G66" s="119"/>
      <c r="H66" s="119">
        <f>SUM(AQ65:AQ66)+SUM(AR65:AR66)</f>
        <v>0</v>
      </c>
      <c r="I66" s="119">
        <f>SUM(AT65:AT66)+SUM(AP65:AP66)</f>
        <v>0</v>
      </c>
      <c r="J66" s="119"/>
      <c r="K66" s="119">
        <f>SUM(AX65:AX66)+SUM(AZ65:AZ66)+SUM(BB65:BB66)+SUM(AV65:AV66)</f>
        <v>0</v>
      </c>
      <c r="M66" s="119"/>
      <c r="N66" s="94" t="s">
        <v>52</v>
      </c>
      <c r="O66" s="223"/>
      <c r="P66" s="220" t="str">
        <f>"Subtotal of Costs for "&amp;P65</f>
        <v>Subtotal of Costs for Time Spent Processing Cost (9.3.14)</v>
      </c>
      <c r="Q66" s="221"/>
      <c r="R66" s="230"/>
      <c r="S66" s="230"/>
      <c r="T66" s="230"/>
      <c r="U66" s="230"/>
      <c r="V66" s="230"/>
      <c r="W66" s="230"/>
      <c r="X66" s="230"/>
      <c r="Y66" s="221"/>
      <c r="Z66" s="258">
        <f>IF(Y64*Q65&lt;25,25,Y64*Q65)</f>
        <v>25</v>
      </c>
      <c r="AA66" s="221"/>
      <c r="AC66" s="438">
        <f>IF(Y64*Q65&lt;25,25,Y64*Q65)</f>
        <v>25</v>
      </c>
      <c r="AD66" s="431"/>
      <c r="AE66" s="431"/>
      <c r="AJ66" s="92"/>
      <c r="AK66" s="92"/>
      <c r="AL66" s="92"/>
      <c r="AN66" s="92"/>
      <c r="AY66" s="42"/>
      <c r="AZ66" s="42"/>
      <c r="BI66" s="93">
        <f>Z66</f>
        <v>25</v>
      </c>
    </row>
    <row r="67" spans="1:68" ht="16.2" thickBot="1" x14ac:dyDescent="0.35">
      <c r="A67" s="118"/>
      <c r="B67" s="118"/>
      <c r="C67" s="119"/>
      <c r="D67" s="118"/>
      <c r="E67" s="119"/>
      <c r="F67" s="119"/>
      <c r="G67" s="119"/>
      <c r="H67" s="119"/>
      <c r="I67" s="119"/>
      <c r="J67" s="119"/>
      <c r="K67" s="119"/>
      <c r="M67" s="119"/>
      <c r="N67" s="94"/>
      <c r="P67" s="95"/>
      <c r="R67" s="88"/>
      <c r="S67" s="88"/>
      <c r="T67" s="88"/>
      <c r="U67" s="88"/>
      <c r="V67" s="88"/>
      <c r="W67" s="88"/>
      <c r="X67" s="88"/>
      <c r="Y67" s="192"/>
      <c r="Z67" s="192"/>
      <c r="AA67" s="88"/>
      <c r="AB67" s="241"/>
      <c r="AC67" s="6"/>
      <c r="AJ67" s="92"/>
      <c r="AK67" s="92"/>
      <c r="AL67" s="92"/>
      <c r="AN67" s="92"/>
      <c r="AY67" s="42"/>
      <c r="AZ67" s="42"/>
    </row>
    <row r="68" spans="1:68" ht="15.6" x14ac:dyDescent="0.3">
      <c r="A68" s="118"/>
      <c r="B68" s="118"/>
      <c r="C68" s="119"/>
      <c r="D68" s="118"/>
      <c r="E68" s="119"/>
      <c r="F68" s="119"/>
      <c r="G68" s="119"/>
      <c r="H68" s="119"/>
      <c r="I68" s="119"/>
      <c r="J68" s="119"/>
      <c r="K68" s="119"/>
      <c r="M68" s="119"/>
      <c r="N68" s="94"/>
      <c r="O68" s="249" t="s">
        <v>177</v>
      </c>
      <c r="P68" s="250" t="s">
        <v>179</v>
      </c>
      <c r="Q68" s="241"/>
      <c r="R68" s="242"/>
      <c r="S68" s="242"/>
      <c r="T68" s="242"/>
      <c r="U68" s="242"/>
      <c r="V68" s="242"/>
      <c r="W68" s="242"/>
      <c r="X68" s="242"/>
      <c r="Y68" s="243"/>
      <c r="Z68" s="248"/>
      <c r="AA68" s="88"/>
      <c r="AC68" s="6"/>
      <c r="AJ68" s="92"/>
      <c r="AK68" s="92"/>
      <c r="AL68" s="92"/>
      <c r="AN68" s="92"/>
      <c r="AY68" s="42"/>
      <c r="AZ68" s="42"/>
    </row>
    <row r="69" spans="1:68" ht="16.2" thickBot="1" x14ac:dyDescent="0.35">
      <c r="A69" s="118"/>
      <c r="B69" s="118"/>
      <c r="C69" s="119"/>
      <c r="D69" s="118"/>
      <c r="E69" s="119"/>
      <c r="F69" s="119"/>
      <c r="G69" s="119"/>
      <c r="H69" s="119"/>
      <c r="I69" s="119"/>
      <c r="J69" s="119"/>
      <c r="K69" s="119"/>
      <c r="M69" s="119"/>
      <c r="N69" s="94"/>
      <c r="O69" s="251">
        <v>0</v>
      </c>
      <c r="P69" s="246" t="s">
        <v>180</v>
      </c>
      <c r="Q69" s="247">
        <v>0</v>
      </c>
      <c r="R69" s="221"/>
      <c r="S69" s="221"/>
      <c r="T69" s="221"/>
      <c r="U69" s="246"/>
      <c r="V69" s="230"/>
      <c r="W69" s="230"/>
      <c r="X69" s="230"/>
      <c r="Y69" s="246" t="s">
        <v>181</v>
      </c>
      <c r="Z69" s="232"/>
      <c r="AA69" s="88"/>
      <c r="AC69" s="6"/>
      <c r="AJ69" s="92"/>
      <c r="AK69" s="92"/>
      <c r="AL69" s="92"/>
      <c r="AN69" s="92"/>
      <c r="AY69" s="42"/>
      <c r="AZ69" s="42"/>
    </row>
    <row r="70" spans="1:68" ht="15.6" x14ac:dyDescent="0.3">
      <c r="A70" s="118"/>
      <c r="B70" s="118"/>
      <c r="C70" s="119"/>
      <c r="D70" s="118"/>
      <c r="E70" s="119"/>
      <c r="F70" s="119"/>
      <c r="G70" s="119"/>
      <c r="H70" s="119"/>
      <c r="I70" s="119"/>
      <c r="J70" s="119"/>
      <c r="K70" s="119"/>
      <c r="M70" s="119"/>
      <c r="N70" s="94"/>
      <c r="P70" s="95"/>
      <c r="R70" s="88"/>
      <c r="S70" s="88"/>
      <c r="T70" s="88"/>
      <c r="U70" s="88"/>
      <c r="V70" s="88"/>
      <c r="W70" s="88"/>
      <c r="X70" s="88"/>
      <c r="Y70" s="192"/>
      <c r="Z70" s="192"/>
      <c r="AA70" s="88"/>
      <c r="AC70" s="6"/>
      <c r="AJ70" s="92"/>
      <c r="AK70" s="92"/>
      <c r="AL70" s="92"/>
      <c r="AN70" s="92"/>
      <c r="AY70" s="42"/>
      <c r="AZ70" s="42"/>
    </row>
    <row r="71" spans="1:68" ht="15.6" x14ac:dyDescent="0.3">
      <c r="A71" s="118"/>
      <c r="B71" s="118"/>
      <c r="C71" s="119"/>
      <c r="D71" s="118"/>
      <c r="E71" s="119"/>
      <c r="F71" s="119"/>
      <c r="G71" s="119"/>
      <c r="H71" s="119"/>
      <c r="I71" s="119"/>
      <c r="J71" s="119"/>
      <c r="K71" s="119"/>
      <c r="M71" s="119"/>
      <c r="N71" s="94"/>
      <c r="P71" s="95"/>
      <c r="R71" s="88"/>
      <c r="S71" s="88"/>
      <c r="T71" s="88"/>
      <c r="U71" s="88"/>
      <c r="V71" s="88"/>
      <c r="W71" s="88"/>
      <c r="X71" s="88"/>
      <c r="Y71" s="192"/>
      <c r="Z71" s="192"/>
      <c r="AA71" s="88"/>
      <c r="AC71" s="6"/>
      <c r="AJ71" s="92"/>
      <c r="AK71" s="92"/>
      <c r="AL71" s="92"/>
      <c r="AN71" s="92"/>
      <c r="AY71" s="42"/>
      <c r="AZ71" s="42"/>
    </row>
    <row r="72" spans="1:68" ht="16.2" thickBot="1" x14ac:dyDescent="0.35">
      <c r="C72" s="91"/>
      <c r="E72" s="91"/>
      <c r="F72" s="91"/>
      <c r="G72" s="91"/>
      <c r="H72" s="91"/>
      <c r="I72" s="91"/>
      <c r="J72" s="91"/>
      <c r="K72" s="91"/>
      <c r="L72" s="91"/>
      <c r="M72" s="91"/>
      <c r="P72" s="96" t="s">
        <v>39</v>
      </c>
      <c r="R72" s="88"/>
      <c r="S72" s="88"/>
      <c r="T72" s="88"/>
      <c r="U72" s="88"/>
      <c r="V72" s="88"/>
      <c r="W72" s="88"/>
      <c r="X72" s="88"/>
      <c r="Y72" s="88"/>
      <c r="Z72" s="88"/>
      <c r="AA72" s="88"/>
      <c r="AC72" s="434"/>
      <c r="AL72" s="88"/>
      <c r="AN72" s="88"/>
      <c r="BJ72" s="171"/>
      <c r="BK72" s="171"/>
      <c r="BL72" s="171"/>
      <c r="BM72" s="171"/>
      <c r="BN72" s="171"/>
      <c r="BO72" s="171"/>
      <c r="BP72" s="171"/>
    </row>
    <row r="73" spans="1:68" ht="15.6" thickTop="1" x14ac:dyDescent="0.25">
      <c r="A73" s="19"/>
      <c r="B73" s="698"/>
      <c r="C73" s="693"/>
      <c r="D73" s="72"/>
      <c r="E73" s="52"/>
      <c r="F73" s="53"/>
      <c r="G73" s="53"/>
      <c r="H73" s="74"/>
      <c r="I73" s="54"/>
      <c r="J73" s="54"/>
      <c r="K73" s="75"/>
      <c r="L73" s="55"/>
      <c r="M73" s="55"/>
      <c r="N73" s="235" t="s">
        <v>52</v>
      </c>
      <c r="O73" s="12"/>
      <c r="P73" s="12"/>
      <c r="Q73" s="12"/>
      <c r="R73" s="39"/>
      <c r="S73" s="39"/>
      <c r="T73" s="39"/>
      <c r="U73" s="39"/>
      <c r="V73" s="39"/>
      <c r="W73" s="39"/>
      <c r="X73" s="39"/>
      <c r="Y73" s="12"/>
      <c r="Z73" s="12"/>
      <c r="AA73" s="12"/>
      <c r="AB73" s="446"/>
      <c r="AC73" s="435"/>
      <c r="AD73" s="689"/>
      <c r="AE73" s="39"/>
      <c r="AF73" s="195"/>
      <c r="AG73" s="196"/>
      <c r="AH73" s="197"/>
      <c r="AI73" s="67"/>
      <c r="AJ73" s="67"/>
      <c r="AK73" s="67"/>
      <c r="AL73" s="689"/>
      <c r="AM73" s="695"/>
      <c r="AN73" s="39"/>
      <c r="AO73" s="57"/>
      <c r="AP73" s="46"/>
      <c r="AQ73" s="46"/>
      <c r="AR73" s="46"/>
      <c r="AS73" s="46"/>
      <c r="AT73" s="46"/>
      <c r="AU73" s="46"/>
      <c r="AV73" s="49"/>
      <c r="AW73" s="49"/>
      <c r="AX73" s="49"/>
      <c r="AY73" s="49"/>
      <c r="AZ73" s="49"/>
      <c r="BA73" s="63"/>
      <c r="BB73" s="63"/>
      <c r="BC73" s="29"/>
      <c r="BD73" s="29"/>
      <c r="BE73" s="29"/>
      <c r="BF73" s="63"/>
      <c r="BG73" s="63"/>
      <c r="BH73" s="259"/>
      <c r="BI73" s="259"/>
      <c r="BJ73" s="231"/>
      <c r="BK73" s="231"/>
      <c r="BL73" s="231"/>
      <c r="BM73" s="231"/>
      <c r="BN73" s="231"/>
      <c r="BO73" s="267"/>
      <c r="BP73" s="231"/>
    </row>
    <row r="74" spans="1:68" ht="15.6" x14ac:dyDescent="0.3">
      <c r="A74" s="21">
        <f>Z56+Z53</f>
        <v>0</v>
      </c>
      <c r="B74" s="688">
        <f>+AI74</f>
        <v>0</v>
      </c>
      <c r="C74" s="688">
        <f>+AK74</f>
        <v>0</v>
      </c>
      <c r="D74" s="79">
        <f>+AK74</f>
        <v>0</v>
      </c>
      <c r="E74" s="76">
        <f>+AO74</f>
        <v>0</v>
      </c>
      <c r="F74" s="78">
        <f>+BE74+BG74+BC74</f>
        <v>0</v>
      </c>
      <c r="G74" s="78"/>
      <c r="H74" s="81">
        <f>+AQ74+AR74</f>
        <v>0</v>
      </c>
      <c r="I74" s="77">
        <f>+AT74+AP74</f>
        <v>0</v>
      </c>
      <c r="J74" s="77"/>
      <c r="K74" s="82">
        <f>+AX74+AZ74+BB74+AV74</f>
        <v>0</v>
      </c>
      <c r="L74" s="41"/>
      <c r="M74" s="33"/>
      <c r="N74" s="236" t="s">
        <v>52</v>
      </c>
      <c r="O74" s="7" t="s">
        <v>100</v>
      </c>
      <c r="Q74" s="5"/>
      <c r="R74" s="35"/>
      <c r="S74" s="35"/>
      <c r="T74" s="35"/>
      <c r="U74" s="35"/>
      <c r="V74" s="35"/>
      <c r="W74" s="35"/>
      <c r="X74" s="35"/>
      <c r="Y74" s="5"/>
      <c r="Z74" s="277">
        <f>SUM(Z62:Z66)</f>
        <v>25</v>
      </c>
      <c r="AC74" s="118">
        <f>SUM(AC62:AC66)</f>
        <v>25</v>
      </c>
      <c r="AD74" s="688">
        <f t="shared" ref="AD74:AI74" si="4">SUM(AD8:AD73)</f>
        <v>0</v>
      </c>
      <c r="AE74" s="76">
        <f t="shared" si="4"/>
        <v>0</v>
      </c>
      <c r="AF74" s="77">
        <f t="shared" si="4"/>
        <v>0</v>
      </c>
      <c r="AG74" s="71">
        <f t="shared" si="4"/>
        <v>0</v>
      </c>
      <c r="AH74" s="78">
        <f t="shared" si="4"/>
        <v>0</v>
      </c>
      <c r="AI74" s="79">
        <f t="shared" si="4"/>
        <v>0</v>
      </c>
      <c r="AJ74" s="170"/>
      <c r="AK74" s="79">
        <f>SUM(AK8:AK73)</f>
        <v>0</v>
      </c>
      <c r="AL74" s="696"/>
      <c r="AM74" s="688">
        <f>SUM(AM8:AM73)</f>
        <v>0</v>
      </c>
      <c r="AN74" s="80"/>
      <c r="AO74" s="76">
        <f>SUM(AO8:AO73)</f>
        <v>0</v>
      </c>
      <c r="AP74" s="77">
        <f>SUM(AP8:AP73)</f>
        <v>0</v>
      </c>
      <c r="AQ74" s="77">
        <f>SUM(AQ8:AQ73)</f>
        <v>0</v>
      </c>
      <c r="AR74" s="77">
        <f>SUM(AR8:AR73)</f>
        <v>0</v>
      </c>
      <c r="AS74" s="77"/>
      <c r="AT74" s="77">
        <f>SUM(AT8:AT73)</f>
        <v>0</v>
      </c>
      <c r="AU74" s="77"/>
      <c r="AV74" s="71">
        <f>SUM(AV8:AV73)</f>
        <v>0</v>
      </c>
      <c r="AW74" s="71" t="s">
        <v>279</v>
      </c>
      <c r="AX74" s="71">
        <f>SUM(AX8:AX73)</f>
        <v>0</v>
      </c>
      <c r="AY74" s="71"/>
      <c r="AZ74" s="71">
        <f>SUM(AZ8:AZ73)</f>
        <v>0</v>
      </c>
      <c r="BA74" s="79"/>
      <c r="BB74" s="79">
        <f>SUM(BB8:BB73)</f>
        <v>0</v>
      </c>
      <c r="BC74" s="78">
        <f>SUM(BC8:BC73)</f>
        <v>0</v>
      </c>
      <c r="BD74" s="78"/>
      <c r="BE74" s="78">
        <f>SUM(BE8:BE73)</f>
        <v>0</v>
      </c>
      <c r="BF74" s="79"/>
      <c r="BG74" s="79">
        <f>SUM(BG8:BG73)</f>
        <v>0</v>
      </c>
      <c r="BH74" s="260">
        <f>SUM(BH8:BH73)</f>
        <v>0</v>
      </c>
      <c r="BI74" s="260">
        <f>SUM(BI8:BI73)</f>
        <v>25</v>
      </c>
      <c r="BJ74" s="266"/>
      <c r="BK74" s="266"/>
      <c r="BL74" s="266"/>
      <c r="BM74" s="266"/>
      <c r="BN74" s="266"/>
      <c r="BO74" s="266"/>
      <c r="BP74" s="266"/>
    </row>
    <row r="75" spans="1:68" ht="15.6" x14ac:dyDescent="0.3">
      <c r="A75" s="236"/>
      <c r="B75" s="236"/>
      <c r="C75" s="13"/>
      <c r="D75" s="236"/>
      <c r="E75" s="13"/>
      <c r="F75" s="13"/>
      <c r="G75" s="13"/>
      <c r="H75" s="13"/>
      <c r="I75" s="13"/>
      <c r="J75" s="13"/>
      <c r="K75" s="13"/>
      <c r="L75" s="13"/>
      <c r="M75" s="13"/>
      <c r="N75" s="236" t="s">
        <v>52</v>
      </c>
      <c r="O75" s="10"/>
      <c r="P75" s="10"/>
      <c r="Q75" s="10"/>
      <c r="R75" s="40"/>
      <c r="S75" s="40"/>
      <c r="T75" s="40"/>
      <c r="U75" s="40"/>
      <c r="V75" s="40"/>
      <c r="W75" s="40"/>
      <c r="X75" s="40"/>
      <c r="Y75" s="10"/>
      <c r="Z75" s="10"/>
      <c r="AA75" s="10"/>
      <c r="AB75" s="436"/>
      <c r="AD75" s="690"/>
      <c r="AE75" s="40"/>
      <c r="AF75" s="45"/>
      <c r="AG75" s="32"/>
      <c r="AH75" s="48"/>
      <c r="AI75" s="68"/>
      <c r="AJ75" s="68"/>
      <c r="AK75" s="68"/>
      <c r="AL75" s="690"/>
      <c r="AM75" s="697"/>
      <c r="AN75" s="40"/>
      <c r="AO75" s="58"/>
      <c r="AP75" s="47"/>
      <c r="AQ75" s="47"/>
      <c r="AR75" s="47"/>
      <c r="AS75" s="47"/>
      <c r="AT75" s="47"/>
      <c r="AU75" s="47"/>
      <c r="AV75" s="50"/>
      <c r="AW75" s="50"/>
      <c r="AX75" s="50"/>
      <c r="AY75" s="50"/>
      <c r="AZ75" s="50"/>
      <c r="BA75" s="64"/>
      <c r="BB75" s="64"/>
      <c r="BC75" s="30"/>
      <c r="BD75" s="30"/>
      <c r="BE75" s="30"/>
      <c r="BF75" s="64"/>
      <c r="BG75" s="64"/>
      <c r="BH75" s="261"/>
      <c r="BI75" s="261"/>
      <c r="BJ75" s="266"/>
      <c r="BK75" s="266"/>
      <c r="BL75" s="266"/>
      <c r="BM75" s="266"/>
      <c r="BN75" s="266"/>
      <c r="BO75" s="268" t="s">
        <v>168</v>
      </c>
      <c r="BP75" s="269">
        <f>SUM(BO10:BP73)</f>
        <v>0</v>
      </c>
    </row>
    <row r="76" spans="1:68" x14ac:dyDescent="0.25">
      <c r="AI76" s="6"/>
      <c r="BJ76" s="42"/>
      <c r="BK76" s="42"/>
      <c r="BL76" s="42"/>
      <c r="BM76" s="213"/>
    </row>
    <row r="77" spans="1:68" x14ac:dyDescent="0.25">
      <c r="AI77" s="6"/>
      <c r="BJ77" s="204"/>
      <c r="BK77" s="204"/>
      <c r="BL77" s="204"/>
      <c r="BM77" s="213"/>
      <c r="BN77" s="200"/>
      <c r="BO77" s="200"/>
      <c r="BP77" s="200"/>
    </row>
    <row r="78" spans="1:68" x14ac:dyDescent="0.25">
      <c r="Z78" s="93"/>
      <c r="AI78" s="6"/>
      <c r="BJ78" s="211"/>
      <c r="BK78" s="211"/>
      <c r="BL78" s="211"/>
      <c r="BM78" s="213"/>
      <c r="BN78" s="200"/>
      <c r="BO78" s="200"/>
      <c r="BP78" s="200"/>
    </row>
    <row r="79" spans="1:68" x14ac:dyDescent="0.25">
      <c r="Z79" s="93"/>
      <c r="AI79" s="6"/>
      <c r="BJ79" s="211"/>
      <c r="BK79" s="211"/>
      <c r="BL79" s="211"/>
      <c r="BM79" s="213"/>
      <c r="BN79" s="200"/>
      <c r="BO79" s="200"/>
      <c r="BP79" s="200"/>
    </row>
    <row r="80" spans="1:68" x14ac:dyDescent="0.25">
      <c r="Z80" s="93"/>
      <c r="AI80" s="6"/>
      <c r="BJ80" s="211"/>
      <c r="BK80" s="211"/>
      <c r="BL80" s="211"/>
      <c r="BM80" s="213"/>
      <c r="BN80" s="200"/>
      <c r="BO80" s="200"/>
      <c r="BP80" s="200"/>
    </row>
    <row r="81" spans="35:68" x14ac:dyDescent="0.25">
      <c r="AI81" s="6"/>
      <c r="BJ81" s="211"/>
      <c r="BK81" s="211"/>
      <c r="BL81" s="211"/>
      <c r="BM81" s="213"/>
      <c r="BN81" s="200"/>
      <c r="BO81" s="200"/>
      <c r="BP81" s="200"/>
    </row>
    <row r="82" spans="35:68" x14ac:dyDescent="0.25">
      <c r="AI82" s="6"/>
      <c r="BJ82" s="211"/>
      <c r="BK82" s="211"/>
      <c r="BL82" s="211"/>
      <c r="BM82" s="213"/>
      <c r="BN82" s="200"/>
      <c r="BO82" s="200"/>
      <c r="BP82" s="200"/>
    </row>
    <row r="83" spans="35:68" x14ac:dyDescent="0.25">
      <c r="AI83" s="6"/>
      <c r="BJ83" s="211"/>
      <c r="BK83" s="211"/>
      <c r="BL83" s="211"/>
      <c r="BM83" s="213"/>
      <c r="BN83" s="200"/>
      <c r="BO83" s="200"/>
      <c r="BP83" s="200"/>
    </row>
    <row r="84" spans="35:68" x14ac:dyDescent="0.25">
      <c r="AI84" s="6"/>
      <c r="BM84" s="213"/>
    </row>
    <row r="85" spans="35:68" x14ac:dyDescent="0.25">
      <c r="AI85" s="6"/>
      <c r="BM85" s="213"/>
    </row>
    <row r="86" spans="35:68" x14ac:dyDescent="0.25">
      <c r="AI86" s="6"/>
      <c r="BJ86" s="42"/>
      <c r="BK86" s="42"/>
      <c r="BL86" s="42"/>
      <c r="BM86" s="213"/>
    </row>
    <row r="87" spans="35:68" x14ac:dyDescent="0.25">
      <c r="AI87" s="6"/>
      <c r="BJ87" s="204"/>
      <c r="BK87" s="204"/>
      <c r="BL87" s="204"/>
      <c r="BM87" s="213"/>
      <c r="BN87" s="200"/>
      <c r="BO87" s="200"/>
      <c r="BP87" s="200"/>
    </row>
    <row r="88" spans="35:68" x14ac:dyDescent="0.25">
      <c r="AI88" s="6"/>
      <c r="BJ88" s="211"/>
      <c r="BK88" s="211"/>
      <c r="BL88" s="211"/>
      <c r="BM88" s="213"/>
      <c r="BN88" s="200"/>
      <c r="BO88" s="200"/>
      <c r="BP88" s="200"/>
    </row>
    <row r="89" spans="35:68" x14ac:dyDescent="0.25">
      <c r="AI89" s="6"/>
      <c r="BJ89" s="211"/>
      <c r="BK89" s="211"/>
      <c r="BL89" s="211"/>
      <c r="BM89" s="213"/>
      <c r="BN89" s="200"/>
      <c r="BO89" s="200"/>
      <c r="BP89" s="200"/>
    </row>
    <row r="90" spans="35:68" x14ac:dyDescent="0.25">
      <c r="AI90" s="6"/>
      <c r="BJ90" s="211"/>
      <c r="BK90" s="211"/>
      <c r="BL90" s="211"/>
      <c r="BM90" s="213"/>
      <c r="BN90" s="200"/>
      <c r="BO90" s="200"/>
      <c r="BP90" s="200"/>
    </row>
    <row r="91" spans="35:68" x14ac:dyDescent="0.25">
      <c r="AI91" s="6"/>
      <c r="BJ91" s="211"/>
      <c r="BK91" s="211"/>
      <c r="BL91" s="211"/>
      <c r="BM91" s="213"/>
      <c r="BN91" s="200"/>
      <c r="BO91" s="200"/>
      <c r="BP91" s="200"/>
    </row>
    <row r="92" spans="35:68" x14ac:dyDescent="0.25">
      <c r="BJ92" s="211"/>
      <c r="BK92" s="211"/>
      <c r="BL92" s="211"/>
      <c r="BM92" s="213"/>
      <c r="BN92" s="200"/>
      <c r="BO92" s="200"/>
      <c r="BP92" s="200"/>
    </row>
    <row r="93" spans="35:68" x14ac:dyDescent="0.25">
      <c r="BJ93" s="211"/>
      <c r="BK93" s="211"/>
      <c r="BL93" s="211"/>
      <c r="BM93" s="213"/>
      <c r="BN93" s="200"/>
      <c r="BO93" s="200"/>
      <c r="BP93" s="200"/>
    </row>
  </sheetData>
  <autoFilter ref="N1:N21" xr:uid="{00000000-0009-0000-0000-000003000000}"/>
  <mergeCells count="16">
    <mergeCell ref="BJ6:BO6"/>
    <mergeCell ref="B6:C6"/>
    <mergeCell ref="W6:W7"/>
    <mergeCell ref="Y47:Z47"/>
    <mergeCell ref="O1:Q1"/>
    <mergeCell ref="O2:Q2"/>
    <mergeCell ref="O3:Q3"/>
    <mergeCell ref="O4:P7"/>
    <mergeCell ref="R5:X5"/>
    <mergeCell ref="X6:X7"/>
    <mergeCell ref="V6:V7"/>
    <mergeCell ref="AL6:AM6"/>
    <mergeCell ref="AN6:AO6"/>
    <mergeCell ref="AP6:AU6"/>
    <mergeCell ref="AV6:BB6"/>
    <mergeCell ref="BC6:BG6"/>
  </mergeCells>
  <phoneticPr fontId="3" type="noConversion"/>
  <dataValidations count="1">
    <dataValidation allowBlank="1" showInputMessage="1" showErrorMessage="1" sqref="C1:C5 A1:B1048576 C7:C1048576 BQ1:XFD1048576 D1:BI1048576 BJ6 BJ1:BP5 BJ7:BO7 BJ8:BP1048576" xr:uid="{00000000-0002-0000-0300-000000000000}"/>
  </dataValidations>
  <pageMargins left="0.75" right="0.75" top="1" bottom="1" header="0.5" footer="0.5"/>
  <pageSetup paperSize="9" scale="62" fitToHeight="14" orientation="landscape" r:id="rId1"/>
  <headerFooter alignWithMargins="0"/>
  <ignoredErrors>
    <ignoredError sqref="AM1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H93"/>
  <sheetViews>
    <sheetView zoomScale="70" zoomScaleNormal="70" workbookViewId="0">
      <pane ySplit="7" topLeftCell="A8" activePane="bottomLeft" state="frozen"/>
      <selection activeCell="C2" sqref="C2"/>
      <selection pane="bottomLeft" activeCell="C2" sqref="C2"/>
    </sheetView>
  </sheetViews>
  <sheetFormatPr defaultColWidth="8.81640625" defaultRowHeight="15" x14ac:dyDescent="0.25"/>
  <cols>
    <col min="1" max="6" width="10.81640625" style="6" customWidth="1"/>
    <col min="7" max="7" width="5.81640625" style="6" customWidth="1"/>
    <col min="8" max="9" width="10.81640625" style="6" customWidth="1"/>
    <col min="10" max="10" width="5.81640625" style="6" customWidth="1"/>
    <col min="11" max="11" width="9.54296875" style="6" customWidth="1"/>
    <col min="12" max="12" width="10.81640625" style="6" customWidth="1"/>
    <col min="13" max="13" width="5.81640625" style="6" customWidth="1"/>
    <col min="14" max="14" width="1.81640625" style="6" customWidth="1"/>
    <col min="15" max="15" width="16" style="6" customWidth="1"/>
    <col min="16" max="16" width="59.453125" style="6" customWidth="1"/>
    <col min="17" max="17" width="7.453125" style="6" customWidth="1"/>
    <col min="18" max="18" width="5.453125" style="6" hidden="1" customWidth="1"/>
    <col min="19" max="19" width="8.54296875" style="6" hidden="1" customWidth="1"/>
    <col min="20" max="21" width="5.81640625" style="6" hidden="1" customWidth="1"/>
    <col min="22" max="22" width="22.81640625" style="6" hidden="1" customWidth="1"/>
    <col min="23" max="23" width="6.453125" style="6" hidden="1" customWidth="1"/>
    <col min="24" max="24" width="10.81640625" style="6" hidden="1" customWidth="1"/>
    <col min="25" max="25" width="19.1796875" style="6" bestFit="1" customWidth="1"/>
    <col min="26" max="26" width="15.81640625" style="6" bestFit="1" customWidth="1"/>
    <col min="27" max="27" width="14" style="6" bestFit="1" customWidth="1"/>
    <col min="28" max="28" width="8.1796875" style="6" bestFit="1" customWidth="1"/>
    <col min="29" max="29" width="11.453125" bestFit="1" customWidth="1"/>
    <col min="30" max="30" width="18.1796875" style="6" customWidth="1"/>
    <col min="31" max="34" width="10.81640625" style="6" customWidth="1"/>
    <col min="35" max="35" width="10.81640625" customWidth="1"/>
    <col min="36" max="37" width="12.54296875" style="6" customWidth="1"/>
    <col min="38" max="61" width="10.81640625" style="6" customWidth="1"/>
    <col min="62" max="62" width="19.1796875" style="6" bestFit="1" customWidth="1"/>
    <col min="63" max="63" width="12.81640625" style="6" customWidth="1"/>
    <col min="64" max="64" width="8.81640625" style="6" customWidth="1"/>
    <col min="65" max="65" width="24.81640625" style="6" customWidth="1"/>
    <col min="66" max="66" width="23.453125" style="6" customWidth="1"/>
    <col min="67" max="67" width="10.54296875" style="6" customWidth="1"/>
    <col min="68" max="68" width="8.81640625" style="6" customWidth="1"/>
    <col min="69" max="69" width="17.453125" style="6" customWidth="1"/>
    <col min="70" max="70" width="18" style="6" customWidth="1"/>
    <col min="71" max="93" width="8.81640625" style="6" customWidth="1"/>
    <col min="94" max="16384" width="8.81640625" style="6"/>
  </cols>
  <sheetData>
    <row r="1" spans="1:86" ht="15.6" x14ac:dyDescent="0.3">
      <c r="A1" s="235"/>
      <c r="B1" s="236"/>
      <c r="C1" s="236"/>
      <c r="D1" s="236"/>
      <c r="E1" s="236"/>
      <c r="F1" s="160">
        <f>SUMRY!O5</f>
        <v>25</v>
      </c>
      <c r="G1" s="236"/>
      <c r="H1" s="236"/>
      <c r="I1" s="236" t="s">
        <v>11</v>
      </c>
      <c r="J1" s="155" t="e">
        <f>SUMRY!#REF!</f>
        <v>#REF!</v>
      </c>
      <c r="K1" s="235" t="e">
        <f>SUMRY!#REF!</f>
        <v>#REF!</v>
      </c>
      <c r="M1" s="235"/>
      <c r="N1" s="236" t="s">
        <v>52</v>
      </c>
      <c r="O1" s="722" t="s">
        <v>99</v>
      </c>
      <c r="P1" s="722"/>
      <c r="Q1" s="722"/>
      <c r="R1" s="34"/>
      <c r="S1" s="34"/>
      <c r="T1" s="34"/>
      <c r="U1" s="34"/>
      <c r="V1" s="34"/>
      <c r="W1" s="34"/>
      <c r="X1" s="34"/>
      <c r="Y1" s="1" t="s">
        <v>98</v>
      </c>
      <c r="Z1" s="172">
        <f>SUMRY!F5</f>
        <v>1234</v>
      </c>
      <c r="AA1" s="4"/>
      <c r="AB1" s="432"/>
      <c r="AD1" s="193" t="s">
        <v>47</v>
      </c>
      <c r="AE1" s="193" t="s">
        <v>47</v>
      </c>
      <c r="AF1" s="194"/>
      <c r="AG1" s="194"/>
      <c r="AH1" s="194"/>
      <c r="AI1" s="194"/>
      <c r="AJ1" s="115"/>
      <c r="AK1" s="115"/>
      <c r="AL1" s="115"/>
      <c r="AM1" s="116"/>
      <c r="AN1" s="115"/>
      <c r="AO1" s="116"/>
      <c r="AP1" s="117"/>
      <c r="AQ1" s="116"/>
      <c r="AR1" s="116"/>
      <c r="AS1" s="116"/>
      <c r="AT1" s="116"/>
      <c r="AU1" s="116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</row>
    <row r="2" spans="1:86" ht="16.2" thickBot="1" x14ac:dyDescent="0.35">
      <c r="A2" s="15" t="s">
        <v>12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98">
        <v>0</v>
      </c>
      <c r="M2" s="198"/>
      <c r="N2" s="236" t="s">
        <v>52</v>
      </c>
      <c r="O2" s="723" t="str">
        <f>SUMRY!F2</f>
        <v>(Job Nme)</v>
      </c>
      <c r="P2" s="723"/>
      <c r="Q2" s="723"/>
      <c r="R2" s="35"/>
      <c r="S2" s="35"/>
      <c r="T2" s="35"/>
      <c r="U2" s="36"/>
      <c r="V2" s="37"/>
      <c r="W2" s="36"/>
      <c r="X2" s="37"/>
      <c r="Y2" s="8" t="s">
        <v>133</v>
      </c>
      <c r="Z2" s="185" t="e">
        <f>J1</f>
        <v>#REF!</v>
      </c>
      <c r="AB2" s="432"/>
      <c r="AD2" s="194"/>
      <c r="AE2" s="194"/>
      <c r="AF2" s="194"/>
      <c r="AG2" s="194"/>
      <c r="AH2" s="194"/>
      <c r="AI2" s="194"/>
      <c r="AJ2" s="115"/>
      <c r="AK2" s="115"/>
      <c r="AL2" s="115"/>
      <c r="AM2" s="117"/>
      <c r="AN2" s="115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71" t="s">
        <v>276</v>
      </c>
      <c r="BK2" s="171" t="s">
        <v>88</v>
      </c>
      <c r="BL2" s="171" t="s">
        <v>6</v>
      </c>
      <c r="BM2" s="171" t="s">
        <v>97</v>
      </c>
      <c r="BN2" s="171" t="s">
        <v>91</v>
      </c>
      <c r="BO2" s="171" t="s">
        <v>92</v>
      </c>
      <c r="BP2" s="171"/>
      <c r="BQ2" s="171" t="s">
        <v>9</v>
      </c>
      <c r="BR2" s="171" t="s">
        <v>172</v>
      </c>
    </row>
    <row r="3" spans="1:86" ht="16.2" thickTop="1" x14ac:dyDescent="0.3">
      <c r="A3" s="14" t="s">
        <v>72</v>
      </c>
      <c r="B3" s="14"/>
      <c r="C3" s="14"/>
      <c r="D3" s="14"/>
      <c r="E3" s="14"/>
      <c r="F3" s="25">
        <v>1</v>
      </c>
      <c r="G3" s="14"/>
      <c r="H3" s="14"/>
      <c r="I3" s="14"/>
      <c r="J3" s="14"/>
      <c r="K3" s="14"/>
      <c r="L3" s="25">
        <v>1</v>
      </c>
      <c r="M3" s="14"/>
      <c r="N3" s="236" t="s">
        <v>52</v>
      </c>
      <c r="O3" s="724" t="s">
        <v>166</v>
      </c>
      <c r="P3" s="724"/>
      <c r="Q3" s="724"/>
      <c r="R3" s="35"/>
      <c r="S3" s="35"/>
      <c r="T3" s="35"/>
      <c r="U3" s="36"/>
      <c r="V3" s="37"/>
      <c r="W3" s="36"/>
      <c r="X3" s="37"/>
      <c r="Y3" s="187" t="s">
        <v>164</v>
      </c>
      <c r="Z3" s="188">
        <f>SUMRY!I1</f>
        <v>0</v>
      </c>
      <c r="AA3" s="8"/>
      <c r="AB3" s="432"/>
      <c r="AD3" s="194"/>
      <c r="AE3" s="194"/>
      <c r="AF3" s="194"/>
      <c r="AG3" s="194"/>
      <c r="AH3" s="194"/>
      <c r="AI3" s="194"/>
      <c r="AJ3" s="115"/>
      <c r="AK3" s="115"/>
      <c r="AL3" s="115"/>
      <c r="AM3" s="117"/>
      <c r="AN3" s="115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93"/>
      <c r="BK3" s="93">
        <f>+BE74+BG74+BC74</f>
        <v>0</v>
      </c>
      <c r="BL3" s="93">
        <f>+AT74+AP74</f>
        <v>0</v>
      </c>
      <c r="BM3" s="93">
        <f>+AX74+AZ74+BB74+AV74</f>
        <v>0</v>
      </c>
      <c r="BN3" s="88">
        <f>BI53+BI56+BH74</f>
        <v>0</v>
      </c>
      <c r="BO3" s="93">
        <f>BI66</f>
        <v>25</v>
      </c>
      <c r="BP3" s="93"/>
      <c r="BQ3" s="93">
        <f>SUM(BK3:BP3)</f>
        <v>25</v>
      </c>
      <c r="BR3" s="93">
        <f>AC74</f>
        <v>25</v>
      </c>
    </row>
    <row r="4" spans="1:86" ht="15.6" x14ac:dyDescent="0.3">
      <c r="A4" s="2" t="s">
        <v>73</v>
      </c>
      <c r="B4" s="14"/>
      <c r="C4" s="14"/>
      <c r="D4" s="14"/>
      <c r="E4" s="14"/>
      <c r="F4" s="3">
        <v>0</v>
      </c>
      <c r="G4" s="199">
        <v>0</v>
      </c>
      <c r="H4" s="199"/>
      <c r="I4" s="2">
        <f>SUMRY!O3</f>
        <v>70</v>
      </c>
      <c r="J4" s="199">
        <v>0</v>
      </c>
      <c r="K4" s="199"/>
      <c r="L4" s="3">
        <v>0</v>
      </c>
      <c r="M4" s="199">
        <v>0</v>
      </c>
      <c r="N4" s="236" t="s">
        <v>52</v>
      </c>
      <c r="O4" s="725" t="s">
        <v>101</v>
      </c>
      <c r="P4" s="725"/>
      <c r="Q4" s="5"/>
      <c r="R4" s="35"/>
      <c r="S4" s="35"/>
      <c r="T4" s="35"/>
      <c r="U4" s="38"/>
      <c r="V4" s="37"/>
      <c r="W4" s="38"/>
      <c r="X4" s="37"/>
      <c r="Y4" s="9" t="s">
        <v>2</v>
      </c>
      <c r="Z4" s="275" t="s">
        <v>77</v>
      </c>
      <c r="AB4" s="432"/>
      <c r="AD4" s="194"/>
      <c r="AE4" s="194"/>
      <c r="AF4" s="194"/>
      <c r="AG4" s="194"/>
      <c r="AH4" s="194"/>
      <c r="AI4" s="194"/>
      <c r="AJ4" s="115"/>
      <c r="AK4" s="115"/>
      <c r="AL4" s="115"/>
      <c r="AM4" s="117"/>
      <c r="AN4" s="115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7"/>
      <c r="AZ4" s="117"/>
      <c r="BA4" s="117"/>
      <c r="BB4" s="117"/>
      <c r="BC4" s="117"/>
      <c r="BD4" s="117"/>
      <c r="BE4" s="117"/>
      <c r="BF4" s="117"/>
      <c r="BG4" s="117"/>
      <c r="BH4" s="117"/>
      <c r="BI4" s="117"/>
      <c r="BJ4" s="156"/>
      <c r="BK4" s="156"/>
      <c r="BL4" s="156"/>
    </row>
    <row r="5" spans="1:86" ht="15.6" x14ac:dyDescent="0.3">
      <c r="A5" s="691" t="s">
        <v>31</v>
      </c>
      <c r="B5" s="691"/>
      <c r="C5" s="691"/>
      <c r="D5" s="691"/>
      <c r="E5" s="691"/>
      <c r="F5" s="691"/>
      <c r="G5" s="691"/>
      <c r="H5" s="691"/>
      <c r="I5" s="691"/>
      <c r="J5" s="691"/>
      <c r="K5" s="691"/>
      <c r="L5" s="691"/>
      <c r="M5" s="237"/>
      <c r="N5" s="235" t="s">
        <v>52</v>
      </c>
      <c r="O5" s="725"/>
      <c r="P5" s="725"/>
      <c r="Q5" s="5"/>
      <c r="R5" s="727" t="s">
        <v>26</v>
      </c>
      <c r="S5" s="728"/>
      <c r="T5" s="728"/>
      <c r="U5" s="728"/>
      <c r="V5" s="728"/>
      <c r="W5" s="728"/>
      <c r="X5" s="728"/>
      <c r="Y5" s="4"/>
      <c r="Z5" s="4"/>
      <c r="AA5" s="4"/>
      <c r="AB5" s="432"/>
      <c r="AD5" s="194" t="s">
        <v>4</v>
      </c>
      <c r="AE5" s="194" t="s">
        <v>4</v>
      </c>
      <c r="AF5" s="679"/>
      <c r="AG5" s="679"/>
      <c r="AH5" s="679"/>
      <c r="AI5" s="679"/>
      <c r="AJ5" s="16"/>
      <c r="AK5" s="16"/>
      <c r="AL5" s="16"/>
      <c r="AM5" s="17" t="s">
        <v>3</v>
      </c>
      <c r="AN5" s="16"/>
      <c r="AO5" s="17" t="s">
        <v>3</v>
      </c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14"/>
      <c r="BD5" s="17"/>
      <c r="BE5" s="17"/>
      <c r="BF5" s="17"/>
      <c r="BG5" s="18"/>
      <c r="BH5" s="117"/>
      <c r="BI5" s="117"/>
      <c r="BJ5" s="155"/>
      <c r="BK5" s="155"/>
      <c r="BL5" s="156"/>
      <c r="BQ5" s="93"/>
    </row>
    <row r="6" spans="1:86" ht="15.75" customHeight="1" x14ac:dyDescent="0.3">
      <c r="A6" s="236" t="s">
        <v>13</v>
      </c>
      <c r="B6" s="718" t="s">
        <v>276</v>
      </c>
      <c r="C6" s="718"/>
      <c r="D6" s="234" t="s">
        <v>38</v>
      </c>
      <c r="E6" s="234" t="s">
        <v>14</v>
      </c>
      <c r="F6" s="28" t="s">
        <v>8</v>
      </c>
      <c r="G6" s="28" t="s">
        <v>8</v>
      </c>
      <c r="H6" s="73" t="s">
        <v>6</v>
      </c>
      <c r="I6" s="44" t="s">
        <v>6</v>
      </c>
      <c r="J6" s="44" t="s">
        <v>54</v>
      </c>
      <c r="K6" s="70" t="s">
        <v>7</v>
      </c>
      <c r="L6" s="31" t="s">
        <v>7</v>
      </c>
      <c r="M6" s="31" t="s">
        <v>55</v>
      </c>
      <c r="N6" s="236" t="s">
        <v>52</v>
      </c>
      <c r="O6" s="725"/>
      <c r="P6" s="725"/>
      <c r="Q6" s="11" t="s">
        <v>16</v>
      </c>
      <c r="R6" s="97" t="s">
        <v>27</v>
      </c>
      <c r="S6" s="97" t="s">
        <v>28</v>
      </c>
      <c r="T6" s="97" t="s">
        <v>29</v>
      </c>
      <c r="U6" s="97" t="s">
        <v>30</v>
      </c>
      <c r="V6" s="729" t="s">
        <v>13</v>
      </c>
      <c r="W6" s="719" t="s">
        <v>32</v>
      </c>
      <c r="X6" s="719" t="s">
        <v>33</v>
      </c>
      <c r="Y6" s="233" t="s">
        <v>17</v>
      </c>
      <c r="Z6" s="11" t="s">
        <v>18</v>
      </c>
      <c r="AA6" s="11" t="s">
        <v>18</v>
      </c>
      <c r="AC6" s="439" t="s">
        <v>10</v>
      </c>
      <c r="AD6" s="680" t="s">
        <v>276</v>
      </c>
      <c r="AE6" s="234" t="s">
        <v>5</v>
      </c>
      <c r="AF6" s="44" t="s">
        <v>6</v>
      </c>
      <c r="AG6" s="31" t="s">
        <v>7</v>
      </c>
      <c r="AH6" s="28" t="s">
        <v>8</v>
      </c>
      <c r="AI6" s="65" t="s">
        <v>21</v>
      </c>
      <c r="AJ6" s="65" t="s">
        <v>36</v>
      </c>
      <c r="AK6" s="65" t="s">
        <v>36</v>
      </c>
      <c r="AL6" s="718" t="s">
        <v>276</v>
      </c>
      <c r="AM6" s="731"/>
      <c r="AN6" s="732" t="s">
        <v>5</v>
      </c>
      <c r="AO6" s="733"/>
      <c r="AP6" s="734" t="s">
        <v>6</v>
      </c>
      <c r="AQ6" s="735"/>
      <c r="AR6" s="735"/>
      <c r="AS6" s="735"/>
      <c r="AT6" s="735"/>
      <c r="AU6" s="736"/>
      <c r="AV6" s="737" t="s">
        <v>7</v>
      </c>
      <c r="AW6" s="738"/>
      <c r="AX6" s="738"/>
      <c r="AY6" s="738"/>
      <c r="AZ6" s="738"/>
      <c r="BA6" s="738"/>
      <c r="BB6" s="739"/>
      <c r="BC6" s="740" t="s">
        <v>8</v>
      </c>
      <c r="BD6" s="741"/>
      <c r="BE6" s="741"/>
      <c r="BF6" s="741"/>
      <c r="BG6" s="741"/>
      <c r="BH6" s="262" t="s">
        <v>193</v>
      </c>
      <c r="BI6" s="262" t="s">
        <v>194</v>
      </c>
      <c r="BJ6" s="711"/>
      <c r="BK6" s="268" t="s">
        <v>169</v>
      </c>
      <c r="BL6" s="268"/>
      <c r="BM6" s="268"/>
      <c r="BN6" s="268"/>
      <c r="BO6" s="268"/>
      <c r="BP6" s="268"/>
      <c r="BQ6" s="93"/>
    </row>
    <row r="7" spans="1:86" ht="16.2" thickBot="1" x14ac:dyDescent="0.35">
      <c r="A7" s="161"/>
      <c r="B7" s="692" t="s">
        <v>21</v>
      </c>
      <c r="C7" s="692" t="s">
        <v>19</v>
      </c>
      <c r="D7" s="162" t="s">
        <v>21</v>
      </c>
      <c r="E7" s="163" t="s">
        <v>19</v>
      </c>
      <c r="F7" s="164" t="s">
        <v>19</v>
      </c>
      <c r="G7" s="164" t="s">
        <v>53</v>
      </c>
      <c r="H7" s="165" t="s">
        <v>75</v>
      </c>
      <c r="I7" s="166" t="s">
        <v>20</v>
      </c>
      <c r="J7" s="166" t="s">
        <v>53</v>
      </c>
      <c r="K7" s="167" t="s">
        <v>9</v>
      </c>
      <c r="L7" s="168" t="s">
        <v>19</v>
      </c>
      <c r="M7" s="31" t="s">
        <v>53</v>
      </c>
      <c r="N7" s="236" t="s">
        <v>52</v>
      </c>
      <c r="O7" s="726"/>
      <c r="P7" s="726"/>
      <c r="Q7" s="5"/>
      <c r="R7" s="35"/>
      <c r="S7" s="35"/>
      <c r="T7" s="35"/>
      <c r="U7" s="35"/>
      <c r="V7" s="730"/>
      <c r="W7" s="720"/>
      <c r="X7" s="720"/>
      <c r="Y7" s="5"/>
      <c r="Z7" s="11" t="s">
        <v>19</v>
      </c>
      <c r="AA7" s="11" t="s">
        <v>9</v>
      </c>
      <c r="AC7" s="440" t="s">
        <v>195</v>
      </c>
      <c r="AD7" s="681" t="s">
        <v>9</v>
      </c>
      <c r="AE7" s="51" t="s">
        <v>9</v>
      </c>
      <c r="AF7" s="44" t="s">
        <v>9</v>
      </c>
      <c r="AG7" s="31" t="s">
        <v>9</v>
      </c>
      <c r="AH7" s="27" t="s">
        <v>9</v>
      </c>
      <c r="AI7" s="66" t="s">
        <v>9</v>
      </c>
      <c r="AJ7" s="66" t="s">
        <v>42</v>
      </c>
      <c r="AK7" s="66" t="s">
        <v>37</v>
      </c>
      <c r="AL7" s="694" t="s">
        <v>19</v>
      </c>
      <c r="AM7" s="681" t="s">
        <v>9</v>
      </c>
      <c r="AN7" s="56" t="s">
        <v>19</v>
      </c>
      <c r="AO7" s="51" t="s">
        <v>9</v>
      </c>
      <c r="AP7" s="44" t="s">
        <v>50</v>
      </c>
      <c r="AQ7" s="59" t="s">
        <v>48</v>
      </c>
      <c r="AR7" s="59" t="s">
        <v>46</v>
      </c>
      <c r="AS7" s="59" t="s">
        <v>43</v>
      </c>
      <c r="AT7" s="59" t="s">
        <v>44</v>
      </c>
      <c r="AU7" s="59" t="s">
        <v>49</v>
      </c>
      <c r="AV7" s="31" t="s">
        <v>33</v>
      </c>
      <c r="AW7" s="60" t="s">
        <v>22</v>
      </c>
      <c r="AX7" s="60" t="s">
        <v>24</v>
      </c>
      <c r="AY7" s="60" t="s">
        <v>43</v>
      </c>
      <c r="AZ7" s="60" t="s">
        <v>44</v>
      </c>
      <c r="BA7" s="62" t="s">
        <v>23</v>
      </c>
      <c r="BB7" s="62" t="s">
        <v>25</v>
      </c>
      <c r="BC7" s="27" t="s">
        <v>9</v>
      </c>
      <c r="BD7" s="61" t="s">
        <v>68</v>
      </c>
      <c r="BE7" s="61" t="s">
        <v>45</v>
      </c>
      <c r="BF7" s="62" t="s">
        <v>69</v>
      </c>
      <c r="BG7" s="62" t="s">
        <v>21</v>
      </c>
      <c r="BH7" s="270"/>
      <c r="BI7" s="270"/>
      <c r="BJ7" s="711"/>
      <c r="BK7" s="271" t="s">
        <v>8</v>
      </c>
      <c r="BL7" s="271" t="s">
        <v>167</v>
      </c>
      <c r="BM7" s="271" t="s">
        <v>15</v>
      </c>
      <c r="BN7" s="271" t="s">
        <v>13</v>
      </c>
      <c r="BO7" s="271" t="s">
        <v>93</v>
      </c>
      <c r="BP7" s="271" t="s">
        <v>103</v>
      </c>
    </row>
    <row r="8" spans="1:86" ht="16.2" thickTop="1" x14ac:dyDescent="0.3">
      <c r="L8" s="155"/>
      <c r="M8" s="90"/>
      <c r="N8" s="155" t="s">
        <v>52</v>
      </c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D8" s="90"/>
      <c r="AE8" s="90"/>
      <c r="AF8" s="90"/>
      <c r="AG8" s="90"/>
      <c r="AH8" s="90"/>
      <c r="AI8" s="90"/>
      <c r="AJ8" s="169"/>
      <c r="AK8" s="90"/>
      <c r="AL8" s="83"/>
      <c r="AM8" s="90"/>
      <c r="AN8" s="83"/>
      <c r="AO8" s="90"/>
      <c r="AP8" s="90"/>
      <c r="AQ8" s="90"/>
      <c r="AR8" s="90"/>
      <c r="AS8" s="90"/>
      <c r="AT8" s="90"/>
      <c r="AU8" s="90"/>
      <c r="AV8" s="90"/>
      <c r="AW8" s="90"/>
      <c r="AX8" s="90"/>
      <c r="AY8" s="90"/>
      <c r="AZ8" s="90"/>
      <c r="BA8" s="90"/>
      <c r="BB8" s="90"/>
      <c r="BC8" s="90"/>
      <c r="BD8" s="90"/>
      <c r="BE8" s="90"/>
      <c r="BF8" s="90"/>
      <c r="BG8" s="90"/>
      <c r="BH8" s="155"/>
      <c r="BI8" s="155"/>
    </row>
    <row r="9" spans="1:86" ht="15.6" x14ac:dyDescent="0.3">
      <c r="C9" s="91"/>
      <c r="E9" s="91"/>
      <c r="F9" s="91"/>
      <c r="G9" s="91"/>
      <c r="H9" s="91"/>
      <c r="I9" s="91"/>
      <c r="J9" s="91"/>
      <c r="K9" s="91"/>
      <c r="L9" s="91"/>
      <c r="M9" s="91"/>
      <c r="N9" s="94" t="s">
        <v>52</v>
      </c>
      <c r="O9" s="422" t="s">
        <v>170</v>
      </c>
      <c r="P9" s="423" t="s">
        <v>80</v>
      </c>
      <c r="R9" s="424"/>
      <c r="S9" s="425"/>
      <c r="T9" s="425"/>
      <c r="U9" s="425"/>
      <c r="V9" s="425"/>
      <c r="W9" s="425"/>
      <c r="X9" s="425"/>
      <c r="Y9" s="426"/>
      <c r="Z9" s="427"/>
      <c r="AA9" s="88"/>
      <c r="AJ9" s="88"/>
      <c r="AK9" s="88"/>
      <c r="AL9" s="88"/>
      <c r="AM9" s="42"/>
      <c r="AN9" s="88"/>
      <c r="AO9" s="42"/>
      <c r="AP9" s="42"/>
      <c r="AQ9" s="42"/>
      <c r="AR9" s="42"/>
      <c r="AS9" s="42"/>
      <c r="AT9" s="42"/>
      <c r="AU9" s="42"/>
      <c r="AV9" s="89"/>
      <c r="AW9" s="42"/>
      <c r="AX9" s="42"/>
      <c r="AY9" s="42"/>
      <c r="AZ9" s="42"/>
      <c r="BA9" s="42"/>
      <c r="BB9" s="42"/>
      <c r="BC9" s="42"/>
      <c r="BD9" s="89"/>
      <c r="BE9" s="89"/>
      <c r="BF9" s="89"/>
      <c r="BG9" s="42"/>
    </row>
    <row r="10" spans="1:86" s="98" customFormat="1" ht="15.6" x14ac:dyDescent="0.3">
      <c r="A10" s="200"/>
      <c r="B10" s="226">
        <v>0</v>
      </c>
      <c r="C10" s="226">
        <v>0</v>
      </c>
      <c r="D10" s="226">
        <v>0</v>
      </c>
      <c r="E10" s="226">
        <v>0</v>
      </c>
      <c r="F10" s="226">
        <v>0</v>
      </c>
      <c r="G10" s="199">
        <f>+G$4</f>
        <v>0</v>
      </c>
      <c r="H10" s="201">
        <f>AQ10+AR10</f>
        <v>0</v>
      </c>
      <c r="I10" s="226">
        <v>0</v>
      </c>
      <c r="J10" s="199">
        <f>+J$4</f>
        <v>0</v>
      </c>
      <c r="K10" s="201">
        <f>AV10+AX10+AZ10+BB10</f>
        <v>0</v>
      </c>
      <c r="L10" s="226">
        <v>0</v>
      </c>
      <c r="M10" s="199">
        <f>+M$4</f>
        <v>0</v>
      </c>
      <c r="N10" s="202" t="s">
        <v>52</v>
      </c>
      <c r="O10" s="224"/>
      <c r="P10" s="225" t="s">
        <v>51</v>
      </c>
      <c r="Q10" s="224" t="s">
        <v>35</v>
      </c>
      <c r="R10" s="100"/>
      <c r="S10" s="101"/>
      <c r="T10" s="101"/>
      <c r="U10" s="101"/>
      <c r="V10" s="102"/>
      <c r="W10" s="103"/>
      <c r="X10" s="104">
        <f>SUM(W11:W16)</f>
        <v>1</v>
      </c>
      <c r="Y10" s="428">
        <v>1</v>
      </c>
      <c r="Z10" s="204">
        <f>_xlfn.IFNA(ROUNDUP(AJ10+AN10+AS10+AU10+L10+AW10+AY10+BA10+F10+BD10+BF10,2),0)</f>
        <v>0</v>
      </c>
      <c r="AA10" s="205">
        <f>ROUND(Z10*ROUNDUP(Y10,1),2)</f>
        <v>0</v>
      </c>
      <c r="AB10" s="433">
        <v>0</v>
      </c>
      <c r="AC10" s="667">
        <f>AA10*AB10</f>
        <v>0</v>
      </c>
      <c r="AD10" s="205">
        <f>_xlfn.IFNA(ROUNDUP(AM10*AB10,2),0)</f>
        <v>0</v>
      </c>
      <c r="AE10" s="205">
        <f>_xlfn.IFNA(ROUNDUP(AO10*AB10,2),0)</f>
        <v>0</v>
      </c>
      <c r="AF10" s="205">
        <f>_xlfn.IFNA(ROUNDUP((AT10+AP10)*AB10,2),0)</f>
        <v>0</v>
      </c>
      <c r="AG10" s="205">
        <f>_xlfn.IFNA(ROUNDUP((AX10+AZ10+AV10)*AB10,2),0)</f>
        <v>0</v>
      </c>
      <c r="AH10" s="205">
        <f>_xlfn.IFNA(ROUNDUP((BE10+BC10)*AB10,2),0)</f>
        <v>0</v>
      </c>
      <c r="AI10" s="205">
        <f>_xlfn.IFNA((BG10+BB10+AK10)*AB10,0)</f>
        <v>0</v>
      </c>
      <c r="AJ10" s="205">
        <f>+_xlfn.IFNA(D10,0)</f>
        <v>0</v>
      </c>
      <c r="AK10" s="205">
        <f>_xlfn.IFNA(ROUNDUP(D10*Y10,2),0)</f>
        <v>0</v>
      </c>
      <c r="AL10" s="205">
        <f>+_xlfn.IFNA(C10,0)</f>
        <v>0</v>
      </c>
      <c r="AM10" s="204">
        <f>_xlfn.IFNA(C10*Y10,0)</f>
        <v>0</v>
      </c>
      <c r="AN10" s="205">
        <f>+_xlfn.IFNA(E10,0)</f>
        <v>0</v>
      </c>
      <c r="AO10" s="204">
        <f>_xlfn.IFNA(E10*Y10,0)</f>
        <v>0</v>
      </c>
      <c r="AP10" s="204">
        <f>_xlfn.IFNA(ROUNDUP(ROUNDUP(Y10,1)*AU10,2),0)</f>
        <v>0</v>
      </c>
      <c r="AQ10" s="204">
        <f>_xlfn.IFNA(ROUNDUP(+I10*Y10,2),0)</f>
        <v>0</v>
      </c>
      <c r="AR10" s="204">
        <f>_xlfn.IFNA(J10*I10*Y10,0)</f>
        <v>0</v>
      </c>
      <c r="AS10" s="204">
        <f>_xlfn.IFNA(ROUNDUP(I10*I$4*J10,2),0)</f>
        <v>0</v>
      </c>
      <c r="AT10" s="204">
        <f>AS10*Y10</f>
        <v>0</v>
      </c>
      <c r="AU10" s="204">
        <f>_xlfn.IFNA(IF(I10=0,0,ROUNDUP(I$4*I10,2)),0)</f>
        <v>0</v>
      </c>
      <c r="AV10" s="204">
        <f>+_xlfn.IFNA(ROUNDUP(L10*ROUNDUP(Y10,1),2),0)</f>
        <v>0</v>
      </c>
      <c r="AW10" s="204">
        <f>_xlfn.IFNA(ROUNDUP(L10*L$2,2),0)</f>
        <v>0</v>
      </c>
      <c r="AX10" s="204">
        <f>+ROUNDUP(AW10*Y10,2)</f>
        <v>0</v>
      </c>
      <c r="AY10" s="204">
        <f>_xlfn.IFNA(ROUNDUP((L10+AW10)*M10,2),0)</f>
        <v>0</v>
      </c>
      <c r="AZ10" s="204">
        <f>ROUNDUP(AY10*Y10,2)</f>
        <v>0</v>
      </c>
      <c r="BA10" s="204">
        <f>_xlfn.IFNA(ROUNDUP(((L10+AW10+AY10)*(L$4))*L$3,2),0)</f>
        <v>0</v>
      </c>
      <c r="BB10" s="204">
        <f>ROUNDUP(+BA10*ROUNDUP(Y10,1),2)</f>
        <v>0</v>
      </c>
      <c r="BC10" s="204">
        <f>_xlfn.IFNA(ROUNDUP(F10*ROUNDUP(Y10,1),2),0)</f>
        <v>0</v>
      </c>
      <c r="BD10" s="204">
        <f>_xlfn.IFNA(ROUNDUP(F10*G10,2),0)</f>
        <v>0</v>
      </c>
      <c r="BE10" s="204">
        <f>ROUNDUP(BD10*Y10,2)</f>
        <v>0</v>
      </c>
      <c r="BF10" s="204">
        <f>_xlfn.IFNA(ROUNDUP(((ROUNDUP(F10+BD10,2)*F$4)*F$3),2),0)</f>
        <v>0</v>
      </c>
      <c r="BG10" s="204">
        <f>BF10*Y10</f>
        <v>0</v>
      </c>
      <c r="BH10" s="6"/>
      <c r="BI10" s="6"/>
      <c r="BJ10" s="272" t="str">
        <f>N10</f>
        <v>|</v>
      </c>
      <c r="BK10" s="272">
        <f>O10</f>
        <v>0</v>
      </c>
      <c r="BL10" s="272" t="str">
        <f>IF(BK10 = 0," ",$J$1)</f>
        <v xml:space="preserve"> </v>
      </c>
      <c r="BM10" s="273" t="str">
        <f>IF(BL10 = " "," ",P10)</f>
        <v xml:space="preserve"> </v>
      </c>
      <c r="BN10" s="200"/>
      <c r="BO10" s="274" t="str">
        <f>IF(BK10 = 0, " ", IF((BC10+BE10)*AB10 &lt;0,(BC10+BE10)*AB10,0))</f>
        <v xml:space="preserve"> </v>
      </c>
      <c r="BP10" s="274" t="str">
        <f>IF(BK10 = 0, " ",IF((BC10+BE10)*AB10 &gt;0,(BC10+BE10)*AB10,0))</f>
        <v xml:space="preserve"> </v>
      </c>
      <c r="BQ10" s="200"/>
      <c r="BR10" s="200"/>
      <c r="BS10" s="200"/>
      <c r="BT10" s="200"/>
      <c r="BU10" s="200"/>
      <c r="BV10" s="200"/>
      <c r="BW10" s="200"/>
      <c r="BX10" s="200"/>
      <c r="BY10" s="200"/>
      <c r="BZ10" s="200"/>
      <c r="CA10" s="200"/>
      <c r="CB10" s="200"/>
      <c r="CC10" s="200"/>
      <c r="CD10" s="200"/>
      <c r="CE10" s="200"/>
      <c r="CF10" s="200"/>
      <c r="CG10" s="200"/>
      <c r="CH10" s="200"/>
    </row>
    <row r="11" spans="1:86" s="98" customFormat="1" ht="15.6" x14ac:dyDescent="0.3">
      <c r="A11" s="200"/>
      <c r="B11" s="200"/>
      <c r="C11" s="207"/>
      <c r="D11" s="200"/>
      <c r="E11" s="207"/>
      <c r="F11" s="207"/>
      <c r="G11" s="207"/>
      <c r="H11" s="207"/>
      <c r="I11" s="207"/>
      <c r="J11" s="207"/>
      <c r="K11" s="207"/>
      <c r="L11" s="207"/>
      <c r="M11" s="207"/>
      <c r="N11" s="202"/>
      <c r="O11" s="200"/>
      <c r="P11" s="208"/>
      <c r="Q11" s="200"/>
      <c r="R11" s="105"/>
      <c r="S11" s="101"/>
      <c r="T11" s="101"/>
      <c r="U11" s="101"/>
      <c r="V11" s="84"/>
      <c r="W11" s="106"/>
      <c r="X11" s="103" t="s">
        <v>41</v>
      </c>
      <c r="Y11" s="209"/>
      <c r="Z11" s="276"/>
      <c r="AA11" s="206"/>
      <c r="AB11" s="200"/>
      <c r="AD11" s="6"/>
      <c r="AE11" s="6"/>
      <c r="AF11" s="6"/>
      <c r="AG11" s="6"/>
      <c r="AH11" s="6"/>
      <c r="AI11"/>
      <c r="AJ11" s="210"/>
      <c r="AK11" s="200"/>
      <c r="AL11" s="206"/>
      <c r="AM11" s="211"/>
      <c r="AN11" s="206"/>
      <c r="AO11" s="211"/>
      <c r="AP11" s="211"/>
      <c r="AQ11" s="211"/>
      <c r="AR11" s="211"/>
      <c r="AS11" s="211"/>
      <c r="AT11" s="211"/>
      <c r="AU11" s="211"/>
      <c r="AV11" s="212"/>
      <c r="AW11" s="211"/>
      <c r="AX11" s="211"/>
      <c r="AY11" s="211"/>
      <c r="AZ11" s="211"/>
      <c r="BA11" s="211"/>
      <c r="BB11" s="211"/>
      <c r="BC11" s="211"/>
      <c r="BD11" s="212"/>
      <c r="BE11" s="212"/>
      <c r="BF11" s="212"/>
      <c r="BG11" s="211"/>
      <c r="BH11" s="6"/>
      <c r="BI11" s="6"/>
      <c r="BJ11" s="211"/>
      <c r="BK11" s="211"/>
      <c r="BL11" s="211"/>
      <c r="BM11" s="200"/>
      <c r="BN11" s="200"/>
      <c r="BO11" s="206"/>
      <c r="BP11" s="206"/>
      <c r="BQ11" s="200"/>
      <c r="BR11" s="200"/>
      <c r="BS11" s="200"/>
      <c r="BT11" s="200"/>
      <c r="BU11" s="200"/>
      <c r="BV11" s="200"/>
      <c r="BW11" s="200"/>
      <c r="BX11" s="200"/>
      <c r="BY11" s="200"/>
      <c r="BZ11" s="200"/>
      <c r="CA11" s="200"/>
      <c r="CB11" s="200"/>
      <c r="CC11" s="200"/>
      <c r="CD11" s="200"/>
      <c r="CE11" s="200"/>
      <c r="CF11" s="200"/>
      <c r="CG11" s="200"/>
      <c r="CH11" s="200"/>
    </row>
    <row r="12" spans="1:86" s="108" customFormat="1" x14ac:dyDescent="0.25">
      <c r="A12" s="207"/>
      <c r="B12" s="207"/>
      <c r="C12" s="207"/>
      <c r="D12" s="207"/>
      <c r="E12" s="207"/>
      <c r="F12" s="207"/>
      <c r="G12" s="207"/>
      <c r="H12" s="207"/>
      <c r="I12" s="207"/>
      <c r="J12" s="207"/>
      <c r="K12" s="207"/>
      <c r="L12" s="207"/>
      <c r="M12" s="207"/>
      <c r="N12" s="202"/>
      <c r="O12" s="209"/>
      <c r="P12" s="208"/>
      <c r="Q12" s="209"/>
      <c r="R12" s="85">
        <v>1</v>
      </c>
      <c r="S12" s="86"/>
      <c r="T12" s="86"/>
      <c r="U12" s="86"/>
      <c r="V12" s="87"/>
      <c r="W12" s="107">
        <f>PRODUCT(R12:U12,(1+X12))</f>
        <v>1</v>
      </c>
      <c r="X12" s="84">
        <v>0</v>
      </c>
      <c r="Y12" s="209"/>
      <c r="Z12" s="276"/>
      <c r="AA12" s="206"/>
      <c r="AB12" s="209"/>
      <c r="AD12" s="200"/>
      <c r="AE12" s="200"/>
      <c r="AF12" s="200"/>
      <c r="AG12" s="200"/>
      <c r="AH12" s="200"/>
      <c r="AI12" s="200"/>
      <c r="AJ12" s="210"/>
      <c r="AK12" s="200"/>
      <c r="AL12" s="206"/>
      <c r="AM12" s="211"/>
      <c r="AN12" s="206"/>
      <c r="AO12" s="211"/>
      <c r="AP12" s="211"/>
      <c r="AQ12" s="211"/>
      <c r="AR12" s="211"/>
      <c r="AS12" s="211"/>
      <c r="AT12" s="211"/>
      <c r="AU12" s="211"/>
      <c r="AV12" s="212"/>
      <c r="AW12" s="211"/>
      <c r="AX12" s="211"/>
      <c r="AY12" s="211"/>
      <c r="AZ12" s="211"/>
      <c r="BA12" s="211"/>
      <c r="BB12" s="211"/>
      <c r="BC12" s="211"/>
      <c r="BD12" s="212"/>
      <c r="BE12" s="212"/>
      <c r="BF12" s="212"/>
      <c r="BG12" s="211"/>
      <c r="BH12" s="6"/>
      <c r="BI12" s="6"/>
      <c r="BJ12" s="211"/>
      <c r="BK12" s="211"/>
      <c r="BL12" s="211"/>
      <c r="BM12" s="200"/>
      <c r="BN12" s="200"/>
      <c r="BO12" s="206"/>
      <c r="BP12" s="206"/>
      <c r="BQ12" s="200"/>
      <c r="BR12" s="200"/>
      <c r="BS12" s="200"/>
      <c r="BT12" s="200"/>
      <c r="BU12" s="200"/>
      <c r="BV12" s="200"/>
      <c r="BW12" s="200"/>
      <c r="BX12" s="200"/>
      <c r="BY12" s="200"/>
      <c r="BZ12" s="200"/>
      <c r="CA12" s="200"/>
      <c r="CB12" s="200"/>
      <c r="CC12" s="200"/>
      <c r="CD12" s="200"/>
      <c r="CE12" s="200"/>
      <c r="CF12" s="200"/>
      <c r="CG12" s="200"/>
      <c r="CH12" s="200"/>
    </row>
    <row r="13" spans="1:86" s="108" customFormat="1" x14ac:dyDescent="0.25">
      <c r="A13" s="207"/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2"/>
      <c r="O13" s="209"/>
      <c r="P13" s="208"/>
      <c r="Q13" s="209"/>
      <c r="R13" s="85">
        <v>0</v>
      </c>
      <c r="S13" s="86"/>
      <c r="T13" s="86"/>
      <c r="U13" s="86"/>
      <c r="V13" s="87"/>
      <c r="W13" s="107">
        <f>PRODUCT(R13:U13,(1+X13))</f>
        <v>0</v>
      </c>
      <c r="X13" s="84">
        <v>0</v>
      </c>
      <c r="Y13" s="209"/>
      <c r="Z13" s="276"/>
      <c r="AA13" s="206"/>
      <c r="AB13" s="209"/>
      <c r="AD13" s="200"/>
      <c r="AE13" s="200"/>
      <c r="AF13" s="200"/>
      <c r="AG13" s="200"/>
      <c r="AH13" s="200"/>
      <c r="AI13" s="200"/>
      <c r="AJ13" s="210"/>
      <c r="AK13" s="200"/>
      <c r="AL13" s="206"/>
      <c r="AM13" s="211"/>
      <c r="AN13" s="206"/>
      <c r="AO13" s="211"/>
      <c r="AP13" s="211"/>
      <c r="AQ13" s="211"/>
      <c r="AR13" s="211"/>
      <c r="AS13" s="211"/>
      <c r="AT13" s="211"/>
      <c r="AU13" s="211"/>
      <c r="AV13" s="212"/>
      <c r="AW13" s="211"/>
      <c r="AX13" s="211"/>
      <c r="AY13" s="211"/>
      <c r="AZ13" s="211"/>
      <c r="BA13" s="211"/>
      <c r="BB13" s="211"/>
      <c r="BC13" s="211"/>
      <c r="BD13" s="212"/>
      <c r="BE13" s="212"/>
      <c r="BF13" s="212"/>
      <c r="BG13" s="211"/>
      <c r="BH13" s="6"/>
      <c r="BI13" s="6"/>
      <c r="BJ13" s="211"/>
      <c r="BK13" s="211"/>
      <c r="BL13" s="211"/>
      <c r="BM13" s="200"/>
      <c r="BN13" s="200"/>
      <c r="BO13" s="206"/>
      <c r="BP13" s="206"/>
      <c r="BQ13" s="200"/>
      <c r="BR13" s="200"/>
      <c r="BS13" s="200"/>
      <c r="BT13" s="200"/>
      <c r="BU13" s="200"/>
      <c r="BV13" s="200"/>
      <c r="BW13" s="200"/>
      <c r="BX13" s="200"/>
      <c r="BY13" s="200"/>
      <c r="BZ13" s="200"/>
      <c r="CA13" s="200"/>
      <c r="CB13" s="200"/>
      <c r="CC13" s="200"/>
      <c r="CD13" s="200"/>
      <c r="CE13" s="200"/>
      <c r="CF13" s="200"/>
      <c r="CG13" s="200"/>
      <c r="CH13" s="200"/>
    </row>
    <row r="14" spans="1:86" s="108" customFormat="1" x14ac:dyDescent="0.25">
      <c r="A14" s="207"/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2"/>
      <c r="O14" s="209"/>
      <c r="P14" s="208"/>
      <c r="Q14" s="209"/>
      <c r="R14" s="85">
        <v>0</v>
      </c>
      <c r="S14" s="86"/>
      <c r="T14" s="86"/>
      <c r="U14" s="86"/>
      <c r="V14" s="87"/>
      <c r="W14" s="107">
        <f>PRODUCT(R14:U14,(1+X14))</f>
        <v>0</v>
      </c>
      <c r="X14" s="84">
        <v>0</v>
      </c>
      <c r="Y14" s="209"/>
      <c r="Z14" s="276"/>
      <c r="AA14" s="206"/>
      <c r="AB14" s="209"/>
      <c r="AD14" s="200"/>
      <c r="AE14" s="200"/>
      <c r="AF14" s="200"/>
      <c r="AG14" s="200"/>
      <c r="AH14" s="200"/>
      <c r="AI14" s="200"/>
      <c r="AJ14" s="210"/>
      <c r="AK14" s="200"/>
      <c r="AL14" s="206"/>
      <c r="AM14" s="211"/>
      <c r="AN14" s="206"/>
      <c r="AO14" s="211"/>
      <c r="AP14" s="211"/>
      <c r="AQ14" s="211"/>
      <c r="AR14" s="211"/>
      <c r="AS14" s="211"/>
      <c r="AT14" s="211"/>
      <c r="AU14" s="211"/>
      <c r="AV14" s="212"/>
      <c r="AW14" s="211"/>
      <c r="AX14" s="211"/>
      <c r="AY14" s="211"/>
      <c r="AZ14" s="211"/>
      <c r="BA14" s="211"/>
      <c r="BB14" s="211"/>
      <c r="BC14" s="211"/>
      <c r="BD14" s="212"/>
      <c r="BE14" s="212"/>
      <c r="BF14" s="212"/>
      <c r="BG14" s="211"/>
      <c r="BH14" s="6"/>
      <c r="BI14" s="6"/>
      <c r="BJ14" s="211"/>
      <c r="BK14" s="211"/>
      <c r="BL14" s="211"/>
      <c r="BM14" s="200"/>
      <c r="BN14" s="200"/>
      <c r="BO14" s="206"/>
      <c r="BP14" s="206"/>
      <c r="BQ14" s="200"/>
      <c r="BR14" s="200"/>
      <c r="BS14" s="200"/>
      <c r="BT14" s="200"/>
      <c r="BU14" s="200"/>
      <c r="BV14" s="200"/>
      <c r="BW14" s="200"/>
      <c r="BX14" s="200"/>
      <c r="BY14" s="200"/>
      <c r="BZ14" s="200"/>
      <c r="CA14" s="200"/>
      <c r="CB14" s="200"/>
      <c r="CC14" s="200"/>
      <c r="CD14" s="200"/>
      <c r="CE14" s="200"/>
      <c r="CF14" s="200"/>
      <c r="CG14" s="200"/>
      <c r="CH14" s="200"/>
    </row>
    <row r="15" spans="1:86" s="108" customFormat="1" x14ac:dyDescent="0.25">
      <c r="A15" s="207"/>
      <c r="B15" s="207"/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2"/>
      <c r="O15" s="209"/>
      <c r="P15" s="208"/>
      <c r="Q15" s="209"/>
      <c r="R15" s="85">
        <v>0</v>
      </c>
      <c r="S15" s="86"/>
      <c r="T15" s="86"/>
      <c r="U15" s="86"/>
      <c r="V15" s="87"/>
      <c r="W15" s="107">
        <f>PRODUCT(R15:U15,(1+X15))</f>
        <v>0</v>
      </c>
      <c r="X15" s="84">
        <v>0</v>
      </c>
      <c r="Y15" s="209"/>
      <c r="Z15" s="276"/>
      <c r="AA15" s="206"/>
      <c r="AB15" s="209"/>
      <c r="AD15" s="6"/>
      <c r="AE15" s="6"/>
      <c r="AF15" s="6"/>
      <c r="AG15" s="6"/>
      <c r="AH15" s="6"/>
      <c r="AI15"/>
      <c r="AJ15" s="210"/>
      <c r="AK15" s="200"/>
      <c r="AL15" s="206"/>
      <c r="AM15" s="211"/>
      <c r="AN15" s="206"/>
      <c r="AO15" s="211"/>
      <c r="AP15" s="211"/>
      <c r="AQ15" s="211"/>
      <c r="AR15" s="211"/>
      <c r="AS15" s="211"/>
      <c r="AT15" s="211"/>
      <c r="AU15" s="211"/>
      <c r="AV15" s="212"/>
      <c r="AW15" s="211"/>
      <c r="AX15" s="211"/>
      <c r="AY15" s="211"/>
      <c r="AZ15" s="211"/>
      <c r="BA15" s="211"/>
      <c r="BB15" s="211"/>
      <c r="BC15" s="211"/>
      <c r="BD15" s="212"/>
      <c r="BE15" s="212"/>
      <c r="BF15" s="212"/>
      <c r="BG15" s="211"/>
      <c r="BH15" s="6"/>
      <c r="BI15" s="6"/>
      <c r="BJ15" s="200"/>
      <c r="BK15" s="200"/>
      <c r="BL15" s="200"/>
      <c r="BM15" s="200"/>
      <c r="BN15" s="200"/>
      <c r="BO15" s="206"/>
      <c r="BP15" s="206"/>
      <c r="BQ15" s="200"/>
      <c r="BR15" s="200"/>
      <c r="BS15" s="200"/>
      <c r="BT15" s="200"/>
      <c r="BU15" s="200"/>
      <c r="BV15" s="200"/>
      <c r="BW15" s="200"/>
      <c r="BX15" s="200"/>
      <c r="BY15" s="200"/>
      <c r="BZ15" s="200"/>
      <c r="CA15" s="200"/>
      <c r="CB15" s="200"/>
      <c r="CC15" s="200"/>
      <c r="CD15" s="200"/>
      <c r="CE15" s="200"/>
      <c r="CF15" s="200"/>
      <c r="CG15" s="200"/>
      <c r="CH15" s="200"/>
    </row>
    <row r="16" spans="1:86" s="108" customFormat="1" x14ac:dyDescent="0.25">
      <c r="A16" s="207"/>
      <c r="B16" s="207"/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2"/>
      <c r="O16" s="209"/>
      <c r="P16" s="208"/>
      <c r="Q16" s="209"/>
      <c r="R16" s="109"/>
      <c r="S16" s="109"/>
      <c r="T16" s="109"/>
      <c r="U16" s="109"/>
      <c r="V16" s="109"/>
      <c r="W16" s="109"/>
      <c r="X16" s="109"/>
      <c r="Y16" s="209"/>
      <c r="Z16" s="276"/>
      <c r="AA16" s="206"/>
      <c r="AB16" s="209"/>
      <c r="AD16" s="6"/>
      <c r="AE16" s="6"/>
      <c r="AF16" s="6"/>
      <c r="AG16" s="6"/>
      <c r="AH16" s="6"/>
      <c r="AI16"/>
      <c r="AJ16" s="210"/>
      <c r="AK16" s="200"/>
      <c r="AL16" s="206"/>
      <c r="AM16" s="211"/>
      <c r="AN16" s="206"/>
      <c r="AO16" s="211"/>
      <c r="AP16" s="211"/>
      <c r="AQ16" s="211"/>
      <c r="AR16" s="211"/>
      <c r="AS16" s="211"/>
      <c r="AT16" s="211"/>
      <c r="AU16" s="211"/>
      <c r="AV16" s="212"/>
      <c r="AW16" s="211"/>
      <c r="AX16" s="211"/>
      <c r="AY16" s="211"/>
      <c r="AZ16" s="211"/>
      <c r="BA16" s="211"/>
      <c r="BB16" s="211"/>
      <c r="BC16" s="211"/>
      <c r="BD16" s="212"/>
      <c r="BE16" s="212"/>
      <c r="BF16" s="212"/>
      <c r="BG16" s="211"/>
      <c r="BH16" s="6"/>
      <c r="BI16" s="6"/>
      <c r="BJ16" s="200"/>
      <c r="BK16" s="200"/>
      <c r="BL16" s="200"/>
      <c r="BM16" s="200"/>
      <c r="BN16" s="200"/>
      <c r="BO16" s="206"/>
      <c r="BP16" s="206"/>
      <c r="BQ16" s="200"/>
      <c r="BR16" s="200"/>
      <c r="BS16" s="200"/>
      <c r="BT16" s="200"/>
      <c r="BU16" s="200"/>
      <c r="BV16" s="200"/>
      <c r="BW16" s="200"/>
      <c r="BX16" s="200"/>
      <c r="BY16" s="200"/>
      <c r="BZ16" s="200"/>
      <c r="CA16" s="200"/>
      <c r="CB16" s="200"/>
      <c r="CC16" s="200"/>
      <c r="CD16" s="200"/>
      <c r="CE16" s="200"/>
      <c r="CF16" s="200"/>
      <c r="CG16" s="200"/>
      <c r="CH16" s="200"/>
    </row>
    <row r="17" spans="1:86" ht="15.6" x14ac:dyDescent="0.3">
      <c r="A17" s="118"/>
      <c r="B17" s="118">
        <f>SUM(AI9:AI17)</f>
        <v>0</v>
      </c>
      <c r="C17" s="119">
        <f>SUM(AK9:AK17)</f>
        <v>0</v>
      </c>
      <c r="D17" s="118">
        <f>SUM(AK9:AK17)</f>
        <v>0</v>
      </c>
      <c r="E17" s="119">
        <f>SUM(AO9:AO17)</f>
        <v>0</v>
      </c>
      <c r="F17" s="119">
        <f>SUM(BE9:BE17, BG9:BG17,BC9:BC17)</f>
        <v>0</v>
      </c>
      <c r="G17" s="119"/>
      <c r="H17" s="119">
        <f>SUM(AQ9:AQ17)+SUM(AR9:AR17)</f>
        <v>0</v>
      </c>
      <c r="I17" s="119">
        <f>SUM(AT9:AT17)+SUM(AP9:AP17)</f>
        <v>0</v>
      </c>
      <c r="J17" s="119"/>
      <c r="K17" s="119">
        <f>SUM(AX9:AX17)+SUM(AZ9:AZ17)+SUM(BB9:BB17)+SUM(AV9:AV17)</f>
        <v>0</v>
      </c>
      <c r="M17" s="119"/>
      <c r="N17" s="94" t="s">
        <v>52</v>
      </c>
      <c r="P17" s="95" t="str">
        <f>"Subtotal of Costs for "&amp;P9</f>
        <v xml:space="preserve">Subtotal of Costs for Subcontractor Net Costs </v>
      </c>
      <c r="R17" s="88"/>
      <c r="S17" s="88"/>
      <c r="T17" s="88"/>
      <c r="U17" s="88"/>
      <c r="V17" s="88"/>
      <c r="W17" s="88"/>
      <c r="X17" s="88"/>
      <c r="Z17" s="192">
        <f>SUM(AA9:AA17)</f>
        <v>0</v>
      </c>
      <c r="AA17" s="88"/>
      <c r="AJ17" s="92"/>
      <c r="AK17" s="92"/>
      <c r="AL17" s="92"/>
      <c r="AN17" s="92"/>
      <c r="AY17" s="42"/>
      <c r="AZ17" s="42"/>
    </row>
    <row r="18" spans="1:86" ht="15.6" x14ac:dyDescent="0.3">
      <c r="A18" s="118"/>
      <c r="B18" s="118"/>
      <c r="C18" s="119"/>
      <c r="D18" s="118"/>
      <c r="E18" s="119"/>
      <c r="F18" s="119"/>
      <c r="G18" s="119"/>
      <c r="H18" s="119"/>
      <c r="I18" s="119"/>
      <c r="J18" s="119"/>
      <c r="K18" s="119"/>
      <c r="M18" s="119"/>
      <c r="N18" s="94" t="s">
        <v>52</v>
      </c>
      <c r="P18" s="95"/>
      <c r="R18" s="88"/>
      <c r="S18" s="88"/>
      <c r="T18" s="88"/>
      <c r="U18" s="88"/>
      <c r="V18" s="88"/>
      <c r="W18" s="88"/>
      <c r="X18" s="88"/>
      <c r="Y18" s="192"/>
      <c r="Z18" s="192"/>
      <c r="AA18" s="88"/>
      <c r="AJ18" s="92"/>
      <c r="AK18" s="92"/>
      <c r="AL18" s="92"/>
      <c r="AN18" s="92"/>
      <c r="AY18" s="42"/>
      <c r="AZ18" s="42"/>
    </row>
    <row r="19" spans="1:86" ht="15.6" x14ac:dyDescent="0.3">
      <c r="C19" s="91"/>
      <c r="E19" s="91"/>
      <c r="F19" s="91"/>
      <c r="G19" s="91"/>
      <c r="H19" s="91"/>
      <c r="I19" s="91"/>
      <c r="J19" s="91"/>
      <c r="K19" s="91"/>
      <c r="L19" s="91"/>
      <c r="M19" s="91"/>
      <c r="N19" s="94" t="s">
        <v>52</v>
      </c>
      <c r="P19" s="423" t="s">
        <v>81</v>
      </c>
      <c r="R19" s="424"/>
      <c r="S19" s="425"/>
      <c r="T19" s="425"/>
      <c r="U19" s="425"/>
      <c r="V19" s="425"/>
      <c r="W19" s="425"/>
      <c r="X19" s="425"/>
      <c r="Y19" s="426"/>
      <c r="Z19" s="427"/>
      <c r="AA19" s="88"/>
      <c r="AJ19" s="88"/>
      <c r="AK19" s="88"/>
      <c r="AL19" s="88"/>
      <c r="AM19" s="42"/>
      <c r="AN19" s="88"/>
      <c r="AO19" s="42"/>
      <c r="AP19" s="42"/>
      <c r="AQ19" s="42"/>
      <c r="AR19" s="42"/>
      <c r="AS19" s="42"/>
      <c r="AT19" s="42"/>
      <c r="AU19" s="42"/>
      <c r="AV19" s="89"/>
      <c r="AW19" s="42"/>
      <c r="AX19" s="42"/>
      <c r="AY19" s="42"/>
      <c r="AZ19" s="42"/>
      <c r="BA19" s="42"/>
      <c r="BB19" s="42"/>
      <c r="BC19" s="42"/>
      <c r="BD19" s="89"/>
      <c r="BE19" s="89"/>
      <c r="BF19" s="89"/>
      <c r="BG19" s="42"/>
      <c r="BH19" s="42"/>
      <c r="BI19" s="42"/>
    </row>
    <row r="20" spans="1:86" s="98" customFormat="1" ht="15.6" x14ac:dyDescent="0.3">
      <c r="A20" s="200"/>
      <c r="B20" s="226">
        <v>0</v>
      </c>
      <c r="C20" s="226">
        <v>0</v>
      </c>
      <c r="D20" s="226">
        <v>0</v>
      </c>
      <c r="E20" s="226">
        <v>0</v>
      </c>
      <c r="F20" s="226">
        <v>0</v>
      </c>
      <c r="G20" s="199">
        <f>+G$4</f>
        <v>0</v>
      </c>
      <c r="H20" s="201">
        <f>AQ20+AR20</f>
        <v>0</v>
      </c>
      <c r="I20" s="226">
        <v>0</v>
      </c>
      <c r="J20" s="199">
        <f>+J$4</f>
        <v>0</v>
      </c>
      <c r="K20" s="201">
        <f>AV20+AX20+AZ20+BB20</f>
        <v>0</v>
      </c>
      <c r="L20" s="226">
        <v>0</v>
      </c>
      <c r="M20" s="199">
        <f>+M$4</f>
        <v>0</v>
      </c>
      <c r="N20" s="202" t="s">
        <v>52</v>
      </c>
      <c r="O20" s="224"/>
      <c r="P20" s="225" t="s">
        <v>51</v>
      </c>
      <c r="Q20" s="224" t="s">
        <v>35</v>
      </c>
      <c r="R20" s="100"/>
      <c r="S20" s="101"/>
      <c r="T20" s="101"/>
      <c r="U20" s="101"/>
      <c r="V20" s="102"/>
      <c r="W20" s="103"/>
      <c r="X20" s="104">
        <f>SUM(W21:W26)</f>
        <v>1</v>
      </c>
      <c r="Y20" s="203">
        <f>ROUNDUP(X20,1)</f>
        <v>1</v>
      </c>
      <c r="Z20" s="204">
        <f>_xlfn.IFNA(ROUNDUP(AJ20+AN20+AS20+AU20+L20+AW20+AY20+BA20+F20+BD20+BF20,2),0)</f>
        <v>0</v>
      </c>
      <c r="AA20" s="205">
        <f>ROUND(Z20*ROUNDUP(Y20,1),2)</f>
        <v>0</v>
      </c>
      <c r="AB20" s="433">
        <v>0</v>
      </c>
      <c r="AC20" s="667">
        <f>AA20*AB20</f>
        <v>0</v>
      </c>
      <c r="AD20" s="205">
        <f>_xlfn.IFNA(ROUNDUP(AM20*AB20,2),0)</f>
        <v>0</v>
      </c>
      <c r="AE20" s="205">
        <f>_xlfn.IFNA(ROUNDUP(AO20*AB20,2),0)</f>
        <v>0</v>
      </c>
      <c r="AF20" s="205">
        <f>_xlfn.IFNA(ROUNDUP((AT20+AP20)*AB20,2),0)</f>
        <v>0</v>
      </c>
      <c r="AG20" s="205">
        <f>_xlfn.IFNA(ROUNDUP((AX20+AZ20+AV20)*AB20,2),0)</f>
        <v>0</v>
      </c>
      <c r="AH20" s="205">
        <f>_xlfn.IFNA(ROUNDUP((BE20+BC20)*AB20,2),0)</f>
        <v>0</v>
      </c>
      <c r="AI20" s="205">
        <f>_xlfn.IFNA((BG20+BB20+AK20)*AB20,0)</f>
        <v>0</v>
      </c>
      <c r="AJ20" s="205">
        <f>+_xlfn.IFNA(D20,0)</f>
        <v>0</v>
      </c>
      <c r="AK20" s="205">
        <f>_xlfn.IFNA(ROUNDUP(D20*Y20,2),0)</f>
        <v>0</v>
      </c>
      <c r="AL20" s="205">
        <f>+_xlfn.IFNA(C20,0)</f>
        <v>0</v>
      </c>
      <c r="AM20" s="204">
        <f>_xlfn.IFNA(C20*Y20,0)</f>
        <v>0</v>
      </c>
      <c r="AN20" s="205">
        <f>+_xlfn.IFNA(E20,0)</f>
        <v>0</v>
      </c>
      <c r="AO20" s="204">
        <f>_xlfn.IFNA(E20*Y20,0)</f>
        <v>0</v>
      </c>
      <c r="AP20" s="204">
        <f>_xlfn.IFNA(ROUNDUP(ROUNDUP(Y20,1)*AU20,2),0)</f>
        <v>0</v>
      </c>
      <c r="AQ20" s="204">
        <f>_xlfn.IFNA(ROUNDUP(+I20*Y20,2),0)</f>
        <v>0</v>
      </c>
      <c r="AR20" s="204">
        <f>_xlfn.IFNA(J20*I20*Y20,0)</f>
        <v>0</v>
      </c>
      <c r="AS20" s="204">
        <f>_xlfn.IFNA(ROUNDUP(I20*I$4*J20,2),0)</f>
        <v>0</v>
      </c>
      <c r="AT20" s="204">
        <f>AS20*Y20</f>
        <v>0</v>
      </c>
      <c r="AU20" s="204">
        <f>_xlfn.IFNA(IF(I20=0,0,ROUNDUP(I$4*I20,2)),0)</f>
        <v>0</v>
      </c>
      <c r="AV20" s="204">
        <f>+_xlfn.IFNA(ROUNDUP(L20*ROUNDUP(Y20,1),2),0)</f>
        <v>0</v>
      </c>
      <c r="AW20" s="204">
        <f>_xlfn.IFNA(ROUNDUP(L20*L$2,2),0)</f>
        <v>0</v>
      </c>
      <c r="AX20" s="204">
        <f>+ROUNDUP(AW20*Y20,2)</f>
        <v>0</v>
      </c>
      <c r="AY20" s="204">
        <f>_xlfn.IFNA(ROUNDUP((L20+AW20)*M20,2),0)</f>
        <v>0</v>
      </c>
      <c r="AZ20" s="204">
        <f>ROUNDUP(AY20*Y20,2)</f>
        <v>0</v>
      </c>
      <c r="BA20" s="204">
        <f>_xlfn.IFNA(ROUNDUP(((L20+AW20+AY20)*(L$4))*L$3,2),0)</f>
        <v>0</v>
      </c>
      <c r="BB20" s="204">
        <f>ROUNDUP(+BA20*ROUNDUP(Y20,1),2)</f>
        <v>0</v>
      </c>
      <c r="BC20" s="204">
        <f>_xlfn.IFNA(ROUNDUP(F20*ROUNDUP(Y20,1),2),0)</f>
        <v>0</v>
      </c>
      <c r="BD20" s="204">
        <f>_xlfn.IFNA(ROUNDUP(F20*G20,2),0)</f>
        <v>0</v>
      </c>
      <c r="BE20" s="204">
        <f>ROUNDUP(BD20*Y20,2)</f>
        <v>0</v>
      </c>
      <c r="BF20" s="204">
        <f>_xlfn.IFNA(ROUNDUP(((ROUNDUP(F20+BD20,2)*F$4)*F$3),2),0)</f>
        <v>0</v>
      </c>
      <c r="BG20" s="204">
        <f>BF20*Y20</f>
        <v>0</v>
      </c>
      <c r="BH20" s="204"/>
      <c r="BI20" s="204"/>
      <c r="BJ20" s="204"/>
      <c r="BK20" s="204"/>
      <c r="BL20" s="204"/>
      <c r="BM20" s="200"/>
      <c r="BN20" s="200"/>
      <c r="BO20" s="200"/>
      <c r="BP20" s="200"/>
      <c r="BQ20" s="200"/>
      <c r="BR20" s="200"/>
      <c r="BS20" s="200"/>
      <c r="BT20" s="200"/>
      <c r="BU20" s="200"/>
      <c r="BV20" s="200"/>
      <c r="BW20" s="200"/>
      <c r="BX20" s="200"/>
      <c r="BY20" s="200"/>
      <c r="BZ20" s="200"/>
      <c r="CA20" s="200"/>
      <c r="CB20" s="200"/>
      <c r="CC20" s="200"/>
      <c r="CD20" s="200"/>
      <c r="CE20" s="200"/>
      <c r="CF20" s="200"/>
      <c r="CG20" s="200"/>
      <c r="CH20" s="200"/>
    </row>
    <row r="21" spans="1:86" s="98" customFormat="1" ht="15.6" x14ac:dyDescent="0.3">
      <c r="A21" s="200"/>
      <c r="C21" s="99"/>
      <c r="E21" s="99"/>
      <c r="F21" s="207"/>
      <c r="G21" s="207"/>
      <c r="H21" s="207"/>
      <c r="I21" s="207"/>
      <c r="J21" s="207"/>
      <c r="K21" s="207"/>
      <c r="L21" s="207"/>
      <c r="M21" s="207"/>
      <c r="N21" s="202"/>
      <c r="O21" s="200"/>
      <c r="P21" s="208"/>
      <c r="Q21" s="200"/>
      <c r="R21" s="105"/>
      <c r="S21" s="101"/>
      <c r="T21" s="101"/>
      <c r="U21" s="101"/>
      <c r="V21" s="84"/>
      <c r="W21" s="106"/>
      <c r="X21" s="103" t="s">
        <v>41</v>
      </c>
      <c r="Y21" s="209"/>
      <c r="Z21" s="276"/>
      <c r="AA21" s="206"/>
      <c r="AB21" s="200"/>
      <c r="AD21" s="6"/>
      <c r="AE21" s="6"/>
      <c r="AF21" s="6"/>
      <c r="AG21" s="6"/>
      <c r="AH21" s="6"/>
      <c r="AI21"/>
      <c r="AJ21" s="210"/>
      <c r="AK21" s="200"/>
      <c r="AL21" s="206"/>
      <c r="AM21" s="211"/>
      <c r="AN21" s="206"/>
      <c r="AO21" s="211"/>
      <c r="AP21" s="211"/>
      <c r="AQ21" s="211"/>
      <c r="AR21" s="211"/>
      <c r="AS21" s="211"/>
      <c r="AT21" s="211"/>
      <c r="AU21" s="211"/>
      <c r="AV21" s="212"/>
      <c r="AW21" s="211"/>
      <c r="AX21" s="211"/>
      <c r="AY21" s="211"/>
      <c r="AZ21" s="211"/>
      <c r="BA21" s="211"/>
      <c r="BB21" s="211"/>
      <c r="BC21" s="211"/>
      <c r="BD21" s="212"/>
      <c r="BE21" s="212"/>
      <c r="BF21" s="212"/>
      <c r="BG21" s="211"/>
      <c r="BH21" s="211"/>
      <c r="BI21" s="211"/>
      <c r="BJ21" s="211"/>
      <c r="BK21" s="211"/>
      <c r="BL21" s="211"/>
      <c r="BM21" s="200"/>
      <c r="BN21" s="200"/>
      <c r="BO21" s="200"/>
      <c r="BP21" s="200"/>
      <c r="BQ21" s="200"/>
      <c r="BR21" s="200"/>
      <c r="BS21" s="200"/>
      <c r="BT21" s="200"/>
      <c r="BU21" s="200"/>
      <c r="BV21" s="200"/>
      <c r="BW21" s="200"/>
      <c r="BX21" s="200"/>
      <c r="BY21" s="200"/>
      <c r="BZ21" s="200"/>
      <c r="CA21" s="200"/>
      <c r="CB21" s="200"/>
      <c r="CC21" s="200"/>
      <c r="CD21" s="200"/>
      <c r="CE21" s="200"/>
      <c r="CF21" s="200"/>
      <c r="CG21" s="200"/>
      <c r="CH21" s="200"/>
    </row>
    <row r="22" spans="1:86" s="108" customFormat="1" x14ac:dyDescent="0.25">
      <c r="A22" s="207"/>
      <c r="B22" s="207"/>
      <c r="C22" s="207"/>
      <c r="D22" s="207"/>
      <c r="E22" s="207"/>
      <c r="F22" s="207"/>
      <c r="G22" s="207"/>
      <c r="H22" s="207"/>
      <c r="I22" s="207"/>
      <c r="J22" s="207"/>
      <c r="K22" s="207"/>
      <c r="L22" s="207"/>
      <c r="M22" s="207"/>
      <c r="N22" s="202"/>
      <c r="O22" s="209"/>
      <c r="P22" s="208"/>
      <c r="Q22" s="209"/>
      <c r="R22" s="85">
        <v>1</v>
      </c>
      <c r="S22" s="86"/>
      <c r="T22" s="86"/>
      <c r="U22" s="86"/>
      <c r="V22" s="87"/>
      <c r="W22" s="107">
        <f>PRODUCT(R22:U22,(1+X22))</f>
        <v>1</v>
      </c>
      <c r="X22" s="84">
        <v>0</v>
      </c>
      <c r="Y22" s="209"/>
      <c r="Z22" s="276"/>
      <c r="AA22" s="206"/>
      <c r="AB22" s="209"/>
      <c r="AD22" s="200"/>
      <c r="AE22" s="200"/>
      <c r="AF22" s="200"/>
      <c r="AG22" s="200"/>
      <c r="AH22" s="200"/>
      <c r="AI22" s="200"/>
      <c r="AJ22" s="210"/>
      <c r="AK22" s="200"/>
      <c r="AL22" s="206"/>
      <c r="AM22" s="211"/>
      <c r="AN22" s="206"/>
      <c r="AO22" s="211"/>
      <c r="AP22" s="211"/>
      <c r="AQ22" s="211"/>
      <c r="AR22" s="211"/>
      <c r="AS22" s="211"/>
      <c r="AT22" s="211"/>
      <c r="AU22" s="211"/>
      <c r="AV22" s="212"/>
      <c r="AW22" s="211"/>
      <c r="AX22" s="211"/>
      <c r="AY22" s="211"/>
      <c r="AZ22" s="211"/>
      <c r="BA22" s="211"/>
      <c r="BB22" s="211"/>
      <c r="BC22" s="211"/>
      <c r="BD22" s="212"/>
      <c r="BE22" s="212"/>
      <c r="BF22" s="212"/>
      <c r="BG22" s="211"/>
      <c r="BH22" s="211"/>
      <c r="BI22" s="211"/>
      <c r="BJ22" s="211"/>
      <c r="BK22" s="211"/>
      <c r="BL22" s="211"/>
      <c r="BM22" s="200"/>
      <c r="BN22" s="200"/>
      <c r="BO22" s="200"/>
      <c r="BP22" s="200"/>
      <c r="BQ22" s="200"/>
      <c r="BR22" s="200"/>
      <c r="BS22" s="200"/>
      <c r="BT22" s="200"/>
      <c r="BU22" s="200"/>
      <c r="BV22" s="200"/>
      <c r="BW22" s="200"/>
      <c r="BX22" s="200"/>
      <c r="BY22" s="200"/>
      <c r="BZ22" s="200"/>
      <c r="CA22" s="200"/>
      <c r="CB22" s="200"/>
      <c r="CC22" s="200"/>
      <c r="CD22" s="200"/>
      <c r="CE22" s="200"/>
      <c r="CF22" s="200"/>
      <c r="CG22" s="200"/>
      <c r="CH22" s="200"/>
    </row>
    <row r="23" spans="1:86" s="108" customFormat="1" x14ac:dyDescent="0.25">
      <c r="A23" s="207"/>
      <c r="B23" s="207"/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2"/>
      <c r="O23" s="209"/>
      <c r="P23" s="208"/>
      <c r="Q23" s="209"/>
      <c r="R23" s="85">
        <v>0</v>
      </c>
      <c r="S23" s="86"/>
      <c r="T23" s="86"/>
      <c r="U23" s="86"/>
      <c r="V23" s="87"/>
      <c r="W23" s="107">
        <f>PRODUCT(R23:U23,(1+X23))</f>
        <v>0</v>
      </c>
      <c r="X23" s="84">
        <v>0</v>
      </c>
      <c r="Y23" s="209"/>
      <c r="Z23" s="276"/>
      <c r="AA23" s="206"/>
      <c r="AB23" s="209"/>
      <c r="AD23" s="200"/>
      <c r="AE23" s="200"/>
      <c r="AF23" s="200"/>
      <c r="AG23" s="200"/>
      <c r="AH23" s="200"/>
      <c r="AI23" s="200"/>
      <c r="AJ23" s="210"/>
      <c r="AK23" s="200"/>
      <c r="AL23" s="206"/>
      <c r="AM23" s="211"/>
      <c r="AN23" s="206"/>
      <c r="AO23" s="211"/>
      <c r="AP23" s="211"/>
      <c r="AQ23" s="211"/>
      <c r="AR23" s="211"/>
      <c r="AS23" s="211"/>
      <c r="AT23" s="211"/>
      <c r="AU23" s="211"/>
      <c r="AV23" s="212"/>
      <c r="AW23" s="211"/>
      <c r="AX23" s="211"/>
      <c r="AY23" s="211"/>
      <c r="AZ23" s="211"/>
      <c r="BA23" s="211"/>
      <c r="BB23" s="211"/>
      <c r="BC23" s="211"/>
      <c r="BD23" s="212"/>
      <c r="BE23" s="212"/>
      <c r="BF23" s="212"/>
      <c r="BG23" s="211"/>
      <c r="BH23" s="211"/>
      <c r="BI23" s="211"/>
      <c r="BJ23" s="211"/>
      <c r="BK23" s="211"/>
      <c r="BL23" s="211"/>
      <c r="BM23" s="200"/>
      <c r="BN23" s="200"/>
      <c r="BO23" s="200"/>
      <c r="BP23" s="200"/>
      <c r="BQ23" s="200"/>
      <c r="BR23" s="200"/>
      <c r="BS23" s="200"/>
      <c r="BT23" s="200"/>
      <c r="BU23" s="200"/>
      <c r="BV23" s="200"/>
      <c r="BW23" s="200"/>
      <c r="BX23" s="200"/>
      <c r="BY23" s="200"/>
      <c r="BZ23" s="200"/>
      <c r="CA23" s="200"/>
      <c r="CB23" s="200"/>
      <c r="CC23" s="200"/>
      <c r="CD23" s="200"/>
      <c r="CE23" s="200"/>
      <c r="CF23" s="200"/>
      <c r="CG23" s="200"/>
      <c r="CH23" s="200"/>
    </row>
    <row r="24" spans="1:86" s="108" customFormat="1" x14ac:dyDescent="0.25">
      <c r="A24" s="207"/>
      <c r="B24" s="207"/>
      <c r="C24" s="207"/>
      <c r="D24" s="207"/>
      <c r="E24" s="207"/>
      <c r="F24" s="207"/>
      <c r="G24" s="207"/>
      <c r="H24" s="207"/>
      <c r="I24" s="207"/>
      <c r="J24" s="207"/>
      <c r="K24" s="207"/>
      <c r="L24" s="207"/>
      <c r="M24" s="207"/>
      <c r="N24" s="202"/>
      <c r="O24" s="209"/>
      <c r="P24" s="208"/>
      <c r="Q24" s="209"/>
      <c r="R24" s="85">
        <v>0</v>
      </c>
      <c r="S24" s="86"/>
      <c r="T24" s="86"/>
      <c r="U24" s="86"/>
      <c r="V24" s="87"/>
      <c r="W24" s="107">
        <f>PRODUCT(R24:U24,(1+X24))</f>
        <v>0</v>
      </c>
      <c r="X24" s="84">
        <v>0</v>
      </c>
      <c r="Y24" s="209"/>
      <c r="Z24" s="276"/>
      <c r="AA24" s="206"/>
      <c r="AB24" s="209"/>
      <c r="AD24" s="200"/>
      <c r="AE24" s="200"/>
      <c r="AF24" s="200"/>
      <c r="AG24" s="200"/>
      <c r="AH24" s="200"/>
      <c r="AI24" s="200"/>
      <c r="AJ24" s="210"/>
      <c r="AK24" s="200"/>
      <c r="AL24" s="206"/>
      <c r="AM24" s="211"/>
      <c r="AN24" s="206"/>
      <c r="AO24" s="211"/>
      <c r="AP24" s="211"/>
      <c r="AQ24" s="211"/>
      <c r="AR24" s="211"/>
      <c r="AS24" s="211"/>
      <c r="AT24" s="211"/>
      <c r="AU24" s="211"/>
      <c r="AV24" s="212"/>
      <c r="AW24" s="211"/>
      <c r="AX24" s="211"/>
      <c r="AY24" s="211"/>
      <c r="AZ24" s="211"/>
      <c r="BA24" s="211"/>
      <c r="BB24" s="211"/>
      <c r="BC24" s="211"/>
      <c r="BD24" s="212"/>
      <c r="BE24" s="212"/>
      <c r="BF24" s="212"/>
      <c r="BG24" s="211"/>
      <c r="BH24" s="211"/>
      <c r="BI24" s="211"/>
      <c r="BJ24" s="211"/>
      <c r="BK24" s="211"/>
      <c r="BL24" s="211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</row>
    <row r="25" spans="1:86" s="108" customFormat="1" x14ac:dyDescent="0.25">
      <c r="A25" s="207"/>
      <c r="B25" s="207"/>
      <c r="C25" s="207"/>
      <c r="D25" s="207"/>
      <c r="E25" s="207"/>
      <c r="F25" s="207"/>
      <c r="G25" s="207"/>
      <c r="H25" s="207"/>
      <c r="I25" s="207"/>
      <c r="J25" s="207"/>
      <c r="K25" s="207"/>
      <c r="L25" s="207"/>
      <c r="M25" s="207"/>
      <c r="N25" s="202"/>
      <c r="O25" s="209"/>
      <c r="P25" s="208"/>
      <c r="Q25" s="209"/>
      <c r="R25" s="85">
        <v>0</v>
      </c>
      <c r="S25" s="86"/>
      <c r="T25" s="86"/>
      <c r="U25" s="86"/>
      <c r="V25" s="87"/>
      <c r="W25" s="107">
        <f>PRODUCT(R25:U25,(1+X25))</f>
        <v>0</v>
      </c>
      <c r="X25" s="84">
        <v>0</v>
      </c>
      <c r="Y25" s="209"/>
      <c r="Z25" s="276"/>
      <c r="AA25" s="206"/>
      <c r="AB25" s="209"/>
      <c r="AD25" s="6"/>
      <c r="AE25" s="6"/>
      <c r="AF25" s="6"/>
      <c r="AG25" s="6"/>
      <c r="AH25" s="6"/>
      <c r="AI25"/>
      <c r="AJ25" s="210"/>
      <c r="AK25" s="200"/>
      <c r="AL25" s="206"/>
      <c r="AM25" s="211"/>
      <c r="AN25" s="206"/>
      <c r="AO25" s="211"/>
      <c r="AP25" s="211"/>
      <c r="AQ25" s="211"/>
      <c r="AR25" s="211"/>
      <c r="AS25" s="211"/>
      <c r="AT25" s="211"/>
      <c r="AU25" s="211"/>
      <c r="AV25" s="212"/>
      <c r="AW25" s="211"/>
      <c r="AX25" s="211"/>
      <c r="AY25" s="211"/>
      <c r="AZ25" s="211"/>
      <c r="BA25" s="211"/>
      <c r="BB25" s="211"/>
      <c r="BC25" s="211"/>
      <c r="BD25" s="212"/>
      <c r="BE25" s="212"/>
      <c r="BF25" s="212"/>
      <c r="BG25" s="211"/>
      <c r="BH25" s="211"/>
      <c r="BI25" s="211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</row>
    <row r="26" spans="1:86" s="108" customFormat="1" x14ac:dyDescent="0.25">
      <c r="A26" s="207"/>
      <c r="B26" s="207"/>
      <c r="C26" s="207"/>
      <c r="D26" s="207"/>
      <c r="E26" s="207"/>
      <c r="F26" s="207"/>
      <c r="G26" s="207"/>
      <c r="H26" s="207"/>
      <c r="I26" s="207"/>
      <c r="J26" s="207"/>
      <c r="K26" s="207"/>
      <c r="L26" s="207"/>
      <c r="M26" s="207"/>
      <c r="N26" s="202"/>
      <c r="O26" s="209"/>
      <c r="P26" s="208"/>
      <c r="Q26" s="209"/>
      <c r="R26" s="109"/>
      <c r="S26" s="109"/>
      <c r="T26" s="109"/>
      <c r="U26" s="109"/>
      <c r="V26" s="109"/>
      <c r="W26" s="109"/>
      <c r="X26" s="109"/>
      <c r="Y26" s="209"/>
      <c r="Z26" s="276"/>
      <c r="AA26" s="206"/>
      <c r="AB26" s="209"/>
      <c r="AD26" s="6"/>
      <c r="AE26" s="6"/>
      <c r="AF26" s="6"/>
      <c r="AG26" s="6"/>
      <c r="AH26" s="6"/>
      <c r="AI26"/>
      <c r="AJ26" s="210"/>
      <c r="AK26" s="200"/>
      <c r="AL26" s="206"/>
      <c r="AM26" s="211"/>
      <c r="AN26" s="206"/>
      <c r="AO26" s="211"/>
      <c r="AP26" s="211"/>
      <c r="AQ26" s="211"/>
      <c r="AR26" s="211"/>
      <c r="AS26" s="211"/>
      <c r="AT26" s="211"/>
      <c r="AU26" s="211"/>
      <c r="AV26" s="212"/>
      <c r="AW26" s="211"/>
      <c r="AX26" s="211"/>
      <c r="AY26" s="211"/>
      <c r="AZ26" s="211"/>
      <c r="BA26" s="211"/>
      <c r="BB26" s="211"/>
      <c r="BC26" s="211"/>
      <c r="BD26" s="212"/>
      <c r="BE26" s="212"/>
      <c r="BF26" s="212"/>
      <c r="BG26" s="211"/>
      <c r="BH26" s="211"/>
      <c r="BI26" s="211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</row>
    <row r="27" spans="1:86" ht="15.6" x14ac:dyDescent="0.3">
      <c r="A27" s="118"/>
      <c r="B27" s="118">
        <f>SUM(AI19:AI27)</f>
        <v>0</v>
      </c>
      <c r="C27" s="119">
        <f>SUM(AK19:AK27)</f>
        <v>0</v>
      </c>
      <c r="D27" s="118">
        <f>SUM(AK19:AK27)</f>
        <v>0</v>
      </c>
      <c r="E27" s="119">
        <f>SUM(AO19:AO27)</f>
        <v>0</v>
      </c>
      <c r="F27" s="119">
        <f>SUM(BE19:BE27, BG19:BG27,BC19:BC27)</f>
        <v>0</v>
      </c>
      <c r="G27" s="119"/>
      <c r="H27" s="119">
        <f>SUM(AQ19:AQ27)+SUM(AR19:AR27)</f>
        <v>0</v>
      </c>
      <c r="I27" s="119">
        <f>SUM(AT19:AT27)+SUM(AP19:AP27)</f>
        <v>0</v>
      </c>
      <c r="J27" s="119"/>
      <c r="K27" s="119">
        <f>SUM(AX19:AX27)+SUM(AZ19:AZ27)+SUM(BB19:BB27)+SUM(AV19:AV27)</f>
        <v>0</v>
      </c>
      <c r="M27" s="119"/>
      <c r="N27" s="94" t="s">
        <v>52</v>
      </c>
      <c r="P27" s="95" t="str">
        <f>"Subtotal of Costs for "&amp;P19</f>
        <v>Subtotal of Costs for Materials Net Cost</v>
      </c>
      <c r="R27" s="88"/>
      <c r="S27" s="88"/>
      <c r="T27" s="88"/>
      <c r="U27" s="88"/>
      <c r="V27" s="88"/>
      <c r="W27" s="88"/>
      <c r="X27" s="88"/>
      <c r="Z27" s="127">
        <f>SUM(AA19:AA27)</f>
        <v>0</v>
      </c>
      <c r="AA27" s="88"/>
      <c r="AJ27" s="92"/>
      <c r="AK27" s="92"/>
      <c r="AL27" s="92"/>
      <c r="AN27" s="92"/>
      <c r="AY27" s="42"/>
      <c r="AZ27" s="42"/>
    </row>
    <row r="28" spans="1:86" ht="15.6" x14ac:dyDescent="0.3">
      <c r="A28" s="118"/>
      <c r="B28" s="118"/>
      <c r="C28" s="119"/>
      <c r="D28" s="118"/>
      <c r="E28" s="119"/>
      <c r="F28" s="119"/>
      <c r="G28" s="119"/>
      <c r="H28" s="119"/>
      <c r="I28" s="119"/>
      <c r="J28" s="119"/>
      <c r="K28" s="119"/>
      <c r="M28" s="119"/>
      <c r="N28" s="94" t="s">
        <v>52</v>
      </c>
      <c r="P28" s="95"/>
      <c r="R28" s="88"/>
      <c r="S28" s="88"/>
      <c r="T28" s="88"/>
      <c r="U28" s="88"/>
      <c r="V28" s="88"/>
      <c r="W28" s="88"/>
      <c r="X28" s="88"/>
      <c r="Y28" s="192"/>
      <c r="Z28" s="192"/>
      <c r="AA28" s="88"/>
      <c r="AJ28" s="92"/>
      <c r="AK28" s="92"/>
      <c r="AL28" s="92"/>
      <c r="AN28" s="92"/>
      <c r="AY28" s="42"/>
      <c r="AZ28" s="42"/>
    </row>
    <row r="29" spans="1:86" ht="15.6" x14ac:dyDescent="0.3">
      <c r="C29" s="91"/>
      <c r="E29" s="91"/>
      <c r="F29" s="91"/>
      <c r="G29" s="91"/>
      <c r="H29" s="91"/>
      <c r="I29" s="91"/>
      <c r="J29" s="91"/>
      <c r="K29" s="91"/>
      <c r="L29" s="91"/>
      <c r="M29" s="91"/>
      <c r="N29" s="94" t="s">
        <v>52</v>
      </c>
      <c r="P29" s="423" t="s">
        <v>82</v>
      </c>
      <c r="R29" s="424"/>
      <c r="S29" s="425"/>
      <c r="T29" s="425"/>
      <c r="U29" s="425"/>
      <c r="V29" s="425"/>
      <c r="W29" s="425"/>
      <c r="X29" s="425"/>
      <c r="Y29" s="426"/>
      <c r="Z29" s="427"/>
      <c r="AA29" s="88"/>
      <c r="AJ29" s="88"/>
      <c r="AK29" s="88"/>
      <c r="AL29" s="88"/>
      <c r="AM29" s="42"/>
      <c r="AN29" s="88"/>
      <c r="AO29" s="42"/>
      <c r="AP29" s="42"/>
      <c r="AQ29" s="42"/>
      <c r="AR29" s="42"/>
      <c r="AS29" s="42"/>
      <c r="AT29" s="42"/>
      <c r="AU29" s="42"/>
      <c r="AV29" s="89"/>
      <c r="AW29" s="42"/>
      <c r="AX29" s="42"/>
      <c r="AY29" s="42"/>
      <c r="AZ29" s="42"/>
      <c r="BA29" s="42"/>
      <c r="BB29" s="42"/>
      <c r="BC29" s="42"/>
      <c r="BD29" s="89"/>
      <c r="BE29" s="89"/>
      <c r="BF29" s="89"/>
      <c r="BG29" s="42"/>
      <c r="BH29" s="42"/>
      <c r="BI29" s="42"/>
    </row>
    <row r="30" spans="1:86" s="98" customFormat="1" ht="15.6" x14ac:dyDescent="0.3">
      <c r="A30" s="200"/>
      <c r="B30" s="226">
        <v>0</v>
      </c>
      <c r="C30" s="226">
        <v>0</v>
      </c>
      <c r="D30" s="226">
        <v>0</v>
      </c>
      <c r="E30" s="226">
        <v>0</v>
      </c>
      <c r="F30" s="226">
        <v>0</v>
      </c>
      <c r="G30" s="199">
        <f>+G$4</f>
        <v>0</v>
      </c>
      <c r="H30" s="201">
        <f>AQ30+AR30</f>
        <v>0</v>
      </c>
      <c r="I30" s="226">
        <v>0</v>
      </c>
      <c r="J30" s="199">
        <f>+J$4</f>
        <v>0</v>
      </c>
      <c r="K30" s="201">
        <f>AV30+AX30+AZ30+BB30</f>
        <v>0</v>
      </c>
      <c r="L30" s="226">
        <v>0</v>
      </c>
      <c r="M30" s="199">
        <f>+M$4</f>
        <v>0</v>
      </c>
      <c r="N30" s="202" t="s">
        <v>52</v>
      </c>
      <c r="O30" s="224"/>
      <c r="P30" s="225" t="s">
        <v>51</v>
      </c>
      <c r="Q30" s="224" t="s">
        <v>35</v>
      </c>
      <c r="R30" s="100"/>
      <c r="S30" s="101"/>
      <c r="T30" s="101"/>
      <c r="U30" s="101"/>
      <c r="V30" s="102"/>
      <c r="W30" s="103"/>
      <c r="X30" s="104">
        <f>SUM(W31:W36)</f>
        <v>1</v>
      </c>
      <c r="Y30" s="203">
        <f>ROUNDUP(X30,1)</f>
        <v>1</v>
      </c>
      <c r="Z30" s="204">
        <f>_xlfn.IFNA(ROUNDUP(AJ30+AN30+AS30+AU30+L30+AW30+AY30+BA30+F30+BD30+BF30,2),0)</f>
        <v>0</v>
      </c>
      <c r="AA30" s="205">
        <f>ROUND(Z30*ROUNDUP(Y30,1),2)</f>
        <v>0</v>
      </c>
      <c r="AB30" s="433">
        <v>0</v>
      </c>
      <c r="AC30" s="667">
        <f>AA30*AB30</f>
        <v>0</v>
      </c>
      <c r="AD30" s="205">
        <f>_xlfn.IFNA(ROUNDUP(AM30*AB30,2),0)</f>
        <v>0</v>
      </c>
      <c r="AE30" s="205">
        <f>_xlfn.IFNA(ROUNDUP(AO30*AB30,2),0)</f>
        <v>0</v>
      </c>
      <c r="AF30" s="205">
        <f>_xlfn.IFNA(ROUNDUP((AT30+AP30)*AB30,2),0)</f>
        <v>0</v>
      </c>
      <c r="AG30" s="205">
        <f>_xlfn.IFNA(ROUNDUP((AX30+AZ30+AV30)*AB30,2),0)</f>
        <v>0</v>
      </c>
      <c r="AH30" s="205">
        <f>_xlfn.IFNA(ROUNDUP((BE30+BC30)*AB30,2),0)</f>
        <v>0</v>
      </c>
      <c r="AI30" s="205">
        <f>_xlfn.IFNA((BG30+BB30+AK30)*AB30,0)</f>
        <v>0</v>
      </c>
      <c r="AJ30" s="205">
        <f>+_xlfn.IFNA(D30,0)</f>
        <v>0</v>
      </c>
      <c r="AK30" s="205">
        <f>_xlfn.IFNA(ROUNDUP(D30*Y30,2),0)</f>
        <v>0</v>
      </c>
      <c r="AL30" s="205">
        <f>+_xlfn.IFNA(C30,0)</f>
        <v>0</v>
      </c>
      <c r="AM30" s="204">
        <f>_xlfn.IFNA(C30*Y30,0)</f>
        <v>0</v>
      </c>
      <c r="AN30" s="205">
        <f>+_xlfn.IFNA(E30,0)</f>
        <v>0</v>
      </c>
      <c r="AO30" s="204">
        <f>_xlfn.IFNA(E30*Y30,0)</f>
        <v>0</v>
      </c>
      <c r="AP30" s="204">
        <f>_xlfn.IFNA(ROUNDUP(ROUNDUP(Y30,1)*AU30,2),0)</f>
        <v>0</v>
      </c>
      <c r="AQ30" s="204">
        <f>_xlfn.IFNA(ROUNDUP(+I30*Y30,2),0)</f>
        <v>0</v>
      </c>
      <c r="AR30" s="204">
        <f>_xlfn.IFNA(J30*I30*Y30,0)</f>
        <v>0</v>
      </c>
      <c r="AS30" s="204">
        <f>_xlfn.IFNA(ROUNDUP(I30*I$4*J30,2),0)</f>
        <v>0</v>
      </c>
      <c r="AT30" s="204">
        <f>AS30*Y30</f>
        <v>0</v>
      </c>
      <c r="AU30" s="204">
        <f>_xlfn.IFNA(IF(I30=0,0,ROUNDUP(I$4*I30,2)),0)</f>
        <v>0</v>
      </c>
      <c r="AV30" s="204">
        <f>+_xlfn.IFNA(ROUNDUP(L30*ROUNDUP(Y30,1),2),0)</f>
        <v>0</v>
      </c>
      <c r="AW30" s="204">
        <f>_xlfn.IFNA(ROUNDUP(L30*L$2,2),0)</f>
        <v>0</v>
      </c>
      <c r="AX30" s="204">
        <f>+ROUNDUP(AW30*Y30,2)</f>
        <v>0</v>
      </c>
      <c r="AY30" s="204">
        <f>_xlfn.IFNA(ROUNDUP((L30+AW30)*M30,2),0)</f>
        <v>0</v>
      </c>
      <c r="AZ30" s="204">
        <f>ROUNDUP(AY30*Y30,2)</f>
        <v>0</v>
      </c>
      <c r="BA30" s="204">
        <f>_xlfn.IFNA(ROUNDUP(((L30+AW30+AY30)*(L$4))*L$3,2),0)</f>
        <v>0</v>
      </c>
      <c r="BB30" s="204">
        <f>ROUNDUP(+BA30*ROUNDUP(Y30,1),2)</f>
        <v>0</v>
      </c>
      <c r="BC30" s="204">
        <f>_xlfn.IFNA(ROUNDUP(F30*ROUNDUP(Y30,1),2),0)</f>
        <v>0</v>
      </c>
      <c r="BD30" s="204">
        <f>_xlfn.IFNA(ROUNDUP(F30*G30,2),0)</f>
        <v>0</v>
      </c>
      <c r="BE30" s="204">
        <f>ROUNDUP(BD30*Y30,2)</f>
        <v>0</v>
      </c>
      <c r="BF30" s="204">
        <f>_xlfn.IFNA(ROUNDUP(((ROUNDUP(F30+BD30,2)*F$4)*F$3),2),0)</f>
        <v>0</v>
      </c>
      <c r="BG30" s="204">
        <f>BF30*Y30</f>
        <v>0</v>
      </c>
      <c r="BH30" s="204"/>
      <c r="BI30" s="204"/>
      <c r="BJ30" s="204"/>
      <c r="BK30" s="204"/>
      <c r="BL30" s="204"/>
      <c r="BM30" s="200"/>
      <c r="BN30" s="200"/>
      <c r="BO30" s="200"/>
      <c r="BP30" s="200"/>
      <c r="BQ30" s="200"/>
      <c r="BR30" s="200"/>
      <c r="BS30" s="200"/>
      <c r="BT30" s="200"/>
      <c r="BU30" s="200"/>
      <c r="BV30" s="200"/>
      <c r="BW30" s="200"/>
      <c r="BX30" s="200"/>
      <c r="BY30" s="200"/>
      <c r="BZ30" s="200"/>
      <c r="CA30" s="200"/>
      <c r="CB30" s="200"/>
      <c r="CC30" s="200"/>
      <c r="CD30" s="200"/>
      <c r="CE30" s="200"/>
      <c r="CF30" s="200"/>
      <c r="CG30" s="200"/>
      <c r="CH30" s="200"/>
    </row>
    <row r="31" spans="1:86" s="98" customFormat="1" ht="15.6" x14ac:dyDescent="0.3">
      <c r="A31" s="200"/>
      <c r="B31" s="200"/>
      <c r="C31" s="207"/>
      <c r="D31" s="200"/>
      <c r="E31" s="207"/>
      <c r="F31" s="207"/>
      <c r="G31" s="207"/>
      <c r="H31" s="207"/>
      <c r="I31" s="207"/>
      <c r="J31" s="207"/>
      <c r="K31" s="207"/>
      <c r="L31" s="207"/>
      <c r="M31" s="207"/>
      <c r="N31" s="202"/>
      <c r="O31" s="200"/>
      <c r="P31" s="208"/>
      <c r="Q31" s="200"/>
      <c r="R31" s="105"/>
      <c r="S31" s="101"/>
      <c r="T31" s="101"/>
      <c r="U31" s="101"/>
      <c r="V31" s="84"/>
      <c r="W31" s="106"/>
      <c r="X31" s="103" t="s">
        <v>41</v>
      </c>
      <c r="Y31" s="209"/>
      <c r="Z31" s="276"/>
      <c r="AA31" s="206"/>
      <c r="AB31" s="200"/>
      <c r="AD31" s="6"/>
      <c r="AE31" s="6"/>
      <c r="AF31" s="6"/>
      <c r="AG31" s="6"/>
      <c r="AH31" s="6"/>
      <c r="AI31"/>
      <c r="AJ31" s="210"/>
      <c r="AK31" s="200"/>
      <c r="AL31" s="206"/>
      <c r="AM31" s="211"/>
      <c r="AN31" s="206"/>
      <c r="AO31" s="211"/>
      <c r="AP31" s="211"/>
      <c r="AQ31" s="211"/>
      <c r="AR31" s="211"/>
      <c r="AS31" s="211"/>
      <c r="AT31" s="211"/>
      <c r="AU31" s="211"/>
      <c r="AV31" s="212"/>
      <c r="AW31" s="211"/>
      <c r="AX31" s="211"/>
      <c r="AY31" s="211"/>
      <c r="AZ31" s="211"/>
      <c r="BA31" s="211"/>
      <c r="BB31" s="211"/>
      <c r="BC31" s="211"/>
      <c r="BD31" s="212"/>
      <c r="BE31" s="212"/>
      <c r="BF31" s="212"/>
      <c r="BG31" s="211"/>
      <c r="BH31" s="211"/>
      <c r="BI31" s="211"/>
      <c r="BJ31" s="211"/>
      <c r="BK31" s="211"/>
      <c r="BL31" s="211"/>
      <c r="BM31" s="200"/>
      <c r="BN31" s="200"/>
      <c r="BO31" s="200"/>
      <c r="BP31" s="200"/>
      <c r="BQ31" s="200"/>
      <c r="BR31" s="200"/>
      <c r="BS31" s="200"/>
      <c r="BT31" s="200"/>
      <c r="BU31" s="200"/>
      <c r="BV31" s="200"/>
      <c r="BW31" s="200"/>
      <c r="BX31" s="200"/>
      <c r="BY31" s="200"/>
      <c r="BZ31" s="200"/>
      <c r="CA31" s="200"/>
      <c r="CB31" s="200"/>
      <c r="CC31" s="200"/>
      <c r="CD31" s="200"/>
      <c r="CE31" s="200"/>
      <c r="CF31" s="200"/>
      <c r="CG31" s="200"/>
      <c r="CH31" s="200"/>
    </row>
    <row r="32" spans="1:86" s="108" customFormat="1" x14ac:dyDescent="0.25">
      <c r="A32" s="207"/>
      <c r="B32" s="207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2"/>
      <c r="O32" s="209"/>
      <c r="P32" s="208"/>
      <c r="Q32" s="209"/>
      <c r="R32" s="85">
        <v>1</v>
      </c>
      <c r="S32" s="86"/>
      <c r="T32" s="86"/>
      <c r="U32" s="86"/>
      <c r="V32" s="87"/>
      <c r="W32" s="107">
        <f>PRODUCT(R32:U32,(1+X32))</f>
        <v>1</v>
      </c>
      <c r="X32" s="84">
        <v>0</v>
      </c>
      <c r="Y32" s="209"/>
      <c r="Z32" s="276"/>
      <c r="AA32" s="206"/>
      <c r="AB32" s="209"/>
      <c r="AD32" s="200"/>
      <c r="AE32" s="200"/>
      <c r="AF32" s="200"/>
      <c r="AG32" s="200"/>
      <c r="AH32" s="200"/>
      <c r="AI32" s="200"/>
      <c r="AJ32" s="210"/>
      <c r="AK32" s="200"/>
      <c r="AL32" s="206"/>
      <c r="AM32" s="211"/>
      <c r="AN32" s="206"/>
      <c r="AO32" s="211"/>
      <c r="AP32" s="211"/>
      <c r="AQ32" s="211"/>
      <c r="AR32" s="211"/>
      <c r="AS32" s="211"/>
      <c r="AT32" s="211"/>
      <c r="AU32" s="211"/>
      <c r="AV32" s="212"/>
      <c r="AW32" s="211"/>
      <c r="AX32" s="211"/>
      <c r="AY32" s="211"/>
      <c r="AZ32" s="211"/>
      <c r="BA32" s="211"/>
      <c r="BB32" s="211"/>
      <c r="BC32" s="211"/>
      <c r="BD32" s="212"/>
      <c r="BE32" s="212"/>
      <c r="BF32" s="212"/>
      <c r="BG32" s="211"/>
      <c r="BH32" s="211"/>
      <c r="BI32" s="211"/>
      <c r="BJ32" s="211"/>
      <c r="BK32" s="211"/>
      <c r="BL32" s="211"/>
      <c r="BM32" s="200"/>
      <c r="BN32" s="200"/>
      <c r="BO32" s="200"/>
      <c r="BP32" s="200"/>
      <c r="BQ32" s="200"/>
      <c r="BR32" s="200"/>
      <c r="BS32" s="200"/>
      <c r="BT32" s="200"/>
      <c r="BU32" s="200"/>
      <c r="BV32" s="200"/>
      <c r="BW32" s="200"/>
      <c r="BX32" s="200"/>
      <c r="BY32" s="200"/>
      <c r="BZ32" s="200"/>
      <c r="CA32" s="200"/>
      <c r="CB32" s="200"/>
      <c r="CC32" s="200"/>
      <c r="CD32" s="200"/>
      <c r="CE32" s="200"/>
      <c r="CF32" s="200"/>
      <c r="CG32" s="200"/>
      <c r="CH32" s="200"/>
    </row>
    <row r="33" spans="1:86" s="108" customFormat="1" x14ac:dyDescent="0.25">
      <c r="A33" s="207"/>
      <c r="B33" s="207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2"/>
      <c r="O33" s="209"/>
      <c r="P33" s="208"/>
      <c r="Q33" s="209"/>
      <c r="R33" s="85">
        <v>0</v>
      </c>
      <c r="S33" s="86"/>
      <c r="T33" s="86"/>
      <c r="U33" s="86"/>
      <c r="V33" s="87"/>
      <c r="W33" s="107">
        <f>PRODUCT(R33:U33,(1+X33))</f>
        <v>0</v>
      </c>
      <c r="X33" s="84">
        <v>0</v>
      </c>
      <c r="Y33" s="209"/>
      <c r="Z33" s="276"/>
      <c r="AA33" s="206"/>
      <c r="AB33" s="209"/>
      <c r="AD33" s="200"/>
      <c r="AE33" s="200"/>
      <c r="AF33" s="200"/>
      <c r="AG33" s="200"/>
      <c r="AH33" s="200"/>
      <c r="AI33" s="200"/>
      <c r="AJ33" s="210"/>
      <c r="AK33" s="200"/>
      <c r="AL33" s="206"/>
      <c r="AM33" s="211"/>
      <c r="AN33" s="206"/>
      <c r="AO33" s="211"/>
      <c r="AP33" s="211"/>
      <c r="AQ33" s="211"/>
      <c r="AR33" s="211"/>
      <c r="AS33" s="211"/>
      <c r="AT33" s="211"/>
      <c r="AU33" s="211"/>
      <c r="AV33" s="212"/>
      <c r="AW33" s="211"/>
      <c r="AX33" s="211"/>
      <c r="AY33" s="211"/>
      <c r="AZ33" s="211"/>
      <c r="BA33" s="211"/>
      <c r="BB33" s="211"/>
      <c r="BC33" s="211"/>
      <c r="BD33" s="212"/>
      <c r="BE33" s="212"/>
      <c r="BF33" s="212"/>
      <c r="BG33" s="211"/>
      <c r="BH33" s="211"/>
      <c r="BI33" s="211"/>
      <c r="BJ33" s="211"/>
      <c r="BK33" s="211"/>
      <c r="BL33" s="211"/>
      <c r="BM33" s="200"/>
      <c r="BN33" s="200"/>
      <c r="BO33" s="200"/>
      <c r="BP33" s="200"/>
      <c r="BQ33" s="200"/>
      <c r="BR33" s="200"/>
      <c r="BS33" s="200"/>
      <c r="BT33" s="200"/>
      <c r="BU33" s="200"/>
      <c r="BV33" s="200"/>
      <c r="BW33" s="200"/>
      <c r="BX33" s="200"/>
      <c r="BY33" s="200"/>
      <c r="BZ33" s="200"/>
      <c r="CA33" s="200"/>
      <c r="CB33" s="200"/>
      <c r="CC33" s="200"/>
      <c r="CD33" s="200"/>
      <c r="CE33" s="200"/>
      <c r="CF33" s="200"/>
      <c r="CG33" s="200"/>
      <c r="CH33" s="200"/>
    </row>
    <row r="34" spans="1:86" s="108" customFormat="1" x14ac:dyDescent="0.25">
      <c r="A34" s="207"/>
      <c r="B34" s="207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2"/>
      <c r="O34" s="209"/>
      <c r="P34" s="208"/>
      <c r="Q34" s="209"/>
      <c r="R34" s="85">
        <v>0</v>
      </c>
      <c r="S34" s="86"/>
      <c r="T34" s="86"/>
      <c r="U34" s="86"/>
      <c r="V34" s="87"/>
      <c r="W34" s="107">
        <f>PRODUCT(R34:U34,(1+X34))</f>
        <v>0</v>
      </c>
      <c r="X34" s="84">
        <v>0</v>
      </c>
      <c r="Y34" s="209"/>
      <c r="Z34" s="276"/>
      <c r="AA34" s="206"/>
      <c r="AB34" s="209"/>
      <c r="AD34" s="200"/>
      <c r="AE34" s="200"/>
      <c r="AF34" s="200"/>
      <c r="AG34" s="200"/>
      <c r="AH34" s="200"/>
      <c r="AI34" s="200"/>
      <c r="AJ34" s="210"/>
      <c r="AK34" s="200"/>
      <c r="AL34" s="206"/>
      <c r="AM34" s="211"/>
      <c r="AN34" s="206"/>
      <c r="AO34" s="211"/>
      <c r="AP34" s="211"/>
      <c r="AQ34" s="211"/>
      <c r="AR34" s="211"/>
      <c r="AS34" s="211"/>
      <c r="AT34" s="211"/>
      <c r="AU34" s="211"/>
      <c r="AV34" s="212"/>
      <c r="AW34" s="211"/>
      <c r="AX34" s="211"/>
      <c r="AY34" s="211"/>
      <c r="AZ34" s="211"/>
      <c r="BA34" s="211"/>
      <c r="BB34" s="211"/>
      <c r="BC34" s="211"/>
      <c r="BD34" s="212"/>
      <c r="BE34" s="212"/>
      <c r="BF34" s="212"/>
      <c r="BG34" s="211"/>
      <c r="BH34" s="211"/>
      <c r="BI34" s="211"/>
      <c r="BJ34" s="211"/>
      <c r="BK34" s="211"/>
      <c r="BL34" s="211"/>
      <c r="BM34" s="200"/>
      <c r="BN34" s="200"/>
      <c r="BO34" s="200"/>
      <c r="BP34" s="200"/>
      <c r="BQ34" s="200"/>
      <c r="BR34" s="200"/>
      <c r="BS34" s="200"/>
      <c r="BT34" s="200"/>
      <c r="BU34" s="200"/>
      <c r="BV34" s="200"/>
      <c r="BW34" s="200"/>
      <c r="BX34" s="200"/>
      <c r="BY34" s="200"/>
      <c r="BZ34" s="200"/>
      <c r="CA34" s="200"/>
      <c r="CB34" s="200"/>
      <c r="CC34" s="200"/>
      <c r="CD34" s="200"/>
      <c r="CE34" s="200"/>
      <c r="CF34" s="200"/>
      <c r="CG34" s="200"/>
      <c r="CH34" s="200"/>
    </row>
    <row r="35" spans="1:86" s="108" customFormat="1" x14ac:dyDescent="0.25">
      <c r="A35" s="207"/>
      <c r="B35" s="207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2"/>
      <c r="O35" s="209"/>
      <c r="P35" s="208"/>
      <c r="Q35" s="209"/>
      <c r="R35" s="85">
        <v>0</v>
      </c>
      <c r="S35" s="86"/>
      <c r="T35" s="86"/>
      <c r="U35" s="86"/>
      <c r="V35" s="87"/>
      <c r="W35" s="107">
        <f>PRODUCT(R35:U35,(1+X35))</f>
        <v>0</v>
      </c>
      <c r="X35" s="84">
        <v>0</v>
      </c>
      <c r="Y35" s="209"/>
      <c r="Z35" s="276"/>
      <c r="AA35" s="206"/>
      <c r="AB35" s="209"/>
      <c r="AD35" s="6"/>
      <c r="AE35" s="6"/>
      <c r="AF35" s="6"/>
      <c r="AG35" s="6"/>
      <c r="AH35" s="6"/>
      <c r="AI35"/>
      <c r="AJ35" s="210"/>
      <c r="AK35" s="200"/>
      <c r="AL35" s="206"/>
      <c r="AM35" s="211"/>
      <c r="AN35" s="206"/>
      <c r="AO35" s="211"/>
      <c r="AP35" s="211"/>
      <c r="AQ35" s="211"/>
      <c r="AR35" s="211"/>
      <c r="AS35" s="211"/>
      <c r="AT35" s="211"/>
      <c r="AU35" s="211"/>
      <c r="AV35" s="212"/>
      <c r="AW35" s="211"/>
      <c r="AX35" s="211"/>
      <c r="AY35" s="211"/>
      <c r="AZ35" s="211"/>
      <c r="BA35" s="211"/>
      <c r="BB35" s="211"/>
      <c r="BC35" s="211"/>
      <c r="BD35" s="212"/>
      <c r="BE35" s="212"/>
      <c r="BF35" s="212"/>
      <c r="BG35" s="211"/>
      <c r="BH35" s="211"/>
      <c r="BI35" s="211"/>
      <c r="BJ35" s="200"/>
      <c r="BK35" s="200"/>
      <c r="BL35" s="200"/>
      <c r="BM35" s="200"/>
      <c r="BN35" s="200"/>
      <c r="BO35" s="200"/>
      <c r="BP35" s="200"/>
      <c r="BQ35" s="200"/>
      <c r="BR35" s="200"/>
      <c r="BS35" s="200"/>
      <c r="BT35" s="200"/>
      <c r="BU35" s="200"/>
      <c r="BV35" s="200"/>
      <c r="BW35" s="200"/>
      <c r="BX35" s="200"/>
      <c r="BY35" s="200"/>
      <c r="BZ35" s="200"/>
      <c r="CA35" s="200"/>
      <c r="CB35" s="200"/>
      <c r="CC35" s="200"/>
      <c r="CD35" s="200"/>
      <c r="CE35" s="200"/>
      <c r="CF35" s="200"/>
      <c r="CG35" s="200"/>
      <c r="CH35" s="200"/>
    </row>
    <row r="36" spans="1:86" s="108" customFormat="1" x14ac:dyDescent="0.25">
      <c r="A36" s="207"/>
      <c r="B36" s="207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2"/>
      <c r="O36" s="209"/>
      <c r="P36" s="208"/>
      <c r="Q36" s="209"/>
      <c r="R36" s="109"/>
      <c r="S36" s="109"/>
      <c r="T36" s="109"/>
      <c r="U36" s="109"/>
      <c r="V36" s="109"/>
      <c r="W36" s="109"/>
      <c r="X36" s="109"/>
      <c r="Y36" s="209"/>
      <c r="Z36" s="276"/>
      <c r="AA36" s="206"/>
      <c r="AB36" s="209"/>
      <c r="AD36" s="6"/>
      <c r="AE36" s="6"/>
      <c r="AF36" s="6"/>
      <c r="AG36" s="6"/>
      <c r="AH36" s="6"/>
      <c r="AI36"/>
      <c r="AJ36" s="210"/>
      <c r="AK36" s="200"/>
      <c r="AL36" s="206"/>
      <c r="AM36" s="211"/>
      <c r="AN36" s="206"/>
      <c r="AO36" s="211"/>
      <c r="AP36" s="211"/>
      <c r="AQ36" s="211"/>
      <c r="AR36" s="211"/>
      <c r="AS36" s="211"/>
      <c r="AT36" s="211"/>
      <c r="AU36" s="211"/>
      <c r="AV36" s="212"/>
      <c r="AW36" s="211"/>
      <c r="AX36" s="211"/>
      <c r="AY36" s="211"/>
      <c r="AZ36" s="211"/>
      <c r="BA36" s="211"/>
      <c r="BB36" s="211"/>
      <c r="BC36" s="211"/>
      <c r="BD36" s="212"/>
      <c r="BE36" s="212"/>
      <c r="BF36" s="212"/>
      <c r="BG36" s="211"/>
      <c r="BH36" s="211"/>
      <c r="BI36" s="211"/>
      <c r="BJ36" s="200"/>
      <c r="BK36" s="200"/>
      <c r="BL36" s="200"/>
      <c r="BM36" s="200"/>
      <c r="BN36" s="200"/>
      <c r="BO36" s="200"/>
      <c r="BP36" s="200"/>
      <c r="BQ36" s="200"/>
      <c r="BR36" s="200"/>
      <c r="BS36" s="200"/>
      <c r="BT36" s="200"/>
      <c r="BU36" s="200"/>
      <c r="BV36" s="200"/>
      <c r="BW36" s="200"/>
      <c r="BX36" s="200"/>
      <c r="BY36" s="200"/>
      <c r="BZ36" s="200"/>
      <c r="CA36" s="200"/>
      <c r="CB36" s="200"/>
      <c r="CC36" s="200"/>
      <c r="CD36" s="200"/>
      <c r="CE36" s="200"/>
      <c r="CF36" s="200"/>
      <c r="CG36" s="200"/>
      <c r="CH36" s="200"/>
    </row>
    <row r="37" spans="1:86" ht="15.6" x14ac:dyDescent="0.3">
      <c r="A37" s="118"/>
      <c r="B37" s="118">
        <f>SUM(AI29:AI37)</f>
        <v>0</v>
      </c>
      <c r="C37" s="119">
        <f>SUM(AK29:AK37)</f>
        <v>0</v>
      </c>
      <c r="D37" s="118">
        <f>SUM(AK29:AK37)</f>
        <v>0</v>
      </c>
      <c r="E37" s="119">
        <f>SUM(AO29:AO37)</f>
        <v>0</v>
      </c>
      <c r="F37" s="119">
        <f>SUM(BE29:BE37, BG29:BG37,BC29:BC37)</f>
        <v>0</v>
      </c>
      <c r="G37" s="119"/>
      <c r="H37" s="119">
        <f>SUM(AQ29:AQ37)+SUM(AR29:AR37)</f>
        <v>0</v>
      </c>
      <c r="I37" s="119">
        <f>SUM(AT29:AT37)+SUM(AP29:AP37)</f>
        <v>0</v>
      </c>
      <c r="J37" s="119"/>
      <c r="K37" s="119">
        <f>SUM(AX29:AX37)+SUM(AZ29:AZ37)+SUM(BB29:BB37)+SUM(AV29:AV37)</f>
        <v>0</v>
      </c>
      <c r="M37" s="119"/>
      <c r="N37" s="94" t="s">
        <v>52</v>
      </c>
      <c r="P37" s="95" t="str">
        <f>"Subtotal of Costs for "&amp;P29</f>
        <v xml:space="preserve">Subtotal of Costs for Net Plant Costs </v>
      </c>
      <c r="R37" s="88"/>
      <c r="S37" s="88"/>
      <c r="T37" s="88"/>
      <c r="U37" s="88"/>
      <c r="V37" s="88"/>
      <c r="W37" s="88"/>
      <c r="X37" s="88"/>
      <c r="Z37" s="127">
        <f>SUM(AA29:AA37)</f>
        <v>0</v>
      </c>
      <c r="AA37" s="88"/>
      <c r="AJ37" s="92"/>
      <c r="AK37" s="92"/>
      <c r="AL37" s="92"/>
      <c r="AN37" s="92"/>
      <c r="AY37" s="42"/>
      <c r="AZ37" s="42"/>
      <c r="BM37" s="213"/>
    </row>
    <row r="38" spans="1:86" ht="15.6" x14ac:dyDescent="0.3">
      <c r="A38" s="118"/>
      <c r="B38" s="118"/>
      <c r="C38" s="119"/>
      <c r="D38" s="118"/>
      <c r="E38" s="119"/>
      <c r="F38" s="119"/>
      <c r="G38" s="119"/>
      <c r="H38" s="119"/>
      <c r="I38" s="119"/>
      <c r="J38" s="119"/>
      <c r="K38" s="119"/>
      <c r="M38" s="119"/>
      <c r="N38" s="94" t="s">
        <v>52</v>
      </c>
      <c r="P38" s="95"/>
      <c r="R38" s="88"/>
      <c r="S38" s="88"/>
      <c r="T38" s="88"/>
      <c r="U38" s="88"/>
      <c r="V38" s="88"/>
      <c r="W38" s="88"/>
      <c r="X38" s="88"/>
      <c r="Y38" s="192"/>
      <c r="Z38" s="192"/>
      <c r="AA38" s="88"/>
      <c r="AJ38" s="92"/>
      <c r="AK38" s="92"/>
      <c r="AL38" s="92"/>
      <c r="AN38" s="92"/>
      <c r="AY38" s="42"/>
      <c r="AZ38" s="42"/>
    </row>
    <row r="39" spans="1:86" ht="15.6" x14ac:dyDescent="0.3">
      <c r="C39" s="91"/>
      <c r="E39" s="91"/>
      <c r="F39" s="91"/>
      <c r="G39" s="91"/>
      <c r="H39" s="91"/>
      <c r="I39" s="91"/>
      <c r="J39" s="91"/>
      <c r="K39" s="91"/>
      <c r="L39" s="91"/>
      <c r="M39" s="91"/>
      <c r="N39" s="94" t="s">
        <v>52</v>
      </c>
      <c r="P39" s="423" t="s">
        <v>83</v>
      </c>
      <c r="R39" s="424"/>
      <c r="S39" s="425"/>
      <c r="T39" s="425"/>
      <c r="U39" s="425"/>
      <c r="V39" s="425"/>
      <c r="W39" s="425"/>
      <c r="X39" s="425"/>
      <c r="Y39" s="426"/>
      <c r="Z39" s="427"/>
      <c r="AA39" s="88"/>
      <c r="AJ39" s="88"/>
      <c r="AK39" s="88"/>
      <c r="AL39" s="88"/>
      <c r="AM39" s="42"/>
      <c r="AN39" s="88"/>
      <c r="AO39" s="42"/>
      <c r="AP39" s="42"/>
      <c r="AQ39" s="42"/>
      <c r="AR39" s="42"/>
      <c r="AS39" s="42"/>
      <c r="AT39" s="42"/>
      <c r="AU39" s="42"/>
      <c r="AV39" s="89"/>
      <c r="AW39" s="42"/>
      <c r="AX39" s="42"/>
      <c r="AY39" s="42"/>
      <c r="AZ39" s="42"/>
      <c r="BA39" s="42"/>
      <c r="BB39" s="42"/>
      <c r="BC39" s="42"/>
      <c r="BD39" s="89"/>
      <c r="BE39" s="89"/>
      <c r="BF39" s="89"/>
      <c r="BG39" s="42"/>
      <c r="BH39" s="42"/>
      <c r="BI39" s="42"/>
      <c r="BJ39" s="42"/>
      <c r="BK39" s="42"/>
      <c r="BL39" s="42"/>
    </row>
    <row r="40" spans="1:86" s="98" customFormat="1" ht="15.6" x14ac:dyDescent="0.3">
      <c r="A40" s="200"/>
      <c r="B40" s="226">
        <v>0</v>
      </c>
      <c r="C40" s="226">
        <v>0</v>
      </c>
      <c r="D40" s="226">
        <v>0</v>
      </c>
      <c r="E40" s="226">
        <v>0</v>
      </c>
      <c r="F40" s="226">
        <v>0</v>
      </c>
      <c r="G40" s="199">
        <f>+G$4</f>
        <v>0</v>
      </c>
      <c r="H40" s="201">
        <f>AQ40+AR40</f>
        <v>0</v>
      </c>
      <c r="I40" s="226">
        <v>0</v>
      </c>
      <c r="J40" s="199">
        <f>+J$4</f>
        <v>0</v>
      </c>
      <c r="K40" s="201">
        <f>AV40+AX40+AZ40+BB40</f>
        <v>0</v>
      </c>
      <c r="L40" s="226">
        <v>0</v>
      </c>
      <c r="M40" s="199">
        <f>+M$4</f>
        <v>0</v>
      </c>
      <c r="N40" s="202" t="s">
        <v>52</v>
      </c>
      <c r="O40" s="224"/>
      <c r="P40" s="225" t="s">
        <v>51</v>
      </c>
      <c r="Q40" s="224" t="s">
        <v>35</v>
      </c>
      <c r="R40" s="100"/>
      <c r="S40" s="101"/>
      <c r="T40" s="101"/>
      <c r="U40" s="101"/>
      <c r="V40" s="102"/>
      <c r="W40" s="103"/>
      <c r="X40" s="104">
        <f>SUM(W41:W46)</f>
        <v>1</v>
      </c>
      <c r="Y40" s="203">
        <f>ROUNDUP(X40,1)</f>
        <v>1</v>
      </c>
      <c r="Z40" s="204">
        <f>_xlfn.IFNA(ROUNDUP(AJ40+AN40+AS40+AU40+L40+AW40+AY40+BA40+F40+BD40+BF40,2),0)</f>
        <v>0</v>
      </c>
      <c r="AA40" s="205">
        <f>ROUND(Z40*ROUNDUP(Y40,1),2)</f>
        <v>0</v>
      </c>
      <c r="AB40" s="433">
        <v>0</v>
      </c>
      <c r="AC40" s="667">
        <f>AA40*AB40</f>
        <v>0</v>
      </c>
      <c r="AD40" s="205">
        <f>_xlfn.IFNA(ROUNDUP(AM40*AB40,2),0)</f>
        <v>0</v>
      </c>
      <c r="AE40" s="205">
        <f>_xlfn.IFNA(ROUNDUP(AO40*AB40,2),0)</f>
        <v>0</v>
      </c>
      <c r="AF40" s="205">
        <f>_xlfn.IFNA(ROUNDUP((AT40+AP40)*AB40,2),0)</f>
        <v>0</v>
      </c>
      <c r="AG40" s="205">
        <f>_xlfn.IFNA(ROUNDUP((AX40+AZ40+AV40)*AB40,2),0)</f>
        <v>0</v>
      </c>
      <c r="AH40" s="205">
        <f>_xlfn.IFNA(ROUNDUP((BE40+BC40)*AB40,2),0)</f>
        <v>0</v>
      </c>
      <c r="AI40" s="205">
        <f>_xlfn.IFNA((BG40+BB40+AK40)*AB40,0)</f>
        <v>0</v>
      </c>
      <c r="AJ40" s="205">
        <f>+_xlfn.IFNA(D40,0)</f>
        <v>0</v>
      </c>
      <c r="AK40" s="205">
        <f>_xlfn.IFNA(ROUNDUP(D40*Y40,2),0)</f>
        <v>0</v>
      </c>
      <c r="AL40" s="205">
        <f>+_xlfn.IFNA(C40,0)</f>
        <v>0</v>
      </c>
      <c r="AM40" s="204">
        <f>_xlfn.IFNA(C40*Y40,0)</f>
        <v>0</v>
      </c>
      <c r="AN40" s="205">
        <f>+_xlfn.IFNA(E40,0)</f>
        <v>0</v>
      </c>
      <c r="AO40" s="204">
        <f>_xlfn.IFNA(E40*Y40,0)</f>
        <v>0</v>
      </c>
      <c r="AP40" s="204">
        <f>_xlfn.IFNA(ROUNDUP(ROUNDUP(Y40,1)*AU40,2),0)</f>
        <v>0</v>
      </c>
      <c r="AQ40" s="204">
        <f>_xlfn.IFNA(ROUNDUP(+I40*Y40,2),0)</f>
        <v>0</v>
      </c>
      <c r="AR40" s="204">
        <f>_xlfn.IFNA(J40*I40*Y40,0)</f>
        <v>0</v>
      </c>
      <c r="AS40" s="204">
        <f>_xlfn.IFNA(ROUNDUP(I40*I$4*J40,2),0)</f>
        <v>0</v>
      </c>
      <c r="AT40" s="204">
        <f>AS40*Y40</f>
        <v>0</v>
      </c>
      <c r="AU40" s="204">
        <f>_xlfn.IFNA(IF(I40=0,0,ROUNDUP(I$4*I40,2)),0)</f>
        <v>0</v>
      </c>
      <c r="AV40" s="204">
        <f>+_xlfn.IFNA(ROUNDUP(L40*ROUNDUP(Y40,1),2),0)</f>
        <v>0</v>
      </c>
      <c r="AW40" s="204">
        <f>_xlfn.IFNA(ROUNDUP(L40*L$2,2),0)</f>
        <v>0</v>
      </c>
      <c r="AX40" s="204">
        <f>+ROUNDUP(AW40*Y40,2)</f>
        <v>0</v>
      </c>
      <c r="AY40" s="204">
        <f>_xlfn.IFNA(ROUNDUP((L40+AW40)*M40,2),0)</f>
        <v>0</v>
      </c>
      <c r="AZ40" s="204">
        <f>ROUNDUP(AY40*Y40,2)</f>
        <v>0</v>
      </c>
      <c r="BA40" s="204">
        <f>_xlfn.IFNA(ROUNDUP(((L40+AW40+AY40)*(L$4))*L$3,2),0)</f>
        <v>0</v>
      </c>
      <c r="BB40" s="204">
        <f>ROUNDUP(+BA40*ROUNDUP(Y40,1),2)</f>
        <v>0</v>
      </c>
      <c r="BC40" s="204">
        <f>_xlfn.IFNA(ROUNDUP(F40*ROUNDUP(Y40,1),2),0)</f>
        <v>0</v>
      </c>
      <c r="BD40" s="204">
        <f>_xlfn.IFNA(ROUNDUP(F40*G40,2),0)</f>
        <v>0</v>
      </c>
      <c r="BE40" s="204">
        <f>ROUNDUP(BD40*Y40,2)</f>
        <v>0</v>
      </c>
      <c r="BF40" s="204">
        <f>_xlfn.IFNA(ROUNDUP(((ROUNDUP(F40+BD40,2)*F$4)*F$3),2),0)</f>
        <v>0</v>
      </c>
      <c r="BG40" s="204">
        <f>BF40*Y40</f>
        <v>0</v>
      </c>
      <c r="BH40" s="204"/>
      <c r="BI40" s="204"/>
      <c r="BJ40" s="204"/>
      <c r="BK40" s="204"/>
      <c r="BL40" s="204"/>
      <c r="BM40" s="200"/>
      <c r="BN40" s="200"/>
      <c r="BO40" s="200"/>
      <c r="BP40" s="200"/>
      <c r="BQ40" s="200"/>
      <c r="BR40" s="200"/>
      <c r="BS40" s="200"/>
      <c r="BT40" s="200"/>
      <c r="BU40" s="200"/>
      <c r="BV40" s="200"/>
      <c r="BW40" s="200"/>
      <c r="BX40" s="200"/>
      <c r="BY40" s="200"/>
      <c r="BZ40" s="200"/>
      <c r="CA40" s="200"/>
      <c r="CB40" s="200"/>
      <c r="CC40" s="200"/>
      <c r="CD40" s="200"/>
      <c r="CE40" s="200"/>
      <c r="CF40" s="200"/>
      <c r="CG40" s="200"/>
      <c r="CH40" s="200"/>
    </row>
    <row r="41" spans="1:86" s="98" customFormat="1" ht="15.6" x14ac:dyDescent="0.3">
      <c r="A41" s="200"/>
      <c r="B41" s="200"/>
      <c r="C41" s="207"/>
      <c r="D41" s="200"/>
      <c r="E41" s="207"/>
      <c r="F41" s="207"/>
      <c r="G41" s="207"/>
      <c r="H41" s="207"/>
      <c r="I41" s="207"/>
      <c r="J41" s="207"/>
      <c r="K41" s="207"/>
      <c r="L41" s="207"/>
      <c r="M41" s="207"/>
      <c r="N41" s="202"/>
      <c r="O41" s="200"/>
      <c r="P41" s="208"/>
      <c r="Q41" s="200"/>
      <c r="R41" s="105"/>
      <c r="S41" s="101"/>
      <c r="T41" s="101"/>
      <c r="U41" s="101"/>
      <c r="V41" s="84"/>
      <c r="W41" s="106"/>
      <c r="X41" s="103" t="s">
        <v>41</v>
      </c>
      <c r="Y41" s="209"/>
      <c r="Z41" s="276"/>
      <c r="AA41" s="206"/>
      <c r="AB41" s="200"/>
      <c r="AD41" s="6"/>
      <c r="AE41" s="6"/>
      <c r="AF41" s="6"/>
      <c r="AG41" s="6"/>
      <c r="AH41" s="6"/>
      <c r="AI41"/>
      <c r="AJ41" s="210"/>
      <c r="AK41" s="200"/>
      <c r="AL41" s="206"/>
      <c r="AM41" s="211"/>
      <c r="AN41" s="206"/>
      <c r="AO41" s="211"/>
      <c r="AP41" s="211"/>
      <c r="AQ41" s="211"/>
      <c r="AR41" s="211"/>
      <c r="AS41" s="211"/>
      <c r="AT41" s="211"/>
      <c r="AU41" s="211"/>
      <c r="AV41" s="212"/>
      <c r="AW41" s="211"/>
      <c r="AX41" s="211"/>
      <c r="AY41" s="211"/>
      <c r="AZ41" s="211"/>
      <c r="BA41" s="211"/>
      <c r="BB41" s="211"/>
      <c r="BC41" s="211"/>
      <c r="BD41" s="212"/>
      <c r="BE41" s="212"/>
      <c r="BF41" s="212"/>
      <c r="BG41" s="211"/>
      <c r="BH41" s="211"/>
      <c r="BI41" s="211"/>
      <c r="BJ41" s="211"/>
      <c r="BK41" s="211"/>
      <c r="BL41" s="211"/>
      <c r="BM41" s="200"/>
      <c r="BN41" s="200"/>
      <c r="BO41" s="200"/>
      <c r="BP41" s="200"/>
      <c r="BQ41" s="200"/>
      <c r="BR41" s="200"/>
      <c r="BS41" s="200"/>
      <c r="BT41" s="200"/>
      <c r="BU41" s="200"/>
      <c r="BV41" s="200"/>
      <c r="BW41" s="200"/>
      <c r="BX41" s="200"/>
      <c r="BY41" s="200"/>
      <c r="BZ41" s="200"/>
      <c r="CA41" s="200"/>
      <c r="CB41" s="200"/>
      <c r="CC41" s="200"/>
      <c r="CD41" s="200"/>
      <c r="CE41" s="200"/>
      <c r="CF41" s="200"/>
      <c r="CG41" s="200"/>
      <c r="CH41" s="200"/>
    </row>
    <row r="42" spans="1:86" s="108" customFormat="1" x14ac:dyDescent="0.25">
      <c r="A42" s="207"/>
      <c r="B42" s="207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2"/>
      <c r="O42" s="209"/>
      <c r="P42" s="208"/>
      <c r="Q42" s="209"/>
      <c r="R42" s="85">
        <v>1</v>
      </c>
      <c r="S42" s="86"/>
      <c r="T42" s="86"/>
      <c r="U42" s="86"/>
      <c r="V42" s="87"/>
      <c r="W42" s="107">
        <f>PRODUCT(R42:U42,(1+X42))</f>
        <v>1</v>
      </c>
      <c r="X42" s="84">
        <v>0</v>
      </c>
      <c r="Y42" s="209"/>
      <c r="Z42" s="276"/>
      <c r="AA42" s="206"/>
      <c r="AB42" s="209"/>
      <c r="AD42" s="200"/>
      <c r="AE42" s="200"/>
      <c r="AF42" s="200"/>
      <c r="AG42" s="200"/>
      <c r="AH42" s="200"/>
      <c r="AI42" s="200"/>
      <c r="AJ42" s="210"/>
      <c r="AK42" s="200"/>
      <c r="AL42" s="206"/>
      <c r="AM42" s="211"/>
      <c r="AN42" s="206"/>
      <c r="AO42" s="211"/>
      <c r="AP42" s="211"/>
      <c r="AQ42" s="211"/>
      <c r="AR42" s="211"/>
      <c r="AS42" s="211"/>
      <c r="AT42" s="211"/>
      <c r="AU42" s="211"/>
      <c r="AV42" s="212"/>
      <c r="AW42" s="211"/>
      <c r="AX42" s="211"/>
      <c r="AY42" s="211"/>
      <c r="AZ42" s="211"/>
      <c r="BA42" s="211"/>
      <c r="BB42" s="211"/>
      <c r="BC42" s="211"/>
      <c r="BD42" s="212"/>
      <c r="BE42" s="212"/>
      <c r="BF42" s="212"/>
      <c r="BG42" s="211"/>
      <c r="BH42" s="211"/>
      <c r="BI42" s="211"/>
      <c r="BJ42" s="211"/>
      <c r="BK42" s="211"/>
      <c r="BL42" s="211"/>
      <c r="BM42" s="200"/>
      <c r="BN42" s="200"/>
      <c r="BO42" s="200"/>
      <c r="BP42" s="200"/>
      <c r="BQ42" s="200"/>
      <c r="BR42" s="200"/>
      <c r="BS42" s="200"/>
      <c r="BT42" s="200"/>
      <c r="BU42" s="200"/>
      <c r="BV42" s="200"/>
      <c r="BW42" s="200"/>
      <c r="BX42" s="200"/>
      <c r="BY42" s="200"/>
      <c r="BZ42" s="200"/>
      <c r="CA42" s="200"/>
      <c r="CB42" s="200"/>
      <c r="CC42" s="200"/>
      <c r="CD42" s="200"/>
      <c r="CE42" s="200"/>
      <c r="CF42" s="200"/>
      <c r="CG42" s="200"/>
      <c r="CH42" s="200"/>
    </row>
    <row r="43" spans="1:86" s="108" customFormat="1" x14ac:dyDescent="0.25">
      <c r="A43" s="207"/>
      <c r="B43" s="207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2"/>
      <c r="O43" s="209"/>
      <c r="P43" s="208"/>
      <c r="Q43" s="209"/>
      <c r="R43" s="85">
        <v>0</v>
      </c>
      <c r="S43" s="86"/>
      <c r="T43" s="86"/>
      <c r="U43" s="86"/>
      <c r="V43" s="87"/>
      <c r="W43" s="107">
        <f>PRODUCT(R43:U43,(1+X43))</f>
        <v>0</v>
      </c>
      <c r="X43" s="84">
        <v>0</v>
      </c>
      <c r="Y43" s="209"/>
      <c r="Z43" s="276"/>
      <c r="AA43" s="206"/>
      <c r="AB43" s="209"/>
      <c r="AD43" s="200"/>
      <c r="AE43" s="200"/>
      <c r="AF43" s="200"/>
      <c r="AG43" s="200"/>
      <c r="AH43" s="200"/>
      <c r="AI43" s="200"/>
      <c r="AJ43" s="210"/>
      <c r="AK43" s="200"/>
      <c r="AL43" s="206"/>
      <c r="AM43" s="211"/>
      <c r="AN43" s="206"/>
      <c r="AO43" s="211"/>
      <c r="AP43" s="211"/>
      <c r="AQ43" s="211"/>
      <c r="AR43" s="211"/>
      <c r="AS43" s="211"/>
      <c r="AT43" s="211"/>
      <c r="AU43" s="211"/>
      <c r="AV43" s="212"/>
      <c r="AW43" s="211"/>
      <c r="AX43" s="211"/>
      <c r="AY43" s="211"/>
      <c r="AZ43" s="211"/>
      <c r="BA43" s="211"/>
      <c r="BB43" s="211"/>
      <c r="BC43" s="211"/>
      <c r="BD43" s="212"/>
      <c r="BE43" s="212"/>
      <c r="BF43" s="212"/>
      <c r="BG43" s="211"/>
      <c r="BH43" s="211"/>
      <c r="BI43" s="211"/>
      <c r="BJ43" s="211"/>
      <c r="BK43" s="211"/>
      <c r="BL43" s="211"/>
      <c r="BM43" s="200"/>
      <c r="BN43" s="200"/>
      <c r="BO43" s="200"/>
      <c r="BP43" s="200"/>
      <c r="BQ43" s="200"/>
      <c r="BR43" s="200"/>
      <c r="BS43" s="200"/>
      <c r="BT43" s="200"/>
      <c r="BU43" s="200"/>
      <c r="BV43" s="200"/>
      <c r="BW43" s="200"/>
      <c r="BX43" s="200"/>
      <c r="BY43" s="200"/>
      <c r="BZ43" s="200"/>
      <c r="CA43" s="200"/>
      <c r="CB43" s="200"/>
      <c r="CC43" s="200"/>
      <c r="CD43" s="200"/>
      <c r="CE43" s="200"/>
      <c r="CF43" s="200"/>
      <c r="CG43" s="200"/>
      <c r="CH43" s="200"/>
    </row>
    <row r="44" spans="1:86" s="108" customFormat="1" x14ac:dyDescent="0.25">
      <c r="A44" s="207"/>
      <c r="B44" s="207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2"/>
      <c r="O44" s="209"/>
      <c r="P44" s="208"/>
      <c r="Q44" s="209"/>
      <c r="R44" s="85">
        <v>0</v>
      </c>
      <c r="S44" s="86"/>
      <c r="T44" s="86"/>
      <c r="U44" s="86"/>
      <c r="V44" s="87"/>
      <c r="W44" s="107">
        <f>PRODUCT(R44:U44,(1+X44))</f>
        <v>0</v>
      </c>
      <c r="X44" s="84">
        <v>0</v>
      </c>
      <c r="Y44" s="209"/>
      <c r="Z44" s="276"/>
      <c r="AA44" s="206"/>
      <c r="AB44" s="209"/>
      <c r="AD44" s="200"/>
      <c r="AE44" s="200"/>
      <c r="AF44" s="200"/>
      <c r="AG44" s="200"/>
      <c r="AH44" s="200"/>
      <c r="AI44" s="200"/>
      <c r="AJ44" s="210"/>
      <c r="AK44" s="200"/>
      <c r="AL44" s="206"/>
      <c r="AM44" s="211"/>
      <c r="AN44" s="206"/>
      <c r="AO44" s="211"/>
      <c r="AP44" s="211"/>
      <c r="AQ44" s="211"/>
      <c r="AR44" s="211"/>
      <c r="AS44" s="211"/>
      <c r="AT44" s="211"/>
      <c r="AU44" s="211"/>
      <c r="AV44" s="212"/>
      <c r="AW44" s="211"/>
      <c r="AX44" s="211"/>
      <c r="AY44" s="211"/>
      <c r="AZ44" s="211"/>
      <c r="BA44" s="211"/>
      <c r="BB44" s="211"/>
      <c r="BC44" s="211"/>
      <c r="BD44" s="212"/>
      <c r="BE44" s="212"/>
      <c r="BF44" s="212"/>
      <c r="BG44" s="211"/>
      <c r="BH44" s="211"/>
      <c r="BI44" s="211"/>
      <c r="BJ44" s="211"/>
      <c r="BK44" s="211"/>
      <c r="BL44" s="211"/>
      <c r="BM44" s="200"/>
      <c r="BN44" s="200"/>
      <c r="BO44" s="200"/>
      <c r="BP44" s="200"/>
      <c r="BQ44" s="200"/>
      <c r="BR44" s="200"/>
      <c r="BS44" s="200"/>
      <c r="BT44" s="200"/>
      <c r="BU44" s="200"/>
      <c r="BV44" s="200"/>
      <c r="BW44" s="200"/>
      <c r="BX44" s="200"/>
      <c r="BY44" s="200"/>
      <c r="BZ44" s="200"/>
      <c r="CA44" s="200"/>
      <c r="CB44" s="200"/>
      <c r="CC44" s="200"/>
      <c r="CD44" s="200"/>
      <c r="CE44" s="200"/>
      <c r="CF44" s="200"/>
      <c r="CG44" s="200"/>
      <c r="CH44" s="200"/>
    </row>
    <row r="45" spans="1:86" s="108" customFormat="1" x14ac:dyDescent="0.25">
      <c r="A45" s="207"/>
      <c r="B45" s="207"/>
      <c r="C45" s="207"/>
      <c r="D45" s="207"/>
      <c r="E45" s="207"/>
      <c r="F45" s="207"/>
      <c r="G45" s="207"/>
      <c r="H45" s="207"/>
      <c r="I45" s="207"/>
      <c r="J45" s="207"/>
      <c r="K45" s="207"/>
      <c r="L45" s="207"/>
      <c r="M45" s="207"/>
      <c r="N45" s="202"/>
      <c r="O45" s="209"/>
      <c r="P45" s="208"/>
      <c r="Q45" s="209"/>
      <c r="R45" s="85">
        <v>0</v>
      </c>
      <c r="S45" s="86"/>
      <c r="T45" s="86"/>
      <c r="U45" s="86"/>
      <c r="V45" s="87"/>
      <c r="W45" s="107">
        <f>PRODUCT(R45:U45,(1+X45))</f>
        <v>0</v>
      </c>
      <c r="X45" s="84">
        <v>0</v>
      </c>
      <c r="Y45" s="209"/>
      <c r="Z45" s="276"/>
      <c r="AA45" s="206"/>
      <c r="AB45" s="209"/>
      <c r="AD45" s="6"/>
      <c r="AE45" s="6"/>
      <c r="AF45" s="6"/>
      <c r="AG45" s="6"/>
      <c r="AH45" s="6"/>
      <c r="AI45"/>
      <c r="AJ45" s="210"/>
      <c r="AK45" s="200"/>
      <c r="AL45" s="206"/>
      <c r="AM45" s="211"/>
      <c r="AN45" s="206"/>
      <c r="AO45" s="211"/>
      <c r="AP45" s="211"/>
      <c r="AQ45" s="211"/>
      <c r="AR45" s="211"/>
      <c r="AS45" s="211"/>
      <c r="AT45" s="211"/>
      <c r="AU45" s="211"/>
      <c r="AV45" s="212"/>
      <c r="AW45" s="211"/>
      <c r="AX45" s="211"/>
      <c r="AY45" s="211"/>
      <c r="AZ45" s="211"/>
      <c r="BA45" s="211"/>
      <c r="BB45" s="211"/>
      <c r="BC45" s="211"/>
      <c r="BD45" s="212"/>
      <c r="BE45" s="212"/>
      <c r="BF45" s="212"/>
      <c r="BG45" s="211"/>
      <c r="BH45" s="211"/>
      <c r="BI45" s="211"/>
      <c r="BJ45" s="200"/>
      <c r="BK45" s="200"/>
      <c r="BL45" s="200"/>
      <c r="BM45" s="200"/>
      <c r="BN45" s="200"/>
      <c r="BO45" s="200"/>
      <c r="BP45" s="200"/>
      <c r="BQ45" s="200"/>
      <c r="BR45" s="200"/>
      <c r="BS45" s="200"/>
      <c r="BT45" s="200"/>
      <c r="BU45" s="200"/>
      <c r="BV45" s="200"/>
      <c r="BW45" s="200"/>
      <c r="BX45" s="200"/>
      <c r="BY45" s="200"/>
      <c r="BZ45" s="200"/>
      <c r="CA45" s="200"/>
      <c r="CB45" s="200"/>
      <c r="CC45" s="200"/>
      <c r="CD45" s="200"/>
      <c r="CE45" s="200"/>
      <c r="CF45" s="200"/>
      <c r="CG45" s="200"/>
      <c r="CH45" s="200"/>
    </row>
    <row r="46" spans="1:86" s="108" customFormat="1" x14ac:dyDescent="0.25">
      <c r="A46" s="207"/>
      <c r="B46" s="207"/>
      <c r="C46" s="207"/>
      <c r="D46" s="207"/>
      <c r="E46" s="207"/>
      <c r="F46" s="207"/>
      <c r="G46" s="207"/>
      <c r="H46" s="207"/>
      <c r="I46" s="207"/>
      <c r="J46" s="207"/>
      <c r="K46" s="207"/>
      <c r="L46" s="207"/>
      <c r="M46" s="207"/>
      <c r="N46" s="202"/>
      <c r="O46" s="209"/>
      <c r="P46" s="208"/>
      <c r="Q46" s="209"/>
      <c r="R46" s="109"/>
      <c r="S46" s="109"/>
      <c r="T46" s="109"/>
      <c r="U46" s="109"/>
      <c r="V46" s="109"/>
      <c r="W46" s="109"/>
      <c r="X46" s="109"/>
      <c r="Y46" s="209"/>
      <c r="Z46" s="276"/>
      <c r="AA46" s="206"/>
      <c r="AB46" s="209"/>
      <c r="AD46" s="6"/>
      <c r="AE46" s="6"/>
      <c r="AF46" s="6"/>
      <c r="AG46" s="6"/>
      <c r="AH46" s="6"/>
      <c r="AI46"/>
      <c r="AJ46" s="210"/>
      <c r="AK46" s="200"/>
      <c r="AL46" s="206"/>
      <c r="AM46" s="211"/>
      <c r="AN46" s="206"/>
      <c r="AO46" s="211"/>
      <c r="AP46" s="211"/>
      <c r="AQ46" s="211"/>
      <c r="AR46" s="211"/>
      <c r="AS46" s="211"/>
      <c r="AT46" s="211"/>
      <c r="AU46" s="211"/>
      <c r="AV46" s="212"/>
      <c r="AW46" s="211"/>
      <c r="AX46" s="211"/>
      <c r="AY46" s="211"/>
      <c r="AZ46" s="211"/>
      <c r="BA46" s="211"/>
      <c r="BB46" s="211"/>
      <c r="BC46" s="211"/>
      <c r="BD46" s="212"/>
      <c r="BE46" s="212"/>
      <c r="BF46" s="212"/>
      <c r="BG46" s="211"/>
      <c r="BH46" s="211"/>
      <c r="BI46" s="211"/>
      <c r="BJ46" s="200"/>
      <c r="BK46" s="200"/>
      <c r="BL46" s="200"/>
      <c r="BM46" s="200"/>
      <c r="BN46" s="200"/>
      <c r="BO46" s="200"/>
      <c r="BP46" s="200"/>
      <c r="BQ46" s="200"/>
      <c r="BR46" s="200"/>
      <c r="BS46" s="200"/>
      <c r="BT46" s="200"/>
      <c r="BU46" s="200"/>
      <c r="BV46" s="200"/>
      <c r="BW46" s="200"/>
      <c r="BX46" s="200"/>
      <c r="BY46" s="200"/>
      <c r="BZ46" s="200"/>
      <c r="CA46" s="200"/>
      <c r="CB46" s="200"/>
      <c r="CC46" s="200"/>
      <c r="CD46" s="200"/>
      <c r="CE46" s="200"/>
      <c r="CF46" s="200"/>
      <c r="CG46" s="200"/>
      <c r="CH46" s="200"/>
    </row>
    <row r="47" spans="1:86" ht="15.6" x14ac:dyDescent="0.3">
      <c r="A47" s="118"/>
      <c r="B47" s="118">
        <f>SUM(AI39:AI47)</f>
        <v>0</v>
      </c>
      <c r="C47" s="119">
        <f>SUM(AK39:AK47)</f>
        <v>0</v>
      </c>
      <c r="D47" s="118">
        <f>SUM(AK39:AK47)</f>
        <v>0</v>
      </c>
      <c r="E47" s="119">
        <f>SUM(AO39:AO47)</f>
        <v>0</v>
      </c>
      <c r="F47" s="119">
        <f>SUM(BE39:BE47, BG39:BG47,BC39:BC47)</f>
        <v>0</v>
      </c>
      <c r="G47" s="119"/>
      <c r="H47" s="119">
        <f>SUM(AQ39:AQ47)+SUM(AR39:AR47)</f>
        <v>0</v>
      </c>
      <c r="I47" s="119">
        <f>SUM(AT39:AT47)+SUM(AP39:AP47)</f>
        <v>0</v>
      </c>
      <c r="J47" s="119"/>
      <c r="K47" s="119">
        <f>SUM(AX39:AX47)+SUM(AZ39:AZ47)+SUM(BB39:BB47)+SUM(AV39:AV47)</f>
        <v>0</v>
      </c>
      <c r="M47" s="119"/>
      <c r="N47" s="94" t="s">
        <v>52</v>
      </c>
      <c r="P47" s="95" t="str">
        <f>"Subtotal of Costs for "&amp;P39</f>
        <v>Subtotal of Costs for Net Labour Costs</v>
      </c>
      <c r="R47" s="88"/>
      <c r="S47" s="88"/>
      <c r="T47" s="88"/>
      <c r="U47" s="88"/>
      <c r="V47" s="88"/>
      <c r="W47" s="88"/>
      <c r="X47" s="88"/>
      <c r="Y47" s="721">
        <f>SUM(AA39:AA47)</f>
        <v>0</v>
      </c>
      <c r="Z47" s="721"/>
      <c r="AA47" s="88"/>
      <c r="AJ47" s="92"/>
      <c r="AK47" s="92"/>
      <c r="AL47" s="92"/>
      <c r="AN47" s="92"/>
      <c r="AY47" s="42"/>
      <c r="AZ47" s="42"/>
    </row>
    <row r="48" spans="1:86" ht="15.6" x14ac:dyDescent="0.3">
      <c r="A48" s="118"/>
      <c r="B48" s="118"/>
      <c r="C48" s="119"/>
      <c r="D48" s="118"/>
      <c r="E48" s="119"/>
      <c r="F48" s="119"/>
      <c r="G48" s="119"/>
      <c r="H48" s="119"/>
      <c r="I48" s="119"/>
      <c r="J48" s="119"/>
      <c r="K48" s="119"/>
      <c r="M48" s="119"/>
      <c r="N48" s="94" t="s">
        <v>52</v>
      </c>
      <c r="P48" s="95"/>
      <c r="R48" s="88"/>
      <c r="S48" s="88"/>
      <c r="T48" s="88"/>
      <c r="U48" s="88"/>
      <c r="V48" s="88"/>
      <c r="W48" s="88"/>
      <c r="X48" s="88"/>
      <c r="Y48" s="192"/>
      <c r="Z48" s="192"/>
      <c r="AA48" s="88"/>
      <c r="AJ48" s="92"/>
      <c r="AK48" s="92"/>
      <c r="AL48" s="92"/>
      <c r="AN48" s="92"/>
      <c r="AY48" s="42"/>
      <c r="AZ48" s="42"/>
    </row>
    <row r="49" spans="1:64" ht="15.6" x14ac:dyDescent="0.3">
      <c r="A49" s="118"/>
      <c r="B49" s="118"/>
      <c r="C49" s="119"/>
      <c r="D49" s="118"/>
      <c r="E49" s="119"/>
      <c r="F49" s="119"/>
      <c r="G49" s="119"/>
      <c r="H49" s="119"/>
      <c r="I49" s="119"/>
      <c r="J49" s="119"/>
      <c r="K49" s="119"/>
      <c r="M49" s="119"/>
      <c r="N49" s="94" t="s">
        <v>52</v>
      </c>
      <c r="P49" s="95" t="s">
        <v>187</v>
      </c>
      <c r="R49" s="88"/>
      <c r="S49" s="88"/>
      <c r="T49" s="88"/>
      <c r="U49" s="88"/>
      <c r="V49" s="88"/>
      <c r="W49" s="88"/>
      <c r="X49" s="88"/>
      <c r="Y49" s="192"/>
      <c r="Z49" s="192">
        <f>-SUMIF(AA8:AA49, "&lt;0")</f>
        <v>0</v>
      </c>
      <c r="AA49" s="88"/>
      <c r="AC49" s="192">
        <f>-SUMIF(AE9:AI47, "&lt;0")</f>
        <v>0</v>
      </c>
      <c r="AJ49" s="92"/>
      <c r="AK49" s="92"/>
      <c r="AL49" s="92"/>
      <c r="AN49" s="92"/>
      <c r="AY49" s="42"/>
      <c r="AZ49" s="42"/>
    </row>
    <row r="50" spans="1:64" ht="16.2" thickBot="1" x14ac:dyDescent="0.35">
      <c r="A50" s="118"/>
      <c r="B50" s="118"/>
      <c r="C50" s="119"/>
      <c r="D50" s="118"/>
      <c r="E50" s="119"/>
      <c r="F50" s="119"/>
      <c r="G50" s="119"/>
      <c r="H50" s="119"/>
      <c r="I50" s="119"/>
      <c r="J50" s="119"/>
      <c r="K50" s="119"/>
      <c r="M50" s="119"/>
      <c r="N50" s="94" t="s">
        <v>52</v>
      </c>
      <c r="P50" s="95" t="s">
        <v>188</v>
      </c>
      <c r="R50" s="88"/>
      <c r="S50" s="88"/>
      <c r="T50" s="88"/>
      <c r="U50" s="88"/>
      <c r="V50" s="88"/>
      <c r="W50" s="88"/>
      <c r="X50" s="88"/>
      <c r="Y50" s="192"/>
      <c r="Z50" s="192">
        <f>SUMIF(AA8:AA49, "&gt;0")</f>
        <v>0</v>
      </c>
      <c r="AA50" s="230"/>
      <c r="AB50" s="221"/>
      <c r="AC50" s="192">
        <f>SUMIF(AE9:AI47, "&gt;0")</f>
        <v>0</v>
      </c>
      <c r="AJ50" s="92"/>
      <c r="AK50" s="92"/>
      <c r="AL50" s="92"/>
      <c r="AN50" s="92"/>
      <c r="AY50" s="42"/>
      <c r="AZ50" s="42"/>
    </row>
    <row r="51" spans="1:64" ht="16.2" thickBot="1" x14ac:dyDescent="0.35">
      <c r="A51" s="118"/>
      <c r="B51" s="118"/>
      <c r="C51" s="119"/>
      <c r="D51" s="118"/>
      <c r="E51" s="119"/>
      <c r="F51" s="119"/>
      <c r="G51" s="119"/>
      <c r="H51" s="119"/>
      <c r="I51" s="119"/>
      <c r="J51" s="119"/>
      <c r="K51" s="119"/>
      <c r="M51" s="119"/>
      <c r="N51" s="94" t="s">
        <v>52</v>
      </c>
      <c r="O51" s="245" t="s">
        <v>189</v>
      </c>
      <c r="P51" s="214" t="s">
        <v>190</v>
      </c>
      <c r="Q51" s="215"/>
      <c r="R51" s="227"/>
      <c r="S51" s="227"/>
      <c r="T51" s="227"/>
      <c r="U51" s="227"/>
      <c r="V51" s="227"/>
      <c r="W51" s="227"/>
      <c r="X51" s="227"/>
      <c r="Y51" s="216"/>
      <c r="Z51" s="244">
        <f>-Z49+Z50</f>
        <v>0</v>
      </c>
      <c r="AA51" s="215"/>
      <c r="AC51" s="244">
        <f>-AC49+AC50</f>
        <v>0</v>
      </c>
      <c r="AD51" s="431"/>
      <c r="AE51" s="431"/>
      <c r="AJ51" s="92"/>
      <c r="AK51" s="92"/>
      <c r="AL51" s="92"/>
      <c r="AN51" s="92"/>
      <c r="AY51" s="42"/>
      <c r="AZ51" s="42"/>
    </row>
    <row r="52" spans="1:64" ht="16.2" thickBot="1" x14ac:dyDescent="0.35">
      <c r="A52" s="118"/>
      <c r="B52" s="118"/>
      <c r="C52" s="119"/>
      <c r="D52" s="118"/>
      <c r="E52" s="119"/>
      <c r="F52" s="119"/>
      <c r="G52" s="119"/>
      <c r="H52" s="119"/>
      <c r="I52" s="119"/>
      <c r="J52" s="119"/>
      <c r="K52" s="119"/>
      <c r="M52" s="119"/>
      <c r="N52" s="94" t="s">
        <v>52</v>
      </c>
      <c r="O52" s="241"/>
      <c r="P52" s="240"/>
      <c r="Q52" s="241"/>
      <c r="R52" s="242"/>
      <c r="S52" s="242"/>
      <c r="T52" s="242"/>
      <c r="U52" s="242"/>
      <c r="V52" s="242"/>
      <c r="W52" s="242"/>
      <c r="X52" s="242"/>
      <c r="Y52" s="243"/>
      <c r="Z52" s="253"/>
      <c r="AA52" s="215"/>
      <c r="AB52" s="241"/>
      <c r="AC52" s="6"/>
      <c r="AJ52" s="92"/>
      <c r="AK52" s="92"/>
      <c r="AL52" s="92"/>
      <c r="AN52" s="92"/>
      <c r="AY52" s="42"/>
      <c r="AZ52" s="42"/>
    </row>
    <row r="53" spans="1:64" ht="15.6" x14ac:dyDescent="0.3">
      <c r="C53" s="91"/>
      <c r="E53" s="91"/>
      <c r="F53" s="91"/>
      <c r="G53" s="91"/>
      <c r="H53" s="91"/>
      <c r="I53" s="91"/>
      <c r="J53" s="91"/>
      <c r="K53" s="91"/>
      <c r="L53" s="91"/>
      <c r="M53" s="91"/>
      <c r="N53" s="94" t="s">
        <v>52</v>
      </c>
      <c r="O53" s="222" t="s">
        <v>175</v>
      </c>
      <c r="P53" s="217" t="s">
        <v>173</v>
      </c>
      <c r="Q53" s="218">
        <f>SUMRY!O1</f>
        <v>0.05</v>
      </c>
      <c r="R53" s="228"/>
      <c r="S53" s="229"/>
      <c r="T53" s="229"/>
      <c r="U53" s="229"/>
      <c r="V53" s="229"/>
      <c r="W53" s="229"/>
      <c r="X53" s="229"/>
      <c r="Y53" s="241"/>
      <c r="Z53" s="264">
        <f>IF(Z51&lt;=0,0,(+Z51*Q53))</f>
        <v>0</v>
      </c>
      <c r="AB53" s="241"/>
      <c r="AC53" s="264">
        <f>IF(AC51&lt;=0,0,(+AC51*Q53))</f>
        <v>0</v>
      </c>
      <c r="AD53" s="431"/>
      <c r="AE53" s="431"/>
      <c r="AJ53" s="88"/>
      <c r="AK53" s="88"/>
      <c r="AL53" s="88"/>
      <c r="AM53" s="42"/>
      <c r="AN53" s="88"/>
      <c r="AO53" s="42"/>
      <c r="AP53" s="42"/>
      <c r="AQ53" s="42"/>
      <c r="AR53" s="42"/>
      <c r="AS53" s="42"/>
      <c r="AT53" s="42"/>
      <c r="AU53" s="42"/>
      <c r="AV53" s="89"/>
      <c r="AW53" s="42"/>
      <c r="AX53" s="42"/>
      <c r="AY53" s="42"/>
      <c r="AZ53" s="42"/>
      <c r="BA53" s="42"/>
      <c r="BB53" s="42"/>
      <c r="BC53" s="42"/>
      <c r="BD53" s="89"/>
      <c r="BE53" s="89"/>
      <c r="BF53" s="89"/>
      <c r="BG53" s="42"/>
      <c r="BH53" s="42"/>
      <c r="BI53" s="263">
        <f>Z53</f>
        <v>0</v>
      </c>
      <c r="BJ53" s="42"/>
      <c r="BK53" s="42"/>
      <c r="BL53" s="42"/>
    </row>
    <row r="54" spans="1:64" ht="16.2" thickBot="1" x14ac:dyDescent="0.35">
      <c r="A54" s="118"/>
      <c r="B54" s="118">
        <f>SUM(AI53:AI54)</f>
        <v>0</v>
      </c>
      <c r="C54" s="119">
        <f>SUM(AK53:AK54)</f>
        <v>0</v>
      </c>
      <c r="D54" s="118">
        <f>SUM(AK53:AK54)</f>
        <v>0</v>
      </c>
      <c r="E54" s="119">
        <f>SUM(AO53:AO54)</f>
        <v>0</v>
      </c>
      <c r="F54" s="119">
        <f>SUM(BE53:BE54, BG53:BG54,BC53:BC54)</f>
        <v>0</v>
      </c>
      <c r="G54" s="119"/>
      <c r="H54" s="119">
        <f>SUM(AQ53:AQ54)+SUM(AR53:AR54)</f>
        <v>0</v>
      </c>
      <c r="I54" s="119">
        <f>SUM(AT53:AT54)+SUM(AP53:AP54)</f>
        <v>0</v>
      </c>
      <c r="J54" s="119"/>
      <c r="K54" s="119">
        <f>SUM(AX53:AX54)+SUM(AZ53:AZ54)+SUM(BB53:BB54)+SUM(AV53:AV54)</f>
        <v>0</v>
      </c>
      <c r="M54" s="119"/>
      <c r="N54" s="94" t="s">
        <v>52</v>
      </c>
      <c r="O54" s="223"/>
      <c r="P54" s="220" t="str">
        <f>"Subtotal of Costs for "&amp;P53</f>
        <v>Subtotal of Costs for Nominated On-site overheads (9.3.9)</v>
      </c>
      <c r="Q54" s="221"/>
      <c r="R54" s="230"/>
      <c r="S54" s="230"/>
      <c r="T54" s="230"/>
      <c r="U54" s="230"/>
      <c r="V54" s="230"/>
      <c r="W54" s="230"/>
      <c r="X54" s="230"/>
      <c r="Y54" s="221"/>
      <c r="Z54" s="246">
        <f>Z51+Z53</f>
        <v>0</v>
      </c>
      <c r="AB54" s="221"/>
      <c r="AC54" s="246">
        <f>AC51+AC53</f>
        <v>0</v>
      </c>
      <c r="AD54" s="431"/>
      <c r="AE54" s="431"/>
      <c r="AJ54" s="92"/>
      <c r="AK54" s="92"/>
      <c r="AL54" s="92"/>
      <c r="AN54" s="92"/>
      <c r="AY54" s="42"/>
      <c r="AZ54" s="42"/>
    </row>
    <row r="55" spans="1:64" ht="16.2" thickBot="1" x14ac:dyDescent="0.35">
      <c r="A55" s="118"/>
      <c r="B55" s="118"/>
      <c r="C55" s="119"/>
      <c r="D55" s="118"/>
      <c r="E55" s="119"/>
      <c r="F55" s="119"/>
      <c r="G55" s="119"/>
      <c r="H55" s="119"/>
      <c r="I55" s="119"/>
      <c r="J55" s="119"/>
      <c r="K55" s="119"/>
      <c r="M55" s="119"/>
      <c r="N55" s="94" t="s">
        <v>52</v>
      </c>
      <c r="P55" s="95"/>
      <c r="R55" s="88"/>
      <c r="S55" s="88"/>
      <c r="T55" s="88"/>
      <c r="U55" s="88"/>
      <c r="V55" s="88"/>
      <c r="W55" s="88"/>
      <c r="X55" s="88"/>
      <c r="Y55" s="192"/>
      <c r="Z55" s="192"/>
      <c r="AA55" s="241"/>
      <c r="AC55" s="6"/>
      <c r="AJ55" s="92"/>
      <c r="AK55" s="92"/>
      <c r="AL55" s="92"/>
      <c r="AN55" s="92"/>
      <c r="AY55" s="42"/>
      <c r="AZ55" s="42"/>
    </row>
    <row r="56" spans="1:64" ht="15.6" x14ac:dyDescent="0.3">
      <c r="C56" s="91"/>
      <c r="E56" s="91"/>
      <c r="F56" s="91"/>
      <c r="G56" s="91"/>
      <c r="H56" s="91"/>
      <c r="I56" s="91"/>
      <c r="J56" s="91"/>
      <c r="K56" s="91"/>
      <c r="L56" s="91"/>
      <c r="M56" s="91"/>
      <c r="N56" s="94" t="s">
        <v>52</v>
      </c>
      <c r="O56" s="222" t="s">
        <v>176</v>
      </c>
      <c r="P56" s="217" t="s">
        <v>174</v>
      </c>
      <c r="Q56" s="218">
        <f>SUMRY!O2</f>
        <v>0.05</v>
      </c>
      <c r="R56" s="228"/>
      <c r="S56" s="229"/>
      <c r="T56" s="229"/>
      <c r="U56" s="229"/>
      <c r="V56" s="229"/>
      <c r="W56" s="229"/>
      <c r="X56" s="229"/>
      <c r="Y56" s="241"/>
      <c r="Z56" s="264">
        <f>IF(Z51&lt;=0,0,(+Z54*Q56))</f>
        <v>0</v>
      </c>
      <c r="AA56" s="241"/>
      <c r="AB56" s="241"/>
      <c r="AC56" s="448">
        <f>IF(AC51&lt;=0,0,(+AC54*Q56))</f>
        <v>0</v>
      </c>
      <c r="AJ56" s="88"/>
      <c r="AK56" s="88"/>
      <c r="AL56" s="88"/>
      <c r="AM56" s="42"/>
      <c r="AN56" s="88"/>
      <c r="AO56" s="42"/>
      <c r="AP56" s="42"/>
      <c r="AQ56" s="42"/>
      <c r="AR56" s="42"/>
      <c r="AS56" s="42"/>
      <c r="AT56" s="42"/>
      <c r="AU56" s="42"/>
      <c r="AV56" s="89"/>
      <c r="AW56" s="42"/>
      <c r="AX56" s="42"/>
      <c r="AY56" s="42"/>
      <c r="AZ56" s="42"/>
      <c r="BA56" s="42"/>
      <c r="BB56" s="42"/>
      <c r="BC56" s="42"/>
      <c r="BD56" s="89"/>
      <c r="BE56" s="89"/>
      <c r="BF56" s="89"/>
      <c r="BG56" s="42"/>
      <c r="BH56" s="42"/>
      <c r="BI56" s="263">
        <f>Z56</f>
        <v>0</v>
      </c>
      <c r="BJ56" s="42"/>
      <c r="BK56" s="42"/>
      <c r="BL56" s="42"/>
    </row>
    <row r="57" spans="1:64" ht="16.2" thickBot="1" x14ac:dyDescent="0.35">
      <c r="A57" s="118"/>
      <c r="B57" s="118">
        <f>SUM(AI56:AI57)</f>
        <v>0</v>
      </c>
      <c r="C57" s="119">
        <f>SUM(AK56:AK57)</f>
        <v>0</v>
      </c>
      <c r="D57" s="118">
        <f>SUM(AK56:AK57)</f>
        <v>0</v>
      </c>
      <c r="E57" s="119">
        <f>SUM(AO56:AO57)</f>
        <v>0</v>
      </c>
      <c r="F57" s="119">
        <f>SUM(BE56:BE57, BG56:BG57,BC56:BC57)</f>
        <v>0</v>
      </c>
      <c r="G57" s="119"/>
      <c r="H57" s="119">
        <f>SUM(AQ56:AQ57)+SUM(AR56:AR57)</f>
        <v>0</v>
      </c>
      <c r="I57" s="119">
        <f>SUM(AT56:AT57)+SUM(AP56:AP57)</f>
        <v>0</v>
      </c>
      <c r="J57" s="119"/>
      <c r="K57" s="119">
        <f>SUM(AX56:AX57)+SUM(AZ56:AZ57)+SUM(BB56:BB57)+SUM(AV56:AV57)</f>
        <v>0</v>
      </c>
      <c r="M57" s="119"/>
      <c r="N57" s="94" t="s">
        <v>52</v>
      </c>
      <c r="O57" s="223"/>
      <c r="P57" s="220" t="str">
        <f>"Subtotal of Costs for "&amp;P56</f>
        <v>Subtotal of Costs for Nominated Off-site overheads (9.3.10)</v>
      </c>
      <c r="Q57" s="221"/>
      <c r="R57" s="230"/>
      <c r="S57" s="230"/>
      <c r="T57" s="230"/>
      <c r="U57" s="230"/>
      <c r="V57" s="230"/>
      <c r="W57" s="230"/>
      <c r="X57" s="230"/>
      <c r="Y57" s="221"/>
      <c r="Z57" s="246">
        <f>Z54+Z56</f>
        <v>0</v>
      </c>
      <c r="AA57" s="221"/>
      <c r="AB57" s="221"/>
      <c r="AC57" s="445">
        <f>AC54+AC56</f>
        <v>0</v>
      </c>
      <c r="AJ57" s="92"/>
      <c r="AK57" s="92"/>
      <c r="AL57" s="92"/>
      <c r="AN57" s="92"/>
      <c r="AY57" s="42"/>
      <c r="AZ57" s="42"/>
    </row>
    <row r="58" spans="1:64" ht="16.2" thickBot="1" x14ac:dyDescent="0.35">
      <c r="A58" s="118"/>
      <c r="B58" s="118"/>
      <c r="C58" s="119"/>
      <c r="D58" s="118"/>
      <c r="E58" s="119"/>
      <c r="F58" s="119"/>
      <c r="G58" s="119"/>
      <c r="H58" s="119"/>
      <c r="I58" s="119"/>
      <c r="J58" s="119"/>
      <c r="K58" s="119"/>
      <c r="M58" s="119"/>
      <c r="N58" s="94" t="s">
        <v>52</v>
      </c>
      <c r="P58" s="95"/>
      <c r="R58" s="88"/>
      <c r="S58" s="88"/>
      <c r="T58" s="88"/>
      <c r="U58" s="88"/>
      <c r="V58" s="88"/>
      <c r="W58" s="88"/>
      <c r="X58" s="88"/>
      <c r="Y58" s="192"/>
      <c r="Z58" s="192"/>
      <c r="AA58" s="215"/>
      <c r="AC58" s="6"/>
      <c r="AJ58" s="92"/>
      <c r="AK58" s="92"/>
      <c r="AL58" s="92"/>
      <c r="AN58" s="92"/>
      <c r="AY58" s="42"/>
      <c r="AZ58" s="42"/>
    </row>
    <row r="59" spans="1:64" ht="16.2" thickBot="1" x14ac:dyDescent="0.35">
      <c r="A59" s="118"/>
      <c r="B59" s="118"/>
      <c r="C59" s="119"/>
      <c r="D59" s="118"/>
      <c r="E59" s="119"/>
      <c r="F59" s="119"/>
      <c r="G59" s="119"/>
      <c r="H59" s="119"/>
      <c r="I59" s="119"/>
      <c r="J59" s="119"/>
      <c r="K59" s="119"/>
      <c r="M59" s="119"/>
      <c r="N59" s="94" t="s">
        <v>52</v>
      </c>
      <c r="O59" s="245" t="s">
        <v>182</v>
      </c>
      <c r="P59" s="244" t="s">
        <v>183</v>
      </c>
      <c r="Q59" s="256">
        <f>O69</f>
        <v>0</v>
      </c>
      <c r="R59" s="215"/>
      <c r="S59" s="215"/>
      <c r="T59" s="215"/>
      <c r="U59" s="244"/>
      <c r="V59" s="227"/>
      <c r="W59" s="227"/>
      <c r="X59" s="227"/>
      <c r="Y59" s="244">
        <f>Q69</f>
        <v>0</v>
      </c>
      <c r="Z59" s="216">
        <f>Y59*Q59</f>
        <v>0</v>
      </c>
      <c r="AA59" s="215"/>
      <c r="AB59" s="215"/>
      <c r="AC59" s="437">
        <f>Z59</f>
        <v>0</v>
      </c>
      <c r="AD59" s="431"/>
      <c r="AE59" s="431"/>
      <c r="AJ59" s="92"/>
      <c r="AK59" s="92"/>
      <c r="AL59" s="92"/>
      <c r="AN59" s="92"/>
      <c r="AY59" s="42"/>
      <c r="AZ59" s="42"/>
      <c r="BI59" s="93"/>
    </row>
    <row r="60" spans="1:64" ht="15.6" x14ac:dyDescent="0.3">
      <c r="A60" s="118"/>
      <c r="B60" s="118"/>
      <c r="C60" s="119"/>
      <c r="D60" s="118"/>
      <c r="E60" s="119"/>
      <c r="F60" s="119"/>
      <c r="G60" s="119"/>
      <c r="H60" s="119"/>
      <c r="I60" s="119"/>
      <c r="J60" s="119"/>
      <c r="K60" s="119"/>
      <c r="M60" s="119"/>
      <c r="N60" s="94" t="s">
        <v>52</v>
      </c>
      <c r="O60" s="255" t="s">
        <v>184</v>
      </c>
      <c r="P60" s="92"/>
      <c r="Q60" s="252"/>
      <c r="U60" s="92"/>
      <c r="V60" s="88"/>
      <c r="W60" s="88"/>
      <c r="X60" s="88"/>
      <c r="Y60" s="88">
        <f>Z53+Z56</f>
        <v>0</v>
      </c>
      <c r="Z60" s="192"/>
      <c r="AA60" s="88"/>
      <c r="AC60" s="6"/>
      <c r="AJ60" s="92"/>
      <c r="AK60" s="92"/>
      <c r="AL60" s="92"/>
      <c r="AN60" s="92"/>
      <c r="AY60" s="42"/>
      <c r="AZ60" s="42"/>
    </row>
    <row r="61" spans="1:64" ht="15.6" x14ac:dyDescent="0.3">
      <c r="A61" s="118"/>
      <c r="B61" s="118"/>
      <c r="C61" s="119"/>
      <c r="D61" s="118"/>
      <c r="E61" s="119"/>
      <c r="F61" s="119"/>
      <c r="G61" s="119"/>
      <c r="H61" s="119"/>
      <c r="I61" s="119"/>
      <c r="J61" s="119"/>
      <c r="K61" s="119"/>
      <c r="M61" s="119"/>
      <c r="N61" s="94" t="s">
        <v>52</v>
      </c>
      <c r="O61" s="255" t="s">
        <v>185</v>
      </c>
      <c r="P61" s="92"/>
      <c r="Q61" s="252"/>
      <c r="U61" s="92"/>
      <c r="V61" s="88"/>
      <c r="W61" s="88"/>
      <c r="X61" s="88"/>
      <c r="Y61" s="88">
        <f>Z59-Y60</f>
        <v>0</v>
      </c>
      <c r="Z61" s="257">
        <f>IF(Y61&gt;0,Y61,0)</f>
        <v>0</v>
      </c>
      <c r="AA61" s="88"/>
      <c r="AC61" s="257">
        <f>IF(Y61&gt;0,Y61,0)</f>
        <v>0</v>
      </c>
      <c r="AJ61" s="92"/>
      <c r="AK61" s="92"/>
      <c r="AL61" s="92"/>
      <c r="AN61" s="92"/>
      <c r="AY61" s="42"/>
      <c r="AZ61" s="42"/>
      <c r="BH61" s="93">
        <f>Z61</f>
        <v>0</v>
      </c>
    </row>
    <row r="62" spans="1:64" ht="15.6" x14ac:dyDescent="0.3">
      <c r="A62" s="118"/>
      <c r="B62" s="118"/>
      <c r="C62" s="119"/>
      <c r="D62" s="118"/>
      <c r="E62" s="119"/>
      <c r="F62" s="119"/>
      <c r="G62" s="119"/>
      <c r="H62" s="119"/>
      <c r="I62" s="119"/>
      <c r="J62" s="119"/>
      <c r="K62" s="119"/>
      <c r="M62" s="119"/>
      <c r="N62" s="94" t="s">
        <v>52</v>
      </c>
      <c r="P62" s="254" t="s">
        <v>186</v>
      </c>
      <c r="Q62" s="252"/>
      <c r="U62" s="92"/>
      <c r="V62" s="88"/>
      <c r="W62" s="88"/>
      <c r="X62" s="88"/>
      <c r="Y62" s="92"/>
      <c r="Z62" s="192">
        <f>Z61+Z57</f>
        <v>0</v>
      </c>
      <c r="AA62" s="88"/>
      <c r="AC62" s="192">
        <f>AC61+AC57</f>
        <v>0</v>
      </c>
      <c r="AJ62" s="92"/>
      <c r="AK62" s="92"/>
      <c r="AL62" s="92"/>
      <c r="AN62" s="92"/>
      <c r="AY62" s="42"/>
      <c r="AZ62" s="42"/>
    </row>
    <row r="63" spans="1:64" ht="15.6" x14ac:dyDescent="0.3">
      <c r="A63" s="118"/>
      <c r="B63" s="118"/>
      <c r="C63" s="119"/>
      <c r="D63" s="118"/>
      <c r="E63" s="119"/>
      <c r="F63" s="119"/>
      <c r="G63" s="119"/>
      <c r="H63" s="119"/>
      <c r="I63" s="119"/>
      <c r="J63" s="119"/>
      <c r="K63" s="119"/>
      <c r="M63" s="119"/>
      <c r="N63" s="94" t="s">
        <v>52</v>
      </c>
      <c r="O63" s="255" t="s">
        <v>192</v>
      </c>
      <c r="P63" s="92"/>
      <c r="Q63" s="252"/>
      <c r="U63" s="92"/>
      <c r="V63" s="88"/>
      <c r="W63" s="88"/>
      <c r="X63" s="88"/>
      <c r="Y63" s="92"/>
      <c r="Z63" s="192"/>
      <c r="AA63" s="88"/>
      <c r="AC63" s="6"/>
      <c r="AJ63" s="92"/>
      <c r="AK63" s="92"/>
      <c r="AL63" s="92"/>
      <c r="AN63" s="92"/>
      <c r="AY63" s="42"/>
      <c r="AZ63" s="42"/>
    </row>
    <row r="64" spans="1:64" ht="16.2" thickBot="1" x14ac:dyDescent="0.35">
      <c r="A64" s="118"/>
      <c r="B64" s="118"/>
      <c r="C64" s="119"/>
      <c r="D64" s="118"/>
      <c r="E64" s="119"/>
      <c r="F64" s="119"/>
      <c r="G64" s="119"/>
      <c r="H64" s="119"/>
      <c r="I64" s="119"/>
      <c r="J64" s="119"/>
      <c r="K64" s="119"/>
      <c r="M64" s="119"/>
      <c r="N64" s="94" t="s">
        <v>52</v>
      </c>
      <c r="P64" t="s">
        <v>191</v>
      </c>
      <c r="R64" s="88"/>
      <c r="S64" s="88"/>
      <c r="T64" s="88"/>
      <c r="U64" s="88"/>
      <c r="V64" s="88"/>
      <c r="W64" s="88"/>
      <c r="X64" s="88"/>
      <c r="Y64" s="192">
        <f>(Z49+Z50)</f>
        <v>0</v>
      </c>
      <c r="Z64" s="192"/>
      <c r="AA64" s="88"/>
      <c r="AB64" s="221"/>
      <c r="AC64" s="6"/>
      <c r="AJ64" s="92"/>
      <c r="AK64" s="92"/>
      <c r="AL64" s="92"/>
      <c r="AN64" s="92"/>
      <c r="AY64" s="42"/>
      <c r="AZ64" s="42"/>
    </row>
    <row r="65" spans="1:68" ht="15.6" x14ac:dyDescent="0.3">
      <c r="C65" s="91"/>
      <c r="E65" s="91"/>
      <c r="F65" s="91"/>
      <c r="G65" s="91"/>
      <c r="H65" s="91"/>
      <c r="I65" s="91"/>
      <c r="J65" s="91"/>
      <c r="K65" s="91"/>
      <c r="L65" s="91"/>
      <c r="M65" s="91"/>
      <c r="N65" s="94" t="s">
        <v>52</v>
      </c>
      <c r="O65" s="222" t="s">
        <v>178</v>
      </c>
      <c r="P65" s="217" t="s">
        <v>171</v>
      </c>
      <c r="Q65" s="218">
        <f>SUMRY!O4</f>
        <v>0.03</v>
      </c>
      <c r="R65" s="228"/>
      <c r="S65" s="229"/>
      <c r="T65" s="229"/>
      <c r="U65" s="229"/>
      <c r="V65" s="229"/>
      <c r="W65" s="229"/>
      <c r="X65" s="229"/>
      <c r="Y65" s="219"/>
      <c r="Z65" s="265"/>
      <c r="AA65" s="241"/>
      <c r="AC65" s="218"/>
      <c r="AD65" s="431"/>
      <c r="AE65" s="431"/>
      <c r="AJ65" s="88"/>
      <c r="AK65" s="88"/>
      <c r="AL65" s="88"/>
      <c r="AM65" s="42"/>
      <c r="AN65" s="88"/>
      <c r="AO65" s="42"/>
      <c r="AP65" s="42"/>
      <c r="AQ65" s="42"/>
      <c r="AR65" s="42"/>
      <c r="AS65" s="42"/>
      <c r="AT65" s="42"/>
      <c r="AU65" s="42"/>
      <c r="AV65" s="89"/>
      <c r="AW65" s="42"/>
      <c r="AX65" s="42"/>
      <c r="AY65" s="42"/>
      <c r="AZ65" s="42"/>
      <c r="BA65" s="42"/>
      <c r="BB65" s="42"/>
      <c r="BC65" s="42"/>
      <c r="BD65" s="89"/>
      <c r="BE65" s="89"/>
      <c r="BF65" s="89"/>
      <c r="BG65" s="42"/>
      <c r="BH65" s="42"/>
      <c r="BI65" s="42"/>
      <c r="BJ65" s="42"/>
      <c r="BK65" s="42"/>
      <c r="BL65" s="42"/>
    </row>
    <row r="66" spans="1:68" ht="16.2" thickBot="1" x14ac:dyDescent="0.35">
      <c r="A66" s="118"/>
      <c r="B66" s="118">
        <f>SUM(AI65:AI66)</f>
        <v>0</v>
      </c>
      <c r="C66" s="119">
        <f>SUM(AK65:AK66)</f>
        <v>0</v>
      </c>
      <c r="D66" s="118">
        <f>SUM(AK65:AK66)</f>
        <v>0</v>
      </c>
      <c r="E66" s="119">
        <f>SUM(AO65:AO66)</f>
        <v>0</v>
      </c>
      <c r="F66" s="119">
        <f>SUM(BE65:BE66, BG65:BG66,BC65:BC66)</f>
        <v>0</v>
      </c>
      <c r="G66" s="119"/>
      <c r="H66" s="119">
        <f>SUM(AQ65:AQ66)+SUM(AR65:AR66)</f>
        <v>0</v>
      </c>
      <c r="I66" s="119">
        <f>SUM(AT65:AT66)+SUM(AP65:AP66)</f>
        <v>0</v>
      </c>
      <c r="J66" s="119"/>
      <c r="K66" s="119">
        <f>SUM(AX65:AX66)+SUM(AZ65:AZ66)+SUM(BB65:BB66)+SUM(AV65:AV66)</f>
        <v>0</v>
      </c>
      <c r="M66" s="119"/>
      <c r="N66" s="94" t="s">
        <v>52</v>
      </c>
      <c r="O66" s="223"/>
      <c r="P66" s="220" t="str">
        <f>"Subtotal of Costs for "&amp;P65</f>
        <v>Subtotal of Costs for Time Spent Processing Cost (9.3.14)</v>
      </c>
      <c r="Q66" s="221"/>
      <c r="R66" s="230"/>
      <c r="S66" s="230"/>
      <c r="T66" s="230"/>
      <c r="U66" s="230"/>
      <c r="V66" s="230"/>
      <c r="W66" s="230"/>
      <c r="X66" s="230"/>
      <c r="Y66" s="221"/>
      <c r="Z66" s="258">
        <f>IF(Y64*Q65&lt;25,25,Y64*Q65)</f>
        <v>25</v>
      </c>
      <c r="AA66" s="221"/>
      <c r="AC66" s="438">
        <f>IF(Y64*Q65&lt;25,25,Y64*Q65)</f>
        <v>25</v>
      </c>
      <c r="AD66" s="431"/>
      <c r="AE66" s="431"/>
      <c r="AJ66" s="92"/>
      <c r="AK66" s="92"/>
      <c r="AL66" s="92"/>
      <c r="AN66" s="92"/>
      <c r="AY66" s="42"/>
      <c r="AZ66" s="42"/>
      <c r="BI66" s="93">
        <f>Z66</f>
        <v>25</v>
      </c>
    </row>
    <row r="67" spans="1:68" ht="16.2" thickBot="1" x14ac:dyDescent="0.35">
      <c r="A67" s="118"/>
      <c r="B67" s="118"/>
      <c r="C67" s="119"/>
      <c r="D67" s="118"/>
      <c r="E67" s="119"/>
      <c r="F67" s="119"/>
      <c r="G67" s="119"/>
      <c r="H67" s="119"/>
      <c r="I67" s="119"/>
      <c r="J67" s="119"/>
      <c r="K67" s="119"/>
      <c r="M67" s="119"/>
      <c r="N67" s="94"/>
      <c r="P67" s="95"/>
      <c r="R67" s="88"/>
      <c r="S67" s="88"/>
      <c r="T67" s="88"/>
      <c r="U67" s="88"/>
      <c r="V67" s="88"/>
      <c r="W67" s="88"/>
      <c r="X67" s="88"/>
      <c r="Y67" s="192"/>
      <c r="Z67" s="192"/>
      <c r="AA67" s="88"/>
      <c r="AB67" s="241"/>
      <c r="AC67" s="6"/>
      <c r="AJ67" s="92"/>
      <c r="AK67" s="92"/>
      <c r="AL67" s="92"/>
      <c r="AN67" s="92"/>
      <c r="AY67" s="42"/>
      <c r="AZ67" s="42"/>
    </row>
    <row r="68" spans="1:68" ht="15.6" x14ac:dyDescent="0.3">
      <c r="A68" s="118"/>
      <c r="B68" s="118"/>
      <c r="C68" s="119"/>
      <c r="D68" s="118"/>
      <c r="E68" s="119"/>
      <c r="F68" s="119"/>
      <c r="G68" s="119"/>
      <c r="H68" s="119"/>
      <c r="I68" s="119"/>
      <c r="J68" s="119"/>
      <c r="K68" s="119"/>
      <c r="M68" s="119"/>
      <c r="N68" s="94"/>
      <c r="O68" s="249" t="s">
        <v>177</v>
      </c>
      <c r="P68" s="250" t="s">
        <v>179</v>
      </c>
      <c r="Q68" s="241"/>
      <c r="R68" s="242"/>
      <c r="S68" s="242"/>
      <c r="T68" s="242"/>
      <c r="U68" s="242"/>
      <c r="V68" s="242"/>
      <c r="W68" s="242"/>
      <c r="X68" s="242"/>
      <c r="Y68" s="243"/>
      <c r="Z68" s="248"/>
      <c r="AA68" s="88"/>
      <c r="AC68" s="6"/>
      <c r="AJ68" s="92"/>
      <c r="AK68" s="92"/>
      <c r="AL68" s="92"/>
      <c r="AN68" s="92"/>
      <c r="AY68" s="42"/>
      <c r="AZ68" s="42"/>
    </row>
    <row r="69" spans="1:68" ht="16.2" thickBot="1" x14ac:dyDescent="0.35">
      <c r="A69" s="118"/>
      <c r="B69" s="118"/>
      <c r="C69" s="119"/>
      <c r="D69" s="118"/>
      <c r="E69" s="119"/>
      <c r="F69" s="119"/>
      <c r="G69" s="119"/>
      <c r="H69" s="119"/>
      <c r="I69" s="119"/>
      <c r="J69" s="119"/>
      <c r="K69" s="119"/>
      <c r="M69" s="119"/>
      <c r="N69" s="94"/>
      <c r="O69" s="251">
        <v>0</v>
      </c>
      <c r="P69" s="246" t="s">
        <v>180</v>
      </c>
      <c r="Q69" s="247">
        <v>0</v>
      </c>
      <c r="R69" s="221"/>
      <c r="S69" s="221"/>
      <c r="T69" s="221"/>
      <c r="U69" s="246"/>
      <c r="V69" s="230"/>
      <c r="W69" s="230"/>
      <c r="X69" s="230"/>
      <c r="Y69" s="246" t="s">
        <v>181</v>
      </c>
      <c r="Z69" s="232"/>
      <c r="AA69" s="88"/>
      <c r="AC69" s="6"/>
      <c r="AJ69" s="92"/>
      <c r="AK69" s="92"/>
      <c r="AL69" s="92"/>
      <c r="AN69" s="92"/>
      <c r="AY69" s="42"/>
      <c r="AZ69" s="42"/>
    </row>
    <row r="70" spans="1:68" ht="15.6" x14ac:dyDescent="0.3">
      <c r="A70" s="118"/>
      <c r="B70" s="118"/>
      <c r="C70" s="119"/>
      <c r="D70" s="118"/>
      <c r="E70" s="119"/>
      <c r="F70" s="119"/>
      <c r="G70" s="119"/>
      <c r="H70" s="119"/>
      <c r="I70" s="119"/>
      <c r="J70" s="119"/>
      <c r="K70" s="119"/>
      <c r="M70" s="119"/>
      <c r="N70" s="94"/>
      <c r="P70" s="95"/>
      <c r="R70" s="88"/>
      <c r="S70" s="88"/>
      <c r="T70" s="88"/>
      <c r="U70" s="88"/>
      <c r="V70" s="88"/>
      <c r="W70" s="88"/>
      <c r="X70" s="88"/>
      <c r="Y70" s="192"/>
      <c r="Z70" s="192"/>
      <c r="AA70" s="88"/>
      <c r="AC70" s="6"/>
      <c r="AJ70" s="92"/>
      <c r="AK70" s="92"/>
      <c r="AL70" s="92"/>
      <c r="AN70" s="92"/>
      <c r="AY70" s="42"/>
      <c r="AZ70" s="42"/>
    </row>
    <row r="71" spans="1:68" ht="15.6" x14ac:dyDescent="0.3">
      <c r="A71" s="118"/>
      <c r="B71" s="118"/>
      <c r="C71" s="119"/>
      <c r="D71" s="118"/>
      <c r="E71" s="119"/>
      <c r="F71" s="119"/>
      <c r="G71" s="119"/>
      <c r="H71" s="119"/>
      <c r="I71" s="119"/>
      <c r="J71" s="119"/>
      <c r="K71" s="119"/>
      <c r="M71" s="119"/>
      <c r="N71" s="94"/>
      <c r="P71" s="95"/>
      <c r="R71" s="88"/>
      <c r="S71" s="88"/>
      <c r="T71" s="88"/>
      <c r="U71" s="88"/>
      <c r="V71" s="88"/>
      <c r="W71" s="88"/>
      <c r="X71" s="88"/>
      <c r="Y71" s="192"/>
      <c r="Z71" s="192"/>
      <c r="AA71" s="88"/>
      <c r="AC71" s="6"/>
      <c r="AJ71" s="92"/>
      <c r="AK71" s="92"/>
      <c r="AL71" s="92"/>
      <c r="AN71" s="92"/>
      <c r="AY71" s="42"/>
      <c r="AZ71" s="42"/>
    </row>
    <row r="72" spans="1:68" ht="16.2" thickBot="1" x14ac:dyDescent="0.35">
      <c r="C72" s="91"/>
      <c r="E72" s="91"/>
      <c r="F72" s="91"/>
      <c r="G72" s="91"/>
      <c r="H72" s="91"/>
      <c r="I72" s="91"/>
      <c r="J72" s="91"/>
      <c r="K72" s="91"/>
      <c r="L72" s="91"/>
      <c r="M72" s="91"/>
      <c r="P72" s="96" t="s">
        <v>39</v>
      </c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447"/>
      <c r="AC72" s="434"/>
      <c r="AL72" s="88"/>
      <c r="AN72" s="88"/>
      <c r="BJ72" s="171"/>
      <c r="BK72" s="171"/>
      <c r="BL72" s="171"/>
      <c r="BM72" s="171"/>
      <c r="BN72" s="171"/>
      <c r="BO72" s="171"/>
      <c r="BP72" s="171"/>
    </row>
    <row r="73" spans="1:68" ht="15.6" thickTop="1" x14ac:dyDescent="0.25">
      <c r="A73" s="19"/>
      <c r="B73" s="698"/>
      <c r="C73" s="742">
        <f>+AK74</f>
        <v>0</v>
      </c>
      <c r="D73" s="72"/>
      <c r="E73" s="52"/>
      <c r="F73" s="53"/>
      <c r="G73" s="53"/>
      <c r="H73" s="74"/>
      <c r="I73" s="54"/>
      <c r="J73" s="54"/>
      <c r="K73" s="75"/>
      <c r="L73" s="55"/>
      <c r="M73" s="55"/>
      <c r="N73" s="235" t="s">
        <v>52</v>
      </c>
      <c r="O73" s="12"/>
      <c r="P73" s="12"/>
      <c r="Q73" s="12"/>
      <c r="R73" s="39"/>
      <c r="S73" s="39"/>
      <c r="T73" s="39"/>
      <c r="U73" s="39"/>
      <c r="V73" s="39"/>
      <c r="W73" s="39"/>
      <c r="X73" s="39"/>
      <c r="Y73" s="12"/>
      <c r="Z73" s="12"/>
      <c r="AA73" s="12"/>
      <c r="AC73" s="435"/>
      <c r="AD73" s="689"/>
      <c r="AE73" s="39"/>
      <c r="AF73" s="195"/>
      <c r="AG73" s="196"/>
      <c r="AH73" s="197"/>
      <c r="AI73" s="67"/>
      <c r="AJ73" s="67"/>
      <c r="AK73" s="67"/>
      <c r="AL73" s="689"/>
      <c r="AM73" s="695"/>
      <c r="AN73" s="39"/>
      <c r="AO73" s="57"/>
      <c r="AP73" s="46"/>
      <c r="AQ73" s="46"/>
      <c r="AR73" s="46"/>
      <c r="AS73" s="46"/>
      <c r="AT73" s="46"/>
      <c r="AU73" s="46"/>
      <c r="AV73" s="49"/>
      <c r="AW73" s="49"/>
      <c r="AX73" s="49"/>
      <c r="AY73" s="49"/>
      <c r="AZ73" s="49"/>
      <c r="BA73" s="63"/>
      <c r="BB73" s="63"/>
      <c r="BC73" s="29"/>
      <c r="BD73" s="29"/>
      <c r="BE73" s="29"/>
      <c r="BF73" s="63"/>
      <c r="BG73" s="63"/>
      <c r="BH73" s="259"/>
      <c r="BI73" s="259"/>
      <c r="BJ73" s="231"/>
      <c r="BK73" s="231"/>
      <c r="BL73" s="231"/>
      <c r="BM73" s="231"/>
      <c r="BN73" s="231"/>
      <c r="BO73" s="267"/>
      <c r="BP73" s="231"/>
    </row>
    <row r="74" spans="1:68" ht="15.6" x14ac:dyDescent="0.3">
      <c r="A74" s="21">
        <f>Z56+Z53</f>
        <v>0</v>
      </c>
      <c r="B74" s="688">
        <f>+AI74</f>
        <v>0</v>
      </c>
      <c r="C74" s="743"/>
      <c r="D74" s="79">
        <f>+AK74</f>
        <v>0</v>
      </c>
      <c r="E74" s="76">
        <f>+AO74</f>
        <v>0</v>
      </c>
      <c r="F74" s="78">
        <f>+BE74+BG74+BC74</f>
        <v>0</v>
      </c>
      <c r="G74" s="78"/>
      <c r="H74" s="81">
        <f>+AQ74+AR74</f>
        <v>0</v>
      </c>
      <c r="I74" s="77">
        <f>+AT74+AP74</f>
        <v>0</v>
      </c>
      <c r="J74" s="77"/>
      <c r="K74" s="82">
        <f>+AX74+AZ74+BB74+AV74</f>
        <v>0</v>
      </c>
      <c r="L74" s="41"/>
      <c r="M74" s="33"/>
      <c r="N74" s="236" t="s">
        <v>52</v>
      </c>
      <c r="O74" s="7" t="s">
        <v>100</v>
      </c>
      <c r="Q74" s="5"/>
      <c r="R74" s="35"/>
      <c r="S74" s="35"/>
      <c r="T74" s="35"/>
      <c r="U74" s="35"/>
      <c r="V74" s="35"/>
      <c r="W74" s="35"/>
      <c r="X74" s="35"/>
      <c r="Y74" s="5"/>
      <c r="Z74" s="277">
        <f>SUM(Z62:Z66)</f>
        <v>25</v>
      </c>
      <c r="AC74" s="118">
        <f>SUM(AC62:AC66)</f>
        <v>25</v>
      </c>
      <c r="AD74" s="688">
        <f t="shared" ref="AD74:AI74" si="0">SUM(AD8:AD73)</f>
        <v>0</v>
      </c>
      <c r="AE74" s="76">
        <f t="shared" si="0"/>
        <v>0</v>
      </c>
      <c r="AF74" s="77">
        <f t="shared" si="0"/>
        <v>0</v>
      </c>
      <c r="AG74" s="71">
        <f t="shared" si="0"/>
        <v>0</v>
      </c>
      <c r="AH74" s="78">
        <f t="shared" si="0"/>
        <v>0</v>
      </c>
      <c r="AI74" s="79">
        <f t="shared" si="0"/>
        <v>0</v>
      </c>
      <c r="AJ74" s="170"/>
      <c r="AK74" s="79">
        <f>SUM(AK8:AK73)</f>
        <v>0</v>
      </c>
      <c r="AL74" s="696"/>
      <c r="AM74" s="688">
        <f>SUM(AM8:AM73)</f>
        <v>0</v>
      </c>
      <c r="AN74" s="80"/>
      <c r="AO74" s="76">
        <f>SUM(AO8:AO73)</f>
        <v>0</v>
      </c>
      <c r="AP74" s="77">
        <f>SUM(AP8:AP73)</f>
        <v>0</v>
      </c>
      <c r="AQ74" s="77">
        <f>SUM(AQ8:AQ73)</f>
        <v>0</v>
      </c>
      <c r="AR74" s="77">
        <f>SUM(AR8:AR73)</f>
        <v>0</v>
      </c>
      <c r="AS74" s="77"/>
      <c r="AT74" s="77">
        <f>SUM(AT8:AT73)</f>
        <v>0</v>
      </c>
      <c r="AU74" s="77"/>
      <c r="AV74" s="71">
        <f>SUM(AV8:AV73)</f>
        <v>0</v>
      </c>
      <c r="AW74" s="71"/>
      <c r="AX74" s="71">
        <f>SUM(AX8:AX73)</f>
        <v>0</v>
      </c>
      <c r="AY74" s="71"/>
      <c r="AZ74" s="71">
        <f>SUM(AZ8:AZ73)</f>
        <v>0</v>
      </c>
      <c r="BA74" s="79"/>
      <c r="BB74" s="79">
        <f>SUM(BB8:BB73)</f>
        <v>0</v>
      </c>
      <c r="BC74" s="78">
        <f>SUM(BC8:BC73)</f>
        <v>0</v>
      </c>
      <c r="BD74" s="78"/>
      <c r="BE74" s="78">
        <f>SUM(BE8:BE73)</f>
        <v>0</v>
      </c>
      <c r="BF74" s="79"/>
      <c r="BG74" s="79">
        <f>SUM(BG8:BG73)</f>
        <v>0</v>
      </c>
      <c r="BH74" s="260">
        <f>SUM(BH8:BH73)</f>
        <v>0</v>
      </c>
      <c r="BI74" s="260">
        <f>SUM(BI8:BI73)</f>
        <v>25</v>
      </c>
      <c r="BJ74" s="266"/>
      <c r="BK74" s="266"/>
      <c r="BL74" s="266"/>
      <c r="BM74" s="266"/>
      <c r="BN74" s="266"/>
      <c r="BO74" s="266"/>
      <c r="BP74" s="266"/>
    </row>
    <row r="75" spans="1:68" ht="15.6" x14ac:dyDescent="0.3">
      <c r="A75" s="236"/>
      <c r="B75" s="236"/>
      <c r="C75" s="13"/>
      <c r="D75" s="236"/>
      <c r="E75" s="13"/>
      <c r="F75" s="13"/>
      <c r="G75" s="13"/>
      <c r="H75" s="13"/>
      <c r="I75" s="13"/>
      <c r="J75" s="13"/>
      <c r="K75" s="13"/>
      <c r="L75" s="13"/>
      <c r="M75" s="13"/>
      <c r="N75" s="236" t="s">
        <v>52</v>
      </c>
      <c r="O75" s="10"/>
      <c r="P75" s="10"/>
      <c r="Q75" s="10"/>
      <c r="R75" s="40"/>
      <c r="S75" s="40"/>
      <c r="T75" s="40"/>
      <c r="U75" s="40"/>
      <c r="V75" s="40"/>
      <c r="W75" s="40"/>
      <c r="X75" s="40"/>
      <c r="Y75" s="10"/>
      <c r="Z75" s="10"/>
      <c r="AA75" s="10"/>
      <c r="AB75" s="436"/>
      <c r="AD75" s="690"/>
      <c r="AE75" s="40"/>
      <c r="AF75" s="45"/>
      <c r="AG75" s="32"/>
      <c r="AH75" s="48"/>
      <c r="AI75" s="68"/>
      <c r="AJ75" s="68"/>
      <c r="AK75" s="68"/>
      <c r="AL75" s="690"/>
      <c r="AM75" s="697"/>
      <c r="AN75" s="40"/>
      <c r="AO75" s="58"/>
      <c r="AP75" s="47"/>
      <c r="AQ75" s="47"/>
      <c r="AR75" s="47"/>
      <c r="AS75" s="47"/>
      <c r="AT75" s="47"/>
      <c r="AU75" s="47"/>
      <c r="AV75" s="50"/>
      <c r="AW75" s="50"/>
      <c r="AX75" s="50"/>
      <c r="AY75" s="50"/>
      <c r="AZ75" s="50"/>
      <c r="BA75" s="64"/>
      <c r="BB75" s="64"/>
      <c r="BC75" s="30"/>
      <c r="BD75" s="30"/>
      <c r="BE75" s="30"/>
      <c r="BF75" s="64"/>
      <c r="BG75" s="64"/>
      <c r="BH75" s="261"/>
      <c r="BI75" s="261"/>
      <c r="BJ75" s="266"/>
      <c r="BK75" s="266"/>
      <c r="BL75" s="266"/>
      <c r="BM75" s="266"/>
      <c r="BN75" s="266"/>
      <c r="BO75" s="268" t="s">
        <v>168</v>
      </c>
      <c r="BP75" s="269">
        <f>SUM(BO10:BP73)</f>
        <v>0</v>
      </c>
    </row>
    <row r="76" spans="1:68" x14ac:dyDescent="0.25">
      <c r="AI76" s="6"/>
      <c r="BJ76" s="42"/>
      <c r="BK76" s="42"/>
      <c r="BL76" s="42"/>
      <c r="BM76" s="213"/>
    </row>
    <row r="77" spans="1:68" x14ac:dyDescent="0.25">
      <c r="AI77" s="6"/>
      <c r="BJ77" s="204"/>
      <c r="BK77" s="204"/>
      <c r="BL77" s="204"/>
      <c r="BM77" s="213"/>
      <c r="BN77" s="200"/>
      <c r="BO77" s="200"/>
      <c r="BP77" s="200"/>
    </row>
    <row r="78" spans="1:68" x14ac:dyDescent="0.25">
      <c r="Z78" s="93"/>
      <c r="AI78" s="6"/>
      <c r="BJ78" s="211"/>
      <c r="BK78" s="211"/>
      <c r="BL78" s="211"/>
      <c r="BM78" s="213"/>
      <c r="BN78" s="200"/>
      <c r="BO78" s="200"/>
      <c r="BP78" s="200"/>
    </row>
    <row r="79" spans="1:68" x14ac:dyDescent="0.25">
      <c r="Z79" s="93"/>
      <c r="AI79" s="6"/>
      <c r="BJ79" s="211"/>
      <c r="BK79" s="211"/>
      <c r="BL79" s="211"/>
      <c r="BM79" s="213"/>
      <c r="BN79" s="200"/>
      <c r="BO79" s="200"/>
      <c r="BP79" s="200"/>
    </row>
    <row r="80" spans="1:68" x14ac:dyDescent="0.25">
      <c r="Z80" s="93"/>
      <c r="AI80" s="6"/>
      <c r="BJ80" s="211"/>
      <c r="BK80" s="211"/>
      <c r="BL80" s="211"/>
      <c r="BM80" s="213"/>
      <c r="BN80" s="200"/>
      <c r="BO80" s="200"/>
      <c r="BP80" s="200"/>
    </row>
    <row r="81" spans="35:68" x14ac:dyDescent="0.25">
      <c r="AI81" s="6"/>
      <c r="BJ81" s="211"/>
      <c r="BK81" s="211"/>
      <c r="BL81" s="211"/>
      <c r="BM81" s="213"/>
      <c r="BN81" s="200"/>
      <c r="BO81" s="200"/>
      <c r="BP81" s="200"/>
    </row>
    <row r="82" spans="35:68" x14ac:dyDescent="0.25">
      <c r="AI82" s="6"/>
      <c r="BJ82" s="211"/>
      <c r="BK82" s="211"/>
      <c r="BL82" s="211"/>
      <c r="BM82" s="213"/>
      <c r="BN82" s="200"/>
      <c r="BO82" s="200"/>
      <c r="BP82" s="200"/>
    </row>
    <row r="83" spans="35:68" x14ac:dyDescent="0.25">
      <c r="AI83" s="6"/>
      <c r="BJ83" s="211"/>
      <c r="BK83" s="211"/>
      <c r="BL83" s="211"/>
      <c r="BM83" s="213"/>
      <c r="BN83" s="200"/>
      <c r="BO83" s="200"/>
      <c r="BP83" s="200"/>
    </row>
    <row r="84" spans="35:68" x14ac:dyDescent="0.25">
      <c r="AI84" s="6"/>
      <c r="BM84" s="213"/>
    </row>
    <row r="85" spans="35:68" x14ac:dyDescent="0.25">
      <c r="AI85" s="6"/>
      <c r="BM85" s="213"/>
    </row>
    <row r="86" spans="35:68" x14ac:dyDescent="0.25">
      <c r="AI86" s="6"/>
      <c r="BJ86" s="42"/>
      <c r="BK86" s="42"/>
      <c r="BL86" s="42"/>
      <c r="BM86" s="213"/>
    </row>
    <row r="87" spans="35:68" x14ac:dyDescent="0.25">
      <c r="AI87" s="6"/>
      <c r="BJ87" s="204"/>
      <c r="BK87" s="204"/>
      <c r="BL87" s="204"/>
      <c r="BM87" s="213"/>
      <c r="BN87" s="200"/>
      <c r="BO87" s="200"/>
      <c r="BP87" s="200"/>
    </row>
    <row r="88" spans="35:68" x14ac:dyDescent="0.25">
      <c r="AI88" s="6"/>
      <c r="BJ88" s="211"/>
      <c r="BK88" s="211"/>
      <c r="BL88" s="211"/>
      <c r="BM88" s="213"/>
      <c r="BN88" s="200"/>
      <c r="BO88" s="200"/>
      <c r="BP88" s="200"/>
    </row>
    <row r="89" spans="35:68" x14ac:dyDescent="0.25">
      <c r="AI89" s="6"/>
      <c r="BJ89" s="211"/>
      <c r="BK89" s="211"/>
      <c r="BL89" s="211"/>
      <c r="BM89" s="213"/>
      <c r="BN89" s="200"/>
      <c r="BO89" s="200"/>
      <c r="BP89" s="200"/>
    </row>
    <row r="90" spans="35:68" x14ac:dyDescent="0.25">
      <c r="AI90" s="6"/>
      <c r="BJ90" s="211"/>
      <c r="BK90" s="211"/>
      <c r="BL90" s="211"/>
      <c r="BM90" s="213"/>
      <c r="BN90" s="200"/>
      <c r="BO90" s="200"/>
      <c r="BP90" s="200"/>
    </row>
    <row r="91" spans="35:68" x14ac:dyDescent="0.25">
      <c r="AI91" s="6"/>
      <c r="BJ91" s="211"/>
      <c r="BK91" s="211"/>
      <c r="BL91" s="211"/>
      <c r="BM91" s="213"/>
      <c r="BN91" s="200"/>
      <c r="BO91" s="200"/>
      <c r="BP91" s="200"/>
    </row>
    <row r="92" spans="35:68" x14ac:dyDescent="0.25">
      <c r="BJ92" s="211"/>
      <c r="BK92" s="211"/>
      <c r="BL92" s="211"/>
      <c r="BM92" s="213"/>
      <c r="BN92" s="200"/>
      <c r="BO92" s="200"/>
      <c r="BP92" s="200"/>
    </row>
    <row r="93" spans="35:68" x14ac:dyDescent="0.25">
      <c r="BJ93" s="211"/>
      <c r="BK93" s="211"/>
      <c r="BL93" s="211"/>
      <c r="BM93" s="213"/>
      <c r="BN93" s="200"/>
      <c r="BO93" s="200"/>
      <c r="BP93" s="200"/>
    </row>
  </sheetData>
  <mergeCells count="16">
    <mergeCell ref="AP6:AU6"/>
    <mergeCell ref="AV6:BB6"/>
    <mergeCell ref="BC6:BG6"/>
    <mergeCell ref="Y47:Z47"/>
    <mergeCell ref="AN6:AO6"/>
    <mergeCell ref="O1:Q1"/>
    <mergeCell ref="O2:Q2"/>
    <mergeCell ref="O3:Q3"/>
    <mergeCell ref="O4:P7"/>
    <mergeCell ref="B6:C6"/>
    <mergeCell ref="C73:C74"/>
    <mergeCell ref="AL6:AM6"/>
    <mergeCell ref="R5:X5"/>
    <mergeCell ref="V6:V7"/>
    <mergeCell ref="W6:W7"/>
    <mergeCell ref="X6:X7"/>
  </mergeCells>
  <dataValidations count="1">
    <dataValidation allowBlank="1" showInputMessage="1" showErrorMessage="1" sqref="A1:BI1048576 BK1:XFD1048576 BJ1:BJ1048576" xr:uid="{00000000-0002-0000-0400-000000000000}"/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C89"/>
  <sheetViews>
    <sheetView topLeftCell="U1" zoomScale="70" zoomScaleNormal="70" workbookViewId="0">
      <pane ySplit="7" topLeftCell="A8" activePane="bottomLeft" state="frozen"/>
      <selection activeCell="C2" sqref="C2"/>
      <selection pane="bottomLeft" activeCell="AA10" sqref="AA10"/>
    </sheetView>
  </sheetViews>
  <sheetFormatPr defaultColWidth="8.81640625" defaultRowHeight="15" x14ac:dyDescent="0.25"/>
  <cols>
    <col min="1" max="2" width="8.81640625" style="20"/>
    <col min="3" max="3" width="12.81640625" style="20" bestFit="1" customWidth="1"/>
    <col min="4" max="4" width="13.81640625" style="20" customWidth="1"/>
    <col min="5" max="5" width="10.453125" style="20" customWidth="1"/>
    <col min="6" max="8" width="12.81640625" style="20" customWidth="1"/>
    <col min="9" max="9" width="22.1796875" style="20" bestFit="1" customWidth="1"/>
    <col min="10" max="11" width="12.81640625" style="20" customWidth="1"/>
    <col min="12" max="12" width="10.1796875" style="20" bestFit="1" customWidth="1"/>
    <col min="13" max="13" width="10.81640625" style="20" customWidth="1"/>
    <col min="14" max="14" width="25.81640625" style="20" customWidth="1"/>
    <col min="15" max="15" width="30.81640625" style="20" customWidth="1"/>
    <col min="16" max="16" width="16.81640625" style="20" customWidth="1"/>
    <col min="17" max="17" width="14.81640625" style="20" customWidth="1"/>
    <col min="18" max="18" width="14.453125" style="20" customWidth="1"/>
    <col min="19" max="19" width="16.36328125" style="20" customWidth="1"/>
    <col min="20" max="21" width="9.81640625" style="20" customWidth="1"/>
    <col min="22" max="24" width="10.81640625" style="20" customWidth="1"/>
    <col min="25" max="25" width="16.453125" style="20" customWidth="1"/>
    <col min="26" max="28" width="10.81640625" style="20" customWidth="1"/>
    <col min="29" max="29" width="1.453125" style="20" customWidth="1"/>
    <col min="30" max="31" width="8.81640625" style="20" customWidth="1"/>
    <col min="32" max="32" width="17.81640625" style="20" customWidth="1"/>
    <col min="33" max="53" width="10.81640625" style="20" customWidth="1"/>
    <col min="54" max="55" width="2.453125" style="20" customWidth="1"/>
    <col min="56" max="63" width="8.81640625" style="20" customWidth="1"/>
    <col min="64" max="16384" width="8.81640625" style="20"/>
  </cols>
  <sheetData>
    <row r="1" spans="1:55" s="122" customFormat="1" ht="15.75" customHeight="1" x14ac:dyDescent="0.25">
      <c r="E1" s="121"/>
      <c r="F1" s="121" t="s">
        <v>84</v>
      </c>
      <c r="G1" s="157">
        <v>0.1</v>
      </c>
      <c r="J1" s="121"/>
      <c r="K1" s="121"/>
      <c r="L1" s="121" t="s">
        <v>52</v>
      </c>
      <c r="M1" s="746" t="s">
        <v>0</v>
      </c>
      <c r="N1" s="746"/>
      <c r="O1" s="151" t="s">
        <v>34</v>
      </c>
      <c r="P1" s="110" t="s">
        <v>78</v>
      </c>
      <c r="Q1" s="472"/>
      <c r="R1" s="472"/>
      <c r="S1" s="473"/>
      <c r="T1" s="121"/>
      <c r="U1" s="121"/>
      <c r="V1" s="150"/>
      <c r="W1" s="121"/>
      <c r="X1" s="121"/>
      <c r="Y1" s="121"/>
      <c r="Z1" s="121"/>
      <c r="AA1" s="121"/>
      <c r="AB1" s="121"/>
      <c r="AC1" s="121"/>
      <c r="AD1" s="121"/>
      <c r="AE1" s="121"/>
      <c r="AF1" s="151"/>
      <c r="AG1" s="151"/>
      <c r="AH1" s="152"/>
      <c r="AI1" s="152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2" t="s">
        <v>70</v>
      </c>
      <c r="BC1" s="122" t="s">
        <v>71</v>
      </c>
    </row>
    <row r="2" spans="1:55" s="122" customFormat="1" ht="16.5" customHeight="1" x14ac:dyDescent="0.25">
      <c r="E2" s="121"/>
      <c r="F2" s="121" t="s">
        <v>85</v>
      </c>
      <c r="G2" s="157">
        <v>0.1</v>
      </c>
      <c r="H2" s="148"/>
      <c r="I2" s="148"/>
      <c r="J2" s="148"/>
      <c r="K2" s="121"/>
      <c r="L2" s="121" t="s">
        <v>52</v>
      </c>
      <c r="M2" s="152" t="s">
        <v>1</v>
      </c>
      <c r="N2" s="112" t="s">
        <v>79</v>
      </c>
      <c r="O2" s="474"/>
      <c r="P2" s="151"/>
      <c r="Q2" s="475"/>
      <c r="R2" s="475"/>
      <c r="S2" s="475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52"/>
      <c r="AG2" s="152"/>
      <c r="AH2" s="152"/>
      <c r="AI2" s="152"/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1"/>
      <c r="AZ2" s="121"/>
      <c r="BA2" s="121"/>
      <c r="BB2" s="122" t="s">
        <v>70</v>
      </c>
      <c r="BC2" s="122" t="s">
        <v>71</v>
      </c>
    </row>
    <row r="3" spans="1:55" ht="15.6" x14ac:dyDescent="0.3">
      <c r="E3"/>
      <c r="F3" t="s">
        <v>76</v>
      </c>
      <c r="G3" s="158">
        <v>59</v>
      </c>
      <c r="H3" s="149"/>
      <c r="I3" s="149"/>
      <c r="J3" s="43"/>
      <c r="K3"/>
      <c r="L3" s="121" t="s">
        <v>52</v>
      </c>
      <c r="M3" s="747" t="s">
        <v>86</v>
      </c>
      <c r="N3" s="747"/>
      <c r="O3" s="133" t="s">
        <v>2</v>
      </c>
      <c r="P3" s="111" t="s">
        <v>77</v>
      </c>
      <c r="Q3" s="476"/>
      <c r="R3" s="476"/>
      <c r="T3" s="748"/>
      <c r="U3" s="749"/>
      <c r="V3" s="749"/>
      <c r="W3" s="749"/>
      <c r="X3" s="749"/>
      <c r="Y3" s="749"/>
      <c r="Z3" s="749"/>
      <c r="AA3" s="749"/>
      <c r="AB3" s="470"/>
      <c r="AC3" s="470"/>
      <c r="AD3" s="470"/>
      <c r="AE3" s="470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2" t="s">
        <v>70</v>
      </c>
      <c r="BC3" s="122" t="s">
        <v>71</v>
      </c>
    </row>
    <row r="4" spans="1:55" s="122" customFormat="1" ht="15.6" x14ac:dyDescent="0.25">
      <c r="E4"/>
      <c r="F4" t="s">
        <v>95</v>
      </c>
      <c r="G4" s="159">
        <v>0.03</v>
      </c>
      <c r="H4" s="149"/>
      <c r="I4" s="149"/>
      <c r="J4" s="43"/>
      <c r="K4"/>
      <c r="L4" s="121" t="s">
        <v>52</v>
      </c>
      <c r="N4" s="121"/>
      <c r="O4" s="121"/>
      <c r="P4" s="121"/>
      <c r="Q4" s="477"/>
      <c r="R4" s="477"/>
      <c r="S4" s="478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X4" s="153"/>
      <c r="BB4" s="122" t="s">
        <v>70</v>
      </c>
      <c r="BC4" s="122" t="s">
        <v>71</v>
      </c>
    </row>
    <row r="5" spans="1:55" ht="15.6" x14ac:dyDescent="0.25">
      <c r="E5"/>
      <c r="F5" s="69" t="s">
        <v>96</v>
      </c>
      <c r="G5" s="158">
        <v>25</v>
      </c>
      <c r="H5" s="178"/>
      <c r="I5" s="178"/>
      <c r="AC5" s="20" t="s">
        <v>52</v>
      </c>
      <c r="AF5" s="745" t="s">
        <v>4</v>
      </c>
      <c r="AG5" s="745"/>
      <c r="AH5" s="745"/>
      <c r="AI5" s="745"/>
      <c r="AJ5" s="745"/>
      <c r="AK5" s="745"/>
      <c r="AL5" s="745"/>
      <c r="AM5" s="745"/>
      <c r="AP5"/>
      <c r="AQ5" s="744"/>
      <c r="AR5" s="728"/>
      <c r="AS5" s="750"/>
      <c r="AT5" s="751"/>
      <c r="AU5" s="751"/>
      <c r="AV5" s="751"/>
      <c r="AW5" s="744"/>
      <c r="AX5" s="744"/>
      <c r="AY5" s="744"/>
      <c r="AZ5" s="744"/>
      <c r="BA5" s="728"/>
      <c r="BB5" s="122" t="s">
        <v>70</v>
      </c>
      <c r="BC5" s="122" t="s">
        <v>71</v>
      </c>
    </row>
    <row r="6" spans="1:55" ht="46.8" x14ac:dyDescent="0.3">
      <c r="C6" s="467" t="s">
        <v>214</v>
      </c>
      <c r="D6" s="467" t="s">
        <v>161</v>
      </c>
      <c r="E6" s="467" t="s">
        <v>215</v>
      </c>
      <c r="F6" s="467" t="s">
        <v>130</v>
      </c>
      <c r="G6" s="618" t="s">
        <v>15</v>
      </c>
      <c r="J6" s="180" t="s">
        <v>93</v>
      </c>
      <c r="K6" s="179" t="s">
        <v>103</v>
      </c>
      <c r="L6" s="154" t="s">
        <v>104</v>
      </c>
      <c r="M6" s="179" t="s">
        <v>105</v>
      </c>
      <c r="N6" s="179" t="s">
        <v>94</v>
      </c>
      <c r="O6" s="179" t="s">
        <v>106</v>
      </c>
      <c r="P6" s="179" t="s">
        <v>107</v>
      </c>
      <c r="Q6" s="708" t="s">
        <v>276</v>
      </c>
      <c r="R6" s="180" t="s">
        <v>5</v>
      </c>
      <c r="S6" s="180" t="s">
        <v>205</v>
      </c>
      <c r="T6" s="154" t="s">
        <v>88</v>
      </c>
      <c r="U6" s="154" t="s">
        <v>89</v>
      </c>
      <c r="V6" s="180" t="s">
        <v>6</v>
      </c>
      <c r="W6" s="180" t="s">
        <v>90</v>
      </c>
      <c r="X6" s="180" t="s">
        <v>91</v>
      </c>
      <c r="Y6" s="180" t="s">
        <v>92</v>
      </c>
      <c r="Z6" s="180" t="s">
        <v>193</v>
      </c>
      <c r="AA6" s="180" t="s">
        <v>9</v>
      </c>
      <c r="AB6" s="180" t="s">
        <v>275</v>
      </c>
      <c r="AC6" s="20" t="s">
        <v>52</v>
      </c>
      <c r="AF6" s="156" t="s">
        <v>276</v>
      </c>
      <c r="AG6" s="156" t="s">
        <v>5</v>
      </c>
      <c r="AH6" s="619" t="s">
        <v>6</v>
      </c>
      <c r="AI6" s="619" t="s">
        <v>7</v>
      </c>
      <c r="AJ6" s="156" t="s">
        <v>8</v>
      </c>
      <c r="AK6" s="156" t="s">
        <v>21</v>
      </c>
      <c r="AL6" s="156" t="s">
        <v>9</v>
      </c>
      <c r="AM6" s="156" t="s">
        <v>275</v>
      </c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122" t="s">
        <v>70</v>
      </c>
      <c r="BC6" s="122" t="s">
        <v>71</v>
      </c>
    </row>
    <row r="7" spans="1:55" ht="15.6" thickBot="1" x14ac:dyDescent="0.3">
      <c r="A7" s="584"/>
      <c r="B7" s="584"/>
      <c r="C7" s="584"/>
      <c r="D7" s="584"/>
      <c r="E7" s="584"/>
      <c r="F7" s="584"/>
      <c r="G7" s="584"/>
      <c r="H7" s="584"/>
      <c r="I7" s="584"/>
      <c r="J7" s="584"/>
      <c r="K7" s="584"/>
      <c r="L7" s="584" t="s">
        <v>52</v>
      </c>
      <c r="M7" s="584"/>
      <c r="N7" s="584"/>
      <c r="O7" s="584"/>
      <c r="P7" s="584"/>
      <c r="Q7" s="584"/>
      <c r="R7" s="584"/>
      <c r="S7" s="584"/>
      <c r="T7" s="584"/>
      <c r="U7" s="584"/>
      <c r="V7" s="584"/>
      <c r="W7" s="584"/>
      <c r="X7" s="584"/>
      <c r="Y7" s="584"/>
      <c r="Z7" s="584"/>
      <c r="AA7" s="584"/>
      <c r="AB7" s="584"/>
      <c r="AC7" s="20" t="s">
        <v>52</v>
      </c>
      <c r="AF7" s="620" t="s">
        <v>9</v>
      </c>
      <c r="AG7" s="620" t="s">
        <v>9</v>
      </c>
      <c r="AH7" s="620" t="s">
        <v>9</v>
      </c>
      <c r="AI7" s="620" t="s">
        <v>9</v>
      </c>
      <c r="AJ7" s="620" t="s">
        <v>9</v>
      </c>
      <c r="AK7" s="620" t="s">
        <v>9</v>
      </c>
      <c r="AL7" s="620"/>
      <c r="AM7" s="620"/>
      <c r="BB7" s="122" t="s">
        <v>70</v>
      </c>
      <c r="BC7" s="122" t="s">
        <v>71</v>
      </c>
    </row>
    <row r="8" spans="1:55" ht="15.6" thickTop="1" x14ac:dyDescent="0.25">
      <c r="AC8" s="20" t="s">
        <v>52</v>
      </c>
      <c r="BB8" s="122"/>
      <c r="BC8" s="122"/>
    </row>
    <row r="9" spans="1:55" x14ac:dyDescent="0.25">
      <c r="J9" s="124">
        <v>0</v>
      </c>
      <c r="K9" s="124">
        <v>0</v>
      </c>
      <c r="L9" s="149">
        <f>AA9-J9</f>
        <v>0</v>
      </c>
      <c r="M9" s="621" t="s">
        <v>87</v>
      </c>
      <c r="N9" s="183" t="s">
        <v>77</v>
      </c>
      <c r="O9" s="183" t="s">
        <v>102</v>
      </c>
      <c r="Q9" s="650" t="str" cm="1">
        <f t="array" ref="Q9">IF(E9=""," ",ConvertToFormula("'"&amp;E9&amp;"'!toSumSums"))</f>
        <v xml:space="preserve"> </v>
      </c>
      <c r="R9" s="650" t="str" cm="1">
        <f t="array" ref="R9">IF(F9=""," ",ConvertToFormula("'"&amp;F9&amp;"'!toSumSums"))</f>
        <v xml:space="preserve"> </v>
      </c>
      <c r="S9" s="650" t="str" cm="1">
        <f t="array" ref="S9">IF(F9=""," ",ConvertToFormula("'"&amp;F9&amp;"'!toSumLSProfit"))</f>
        <v xml:space="preserve"> </v>
      </c>
      <c r="T9" s="650" t="str" cm="1">
        <f t="array" ref="T9">IF(F9=""," ",ConvertToFormula("'"&amp;F9&amp;"'!toSumSubs"))</f>
        <v xml:space="preserve"> </v>
      </c>
      <c r="U9" s="650" t="str" cm="1">
        <f t="array" ref="U9">IF(F9=""," ",ConvertToFormula("'"&amp;F9&amp;"'!toSumMats"))</f>
        <v xml:space="preserve"> </v>
      </c>
      <c r="V9" s="650" t="str" cm="1">
        <f t="array" ref="V9">IF(F9=""," ",ConvertToFormula("'"&amp;F9&amp;"'!toSumLab"))</f>
        <v xml:space="preserve"> </v>
      </c>
      <c r="W9" s="650">
        <v>0</v>
      </c>
      <c r="X9" s="650" t="str" cm="1">
        <f t="array" ref="X9">IF(F9=""," ",ConvertToFormula("'"&amp;F9&amp;"'!toSumMarg"))</f>
        <v xml:space="preserve"> </v>
      </c>
      <c r="Y9" s="650" t="str" cm="1">
        <f t="array" ref="Y9">IF(F9=""," ",ConvertToFormula("'"&amp;F9&amp;"'!toSumProcess"))</f>
        <v xml:space="preserve"> </v>
      </c>
      <c r="Z9" s="650" t="str" cm="1">
        <f t="array" ref="Z9">IF(F9=""," ",ConvertToFormula("'"&amp;F9&amp;"'!toSumEOT"))</f>
        <v xml:space="preserve"> </v>
      </c>
      <c r="AA9" s="650">
        <f>SUM(R9:Z9)</f>
        <v>0</v>
      </c>
      <c r="AB9" s="149"/>
      <c r="AC9" s="20" t="s">
        <v>52</v>
      </c>
      <c r="BB9" s="122" t="s">
        <v>70</v>
      </c>
      <c r="BC9" s="122" t="s">
        <v>71</v>
      </c>
    </row>
    <row r="10" spans="1:55" s="420" customFormat="1" x14ac:dyDescent="0.25">
      <c r="A10" s="537"/>
      <c r="B10" s="537"/>
      <c r="C10" s="537" t="s">
        <v>280</v>
      </c>
      <c r="D10" s="537" t="s">
        <v>281</v>
      </c>
      <c r="E10" s="537" t="s">
        <v>282</v>
      </c>
      <c r="F10" s="617"/>
      <c r="G10" s="421" t="str">
        <f>"M3"</f>
        <v>M3</v>
      </c>
      <c r="H10" s="537"/>
      <c r="I10" s="537"/>
      <c r="J10" s="412" t="str">
        <f>"BO2"</f>
        <v>BO2</v>
      </c>
      <c r="K10" s="412" t="str">
        <f>"BP2"</f>
        <v>BP2</v>
      </c>
      <c r="L10" s="412" t="str">
        <f>"OrgK10-J10"</f>
        <v>OrgK10-J10</v>
      </c>
      <c r="M10" s="412" t="str">
        <f>"BN2"</f>
        <v>BN2</v>
      </c>
      <c r="N10" s="418" t="str">
        <f>"X4"</f>
        <v>X4</v>
      </c>
      <c r="O10" s="419" t="s">
        <v>283</v>
      </c>
      <c r="Q10" s="650" t="str">
        <f>"tosumSite"</f>
        <v>tosumSite</v>
      </c>
      <c r="R10" s="650" t="str">
        <f>"toSumSums"</f>
        <v>toSumSums</v>
      </c>
      <c r="S10" s="650" t="str">
        <f>"toSumLSProfit"</f>
        <v>toSumLSProfit</v>
      </c>
      <c r="T10" s="650" t="str">
        <f>"toSumSubs"</f>
        <v>toSumSubs</v>
      </c>
      <c r="U10" s="650" t="str">
        <f>"toSumMats"</f>
        <v>toSumMats</v>
      </c>
      <c r="V10" s="650" t="str">
        <f>"toSumLab"</f>
        <v>toSumLab</v>
      </c>
      <c r="W10" s="650">
        <v>0</v>
      </c>
      <c r="X10" s="650" t="str">
        <f>"toSumMarg"</f>
        <v>toSumMarg</v>
      </c>
      <c r="Y10" s="650" t="str">
        <f>"toSumProcess"</f>
        <v>toSumProcess</v>
      </c>
      <c r="Z10" s="650" t="str">
        <f>"toSumEOT"</f>
        <v>toSumEOT</v>
      </c>
      <c r="AA10" s="650" t="str">
        <f>"OrgSUM(R10:Z10)"</f>
        <v>OrgSUM(R10:Z10)</v>
      </c>
      <c r="AB10" s="650" t="str">
        <f>"OrgL10-SUM(R10:Z10)"</f>
        <v>OrgL10-SUM(R10:Z10)</v>
      </c>
      <c r="AC10" s="420" t="s">
        <v>284</v>
      </c>
      <c r="AF10" s="650" t="str">
        <f>"progSite"</f>
        <v>progSite</v>
      </c>
      <c r="AG10" s="650" t="str">
        <f>"progSums"</f>
        <v>progSums</v>
      </c>
      <c r="AH10" s="650" t="str">
        <f>"progLab"</f>
        <v>progLab</v>
      </c>
      <c r="AI10" s="650" t="str">
        <f>"progMats"</f>
        <v>progMats</v>
      </c>
      <c r="AJ10" s="650" t="str">
        <f>"progSubs"</f>
        <v>progSubs</v>
      </c>
      <c r="AK10" s="650" t="str">
        <f>"progProf"</f>
        <v>progProf</v>
      </c>
      <c r="AL10" s="650" t="str">
        <f>"OrgSUM(AG10:AK10)"</f>
        <v>OrgSUM(AG10:AK10)</v>
      </c>
      <c r="AM10" s="650" t="str">
        <f>"OrgM10-SUM(AG10:AK10)"</f>
        <v>OrgM10-SUM(AG10:AK10)</v>
      </c>
      <c r="BA10" s="420" t="str">
        <f>"CondF8:M500"</f>
        <v>CondF8:M500</v>
      </c>
      <c r="BB10" s="420" t="s">
        <v>285</v>
      </c>
      <c r="BC10" s="420" t="s">
        <v>71</v>
      </c>
    </row>
    <row r="11" spans="1:55" ht="15.6" thickBot="1" x14ac:dyDescent="0.3">
      <c r="A11" s="584"/>
      <c r="B11" s="584"/>
      <c r="AC11" s="20" t="s">
        <v>52</v>
      </c>
      <c r="BB11" s="122"/>
      <c r="BC11" s="122"/>
    </row>
    <row r="12" spans="1:55" ht="15.6" thickTop="1" x14ac:dyDescent="0.25">
      <c r="C12" s="485"/>
      <c r="D12" s="485"/>
      <c r="E12" s="485"/>
      <c r="F12" s="485"/>
      <c r="G12" s="485"/>
      <c r="H12" s="485"/>
      <c r="I12" s="485"/>
      <c r="J12" s="485"/>
      <c r="K12" s="485"/>
      <c r="L12" s="485" t="s">
        <v>52</v>
      </c>
      <c r="M12" s="486"/>
      <c r="N12" s="622" t="s">
        <v>40</v>
      </c>
      <c r="O12" s="486"/>
      <c r="P12" s="487"/>
      <c r="Q12" s="488"/>
      <c r="R12" s="488"/>
      <c r="S12" s="489"/>
      <c r="T12" s="489"/>
      <c r="U12" s="489"/>
      <c r="V12" s="489"/>
      <c r="W12" s="489"/>
      <c r="X12" s="489"/>
      <c r="Y12" s="489"/>
      <c r="Z12" s="489"/>
      <c r="AA12" s="489"/>
      <c r="AB12" s="489"/>
      <c r="AC12" s="20" t="s">
        <v>52</v>
      </c>
      <c r="AF12" s="435"/>
      <c r="AG12" s="435"/>
      <c r="AH12" s="435"/>
      <c r="AI12" s="435"/>
      <c r="AJ12" s="435"/>
      <c r="AK12" s="435"/>
      <c r="AL12" s="435"/>
      <c r="AM12" s="435"/>
      <c r="BB12" s="122" t="s">
        <v>70</v>
      </c>
      <c r="BC12" s="122" t="s">
        <v>71</v>
      </c>
    </row>
    <row r="13" spans="1:55" ht="15.6" x14ac:dyDescent="0.3">
      <c r="E13" s="134"/>
      <c r="F13" s="120"/>
      <c r="G13" s="120"/>
      <c r="H13" s="126" t="s">
        <v>112</v>
      </c>
      <c r="I13" s="126"/>
      <c r="L13" s="127">
        <f>SUM(L$6:L12)</f>
        <v>0</v>
      </c>
      <c r="M13" s="126"/>
      <c r="N13" s="126"/>
      <c r="O13" s="126"/>
      <c r="R13" s="23"/>
      <c r="S13" s="23"/>
      <c r="T13"/>
      <c r="U13"/>
      <c r="AJ13" s="93">
        <f t="shared" ref="AJ13:AK13" si="0">SUM(AJ8:AJ11)</f>
        <v>0</v>
      </c>
      <c r="AK13" s="93">
        <f t="shared" si="0"/>
        <v>0</v>
      </c>
      <c r="AL13" s="93"/>
      <c r="AM13" s="93"/>
      <c r="AN13" s="125"/>
      <c r="AO13" s="125"/>
      <c r="AP13" s="125"/>
      <c r="AQ13" s="125"/>
      <c r="AR13" s="125"/>
      <c r="AS13" s="125"/>
      <c r="AT13" s="125"/>
      <c r="AU13" s="125"/>
      <c r="AV13" s="125"/>
      <c r="AW13" s="125"/>
      <c r="AX13" s="125"/>
      <c r="AY13" s="125"/>
      <c r="AZ13" s="125"/>
      <c r="BA13" s="125"/>
      <c r="BB13" s="122" t="s">
        <v>70</v>
      </c>
      <c r="BC13" s="122" t="s">
        <v>71</v>
      </c>
    </row>
    <row r="14" spans="1:55" ht="15.6" x14ac:dyDescent="0.3">
      <c r="F14" s="120"/>
      <c r="G14" s="120"/>
      <c r="L14" s="121" t="s">
        <v>52</v>
      </c>
      <c r="O14" s="134"/>
      <c r="P14" s="134"/>
      <c r="Q14" s="134"/>
      <c r="R14" s="23"/>
      <c r="S14" s="23"/>
      <c r="T14"/>
      <c r="U14"/>
      <c r="AC14" s="20" t="s">
        <v>52</v>
      </c>
      <c r="AF14" s="436"/>
      <c r="AG14" s="436"/>
      <c r="AH14" s="436"/>
      <c r="AI14" s="436"/>
      <c r="AJ14" s="436"/>
      <c r="AK14" s="436"/>
      <c r="AL14" s="436"/>
      <c r="BB14" s="122" t="s">
        <v>70</v>
      </c>
      <c r="BC14" s="122" t="s">
        <v>71</v>
      </c>
    </row>
    <row r="15" spans="1:55" ht="15.6" x14ac:dyDescent="0.3">
      <c r="F15" s="120"/>
      <c r="G15" s="120"/>
      <c r="L15" s="121"/>
      <c r="P15" s="123"/>
      <c r="Q15" s="23"/>
      <c r="R15" s="23"/>
      <c r="S15" s="23"/>
      <c r="AH15" s="23"/>
      <c r="AI15" s="134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 s="122"/>
    </row>
    <row r="16" spans="1:55" ht="15.6" x14ac:dyDescent="0.3">
      <c r="F16" s="120"/>
      <c r="G16" s="120"/>
      <c r="L16" s="121"/>
      <c r="P16" s="123"/>
      <c r="Q16" s="23"/>
      <c r="R16" s="23"/>
      <c r="S16" s="23"/>
      <c r="T16"/>
      <c r="U16"/>
      <c r="AH16" s="23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 s="122"/>
    </row>
    <row r="17" spans="6:54" ht="15.6" x14ac:dyDescent="0.3">
      <c r="F17" s="120"/>
      <c r="G17" s="120"/>
      <c r="L17" s="121"/>
      <c r="P17" s="123"/>
      <c r="Q17" s="123"/>
      <c r="R17" s="123"/>
      <c r="S17" s="123"/>
      <c r="T17"/>
      <c r="U17"/>
      <c r="AH17" s="123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 s="122"/>
    </row>
    <row r="18" spans="6:54" ht="15.6" x14ac:dyDescent="0.3">
      <c r="F18" s="120"/>
      <c r="G18" s="120"/>
      <c r="L18" s="121"/>
      <c r="P18" s="124"/>
      <c r="Q18" s="124"/>
      <c r="R18" s="124"/>
      <c r="S18" s="23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125"/>
      <c r="AG18" s="125"/>
      <c r="AH18" s="125"/>
      <c r="AI18"/>
      <c r="AJ18"/>
      <c r="AP18"/>
      <c r="AQ18"/>
      <c r="AR18"/>
      <c r="AS18"/>
      <c r="AT18"/>
      <c r="AU18"/>
      <c r="AV18"/>
      <c r="AW18"/>
      <c r="AX18"/>
      <c r="AY18"/>
      <c r="AZ18"/>
      <c r="BA18"/>
      <c r="BB18" s="122"/>
    </row>
    <row r="19" spans="6:54" ht="15.6" x14ac:dyDescent="0.3">
      <c r="F19" s="120"/>
      <c r="G19" s="120"/>
      <c r="L19" s="121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2"/>
    </row>
    <row r="20" spans="6:54" ht="15.6" x14ac:dyDescent="0.3">
      <c r="F20" s="120"/>
      <c r="L20" s="121"/>
      <c r="M20" s="126"/>
      <c r="N20" s="126"/>
      <c r="O20" s="126"/>
      <c r="P20" s="127"/>
      <c r="Q20" s="127"/>
      <c r="R20" s="127"/>
      <c r="S20" s="127"/>
      <c r="AL20"/>
      <c r="AQ20"/>
      <c r="AR20"/>
      <c r="AW20"/>
      <c r="AX20"/>
      <c r="BB20" s="122"/>
    </row>
    <row r="21" spans="6:54" ht="15.6" x14ac:dyDescent="0.3">
      <c r="F21" s="120"/>
      <c r="L21" s="121"/>
      <c r="M21" s="128"/>
      <c r="N21" s="128"/>
      <c r="O21" s="128"/>
      <c r="P21" s="123"/>
      <c r="Q21" s="123"/>
      <c r="R21" s="123"/>
      <c r="S21" s="123"/>
      <c r="AF21" s="123"/>
      <c r="AG21" s="123"/>
      <c r="AH21" s="123"/>
      <c r="AI21"/>
      <c r="AL21"/>
      <c r="BB21" s="122"/>
    </row>
    <row r="22" spans="6:54" ht="15.6" x14ac:dyDescent="0.3">
      <c r="F22" s="120"/>
      <c r="L22" s="121"/>
      <c r="P22" s="123"/>
      <c r="Q22" s="123"/>
      <c r="R22" s="123"/>
      <c r="S22" s="123"/>
      <c r="T22"/>
      <c r="U22"/>
      <c r="AF22" s="123"/>
      <c r="AG22" s="123"/>
      <c r="AH22" s="123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</row>
    <row r="23" spans="6:54" ht="15.6" x14ac:dyDescent="0.3">
      <c r="F23" s="120"/>
      <c r="L23" s="121"/>
      <c r="P23" s="123"/>
      <c r="Q23" s="123"/>
      <c r="R23" s="123"/>
      <c r="S23" s="123"/>
      <c r="T23"/>
      <c r="U23"/>
      <c r="AF23" s="123"/>
      <c r="AG23" s="123"/>
      <c r="AH23" s="1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</row>
    <row r="24" spans="6:54" ht="15.6" x14ac:dyDescent="0.3">
      <c r="F24" s="120"/>
      <c r="M24" s="126"/>
      <c r="N24" s="126"/>
      <c r="P24" s="123"/>
      <c r="Q24" s="127"/>
      <c r="R24" s="127"/>
      <c r="S24" s="127"/>
      <c r="T24"/>
      <c r="U24"/>
      <c r="AF24" s="123"/>
      <c r="AG24" s="123"/>
      <c r="AH24" s="123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</row>
    <row r="25" spans="6:54" x14ac:dyDescent="0.25">
      <c r="F25" s="121"/>
      <c r="L25" s="121"/>
      <c r="P25" s="123"/>
      <c r="Q25" s="123"/>
      <c r="R25" s="123"/>
      <c r="S25" s="123"/>
      <c r="T25"/>
      <c r="U25"/>
      <c r="AF25" s="123"/>
      <c r="AG25" s="123"/>
      <c r="AH25" s="123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</row>
    <row r="26" spans="6:54" ht="15.6" x14ac:dyDescent="0.3">
      <c r="F26" s="120"/>
      <c r="L26" s="121"/>
      <c r="P26" s="123"/>
      <c r="Q26" s="113"/>
      <c r="R26" s="113"/>
      <c r="S26" s="23"/>
      <c r="T26"/>
      <c r="U26"/>
      <c r="AF26" s="23"/>
      <c r="AG26" s="23"/>
      <c r="AH26" s="23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6:54" ht="15.6" x14ac:dyDescent="0.3">
      <c r="F27" s="120"/>
      <c r="L27" s="121"/>
      <c r="P27" s="123"/>
      <c r="Q27" s="123"/>
      <c r="R27" s="123"/>
      <c r="S27" s="123"/>
      <c r="T27"/>
      <c r="U27"/>
      <c r="AF27" s="123"/>
      <c r="AG27" s="123"/>
      <c r="AH27" s="123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</row>
    <row r="28" spans="6:54" ht="15.6" x14ac:dyDescent="0.3">
      <c r="F28" s="120"/>
      <c r="L28" s="121"/>
      <c r="M28" s="126"/>
      <c r="N28" s="126"/>
      <c r="O28" s="129"/>
      <c r="P28" s="130"/>
      <c r="Q28" s="127"/>
      <c r="R28" s="127"/>
      <c r="S28" s="127"/>
      <c r="T28"/>
      <c r="U28"/>
      <c r="AF28" s="127"/>
      <c r="AG28" s="127"/>
      <c r="AH28" s="127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</row>
    <row r="29" spans="6:54" ht="15.6" x14ac:dyDescent="0.3">
      <c r="F29" s="120"/>
      <c r="L29" s="121"/>
      <c r="P29" s="123"/>
      <c r="Q29" s="123"/>
      <c r="R29" s="123"/>
      <c r="S29" s="123"/>
      <c r="T29"/>
      <c r="U29"/>
      <c r="AF29" s="123"/>
      <c r="AG29" s="123"/>
      <c r="AH29" s="123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</row>
    <row r="30" spans="6:54" ht="15.6" x14ac:dyDescent="0.3">
      <c r="F30" s="120"/>
      <c r="L30" s="121"/>
      <c r="M30" s="131"/>
      <c r="O30" s="131"/>
      <c r="P30" s="131"/>
      <c r="Q30" s="135"/>
      <c r="R30" s="135"/>
      <c r="S30" s="127"/>
      <c r="T30"/>
      <c r="U30"/>
      <c r="AF30" s="127"/>
      <c r="AG30" s="127"/>
      <c r="AH30" s="127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</row>
    <row r="31" spans="6:54" ht="15.6" x14ac:dyDescent="0.3">
      <c r="F31" s="120"/>
      <c r="L31" s="121"/>
      <c r="M31" s="131"/>
      <c r="N31" s="131"/>
      <c r="O31" s="132"/>
      <c r="P31" s="131"/>
      <c r="Q31" s="136"/>
      <c r="R31" s="136"/>
      <c r="S31" s="133"/>
      <c r="T31"/>
      <c r="U31"/>
      <c r="AF31" s="127"/>
      <c r="AG31" s="127"/>
      <c r="AH31" s="127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</row>
    <row r="32" spans="6:54" ht="15.6" x14ac:dyDescent="0.3">
      <c r="L32" s="121"/>
      <c r="M32" s="137"/>
      <c r="P32" s="133"/>
      <c r="Q32" s="138"/>
      <c r="R32" s="138"/>
      <c r="S32" s="127"/>
      <c r="T32"/>
      <c r="U32"/>
      <c r="AF32" s="127"/>
      <c r="AG32" s="127"/>
      <c r="AH32" s="127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</row>
    <row r="33" spans="7:53" x14ac:dyDescent="0.25">
      <c r="T33"/>
      <c r="U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</row>
    <row r="34" spans="7:53" x14ac:dyDescent="0.25">
      <c r="K34" s="139"/>
      <c r="L34" s="139"/>
      <c r="M34" s="139"/>
      <c r="N34" s="139"/>
      <c r="O34" s="139"/>
      <c r="P34" s="69"/>
      <c r="Q34" s="69"/>
      <c r="R34" s="69"/>
      <c r="S34" s="69"/>
      <c r="AF34" s="69"/>
      <c r="AG34" s="69"/>
      <c r="AH34" s="69"/>
      <c r="AI34"/>
      <c r="AJ34"/>
      <c r="AK34"/>
      <c r="AL34"/>
      <c r="AM34"/>
      <c r="AN34"/>
      <c r="AO34"/>
      <c r="AP34"/>
      <c r="AQ34"/>
    </row>
    <row r="35" spans="7:53" x14ac:dyDescent="0.25">
      <c r="G35" s="140"/>
      <c r="H35" s="141"/>
      <c r="I35" s="141"/>
      <c r="J35" s="142"/>
      <c r="K35" s="23"/>
      <c r="L35" s="23"/>
      <c r="M35" s="23"/>
      <c r="N35" s="23"/>
      <c r="O35" s="123"/>
      <c r="P35" s="123"/>
      <c r="Q35" s="143"/>
      <c r="R35" s="143"/>
      <c r="S35" s="143"/>
      <c r="AF35" s="143"/>
      <c r="AG35" s="143"/>
      <c r="AH35" s="43"/>
      <c r="AI35"/>
      <c r="AJ35"/>
      <c r="AK35"/>
      <c r="AL35"/>
      <c r="AM35"/>
      <c r="AN35"/>
      <c r="AO35"/>
      <c r="AP35"/>
      <c r="AQ35"/>
    </row>
    <row r="36" spans="7:53" x14ac:dyDescent="0.25">
      <c r="G36" s="140"/>
      <c r="H36" s="141"/>
      <c r="I36" s="141"/>
      <c r="J36" s="142"/>
      <c r="K36" s="23"/>
      <c r="L36" s="23"/>
      <c r="M36" s="23"/>
      <c r="N36" s="23"/>
      <c r="O36" s="123"/>
      <c r="P36" s="123"/>
      <c r="Q36" s="143"/>
      <c r="R36" s="143"/>
      <c r="S36" s="143"/>
      <c r="AF36" s="143"/>
      <c r="AG36" s="143"/>
      <c r="AH36" s="43"/>
      <c r="AI36"/>
      <c r="AJ36"/>
      <c r="AK36"/>
      <c r="AL36"/>
      <c r="AM36"/>
      <c r="AN36"/>
      <c r="AO36"/>
      <c r="AP36"/>
      <c r="AQ36"/>
    </row>
    <row r="37" spans="7:53" x14ac:dyDescent="0.25">
      <c r="G37" s="140"/>
      <c r="H37" s="141"/>
      <c r="I37" s="141"/>
      <c r="J37" s="142"/>
      <c r="K37" s="23"/>
      <c r="L37" s="23"/>
      <c r="M37" s="23"/>
      <c r="N37" s="23"/>
      <c r="O37" s="123"/>
      <c r="P37" s="123"/>
      <c r="Q37" s="143"/>
      <c r="R37" s="143"/>
      <c r="S37" s="143"/>
      <c r="AF37" s="143"/>
      <c r="AG37" s="143"/>
      <c r="AH37" s="43"/>
      <c r="AI37"/>
      <c r="AJ37"/>
      <c r="AK37"/>
      <c r="AL37"/>
      <c r="AM37"/>
      <c r="AN37"/>
      <c r="AO37"/>
      <c r="AP37"/>
      <c r="AQ37"/>
    </row>
    <row r="38" spans="7:53" x14ac:dyDescent="0.25">
      <c r="G38" s="140"/>
      <c r="H38" s="141"/>
      <c r="I38" s="141"/>
      <c r="J38" s="142"/>
      <c r="K38" s="23"/>
      <c r="L38" s="23"/>
      <c r="M38" s="23"/>
      <c r="N38" s="23"/>
      <c r="O38" s="123"/>
      <c r="P38" s="123"/>
      <c r="Q38" s="143"/>
      <c r="R38" s="143"/>
      <c r="S38" s="143"/>
      <c r="AF38" s="143"/>
      <c r="AG38" s="143"/>
      <c r="AH38" s="43"/>
      <c r="AI38"/>
      <c r="AJ38"/>
      <c r="AK38"/>
      <c r="AL38"/>
      <c r="AM38"/>
      <c r="AN38"/>
      <c r="AO38"/>
      <c r="AP38"/>
      <c r="AQ38"/>
    </row>
    <row r="39" spans="7:53" x14ac:dyDescent="0.25">
      <c r="G39" s="140"/>
      <c r="H39" s="141"/>
      <c r="I39" s="141"/>
      <c r="J39" s="142"/>
      <c r="K39" s="23"/>
      <c r="L39" s="23"/>
      <c r="M39" s="23"/>
      <c r="N39" s="23"/>
      <c r="O39" s="123"/>
      <c r="P39" s="123"/>
      <c r="Q39" s="143"/>
      <c r="R39" s="143"/>
      <c r="S39" s="143"/>
      <c r="AF39" s="143"/>
      <c r="AG39" s="143"/>
      <c r="AH39" s="43"/>
      <c r="AI39"/>
      <c r="AJ39"/>
      <c r="AK39"/>
      <c r="AL39"/>
      <c r="AM39"/>
      <c r="AN39"/>
      <c r="AO39"/>
      <c r="AP39"/>
      <c r="AQ39"/>
    </row>
    <row r="40" spans="7:53" x14ac:dyDescent="0.25">
      <c r="G40" s="140"/>
      <c r="H40" s="141"/>
      <c r="I40" s="141"/>
      <c r="J40" s="142"/>
      <c r="K40" s="23"/>
      <c r="L40" s="23"/>
      <c r="M40" s="23"/>
      <c r="N40" s="23"/>
      <c r="O40" s="123"/>
      <c r="P40" s="123"/>
      <c r="Q40" s="143"/>
      <c r="R40" s="143"/>
      <c r="S40" s="143"/>
      <c r="AF40" s="143"/>
      <c r="AG40" s="143"/>
      <c r="AH40" s="43"/>
      <c r="AI40"/>
      <c r="AJ40"/>
      <c r="AK40"/>
      <c r="AL40"/>
      <c r="AM40"/>
      <c r="AN40"/>
      <c r="AO40"/>
      <c r="AP40"/>
      <c r="AQ40"/>
    </row>
    <row r="41" spans="7:53" x14ac:dyDescent="0.25">
      <c r="G41" s="140"/>
      <c r="H41" s="141"/>
      <c r="I41" s="141"/>
      <c r="J41" s="142"/>
      <c r="K41" s="23"/>
      <c r="L41" s="23"/>
      <c r="M41" s="23"/>
      <c r="N41" s="23"/>
      <c r="O41" s="123"/>
      <c r="P41" s="123"/>
      <c r="Q41" s="143"/>
      <c r="R41" s="143"/>
      <c r="S41" s="143"/>
      <c r="AF41" s="143"/>
      <c r="AG41" s="143"/>
      <c r="AH41" s="43"/>
      <c r="AI41"/>
      <c r="AJ41"/>
      <c r="AK41"/>
      <c r="AL41"/>
      <c r="AM41"/>
      <c r="AN41"/>
      <c r="AO41"/>
      <c r="AP41"/>
      <c r="AQ41"/>
    </row>
    <row r="42" spans="7:53" x14ac:dyDescent="0.25">
      <c r="G42" s="140"/>
      <c r="H42" s="141"/>
      <c r="I42" s="141"/>
      <c r="J42" s="142"/>
      <c r="K42" s="23"/>
      <c r="L42" s="23"/>
      <c r="M42" s="23"/>
      <c r="N42" s="23"/>
      <c r="O42" s="123"/>
      <c r="P42" s="123"/>
      <c r="Q42" s="143"/>
      <c r="R42" s="143"/>
      <c r="S42" s="143"/>
      <c r="AF42" s="143"/>
      <c r="AG42" s="143"/>
      <c r="AH42" s="43"/>
      <c r="AI42"/>
      <c r="AJ42"/>
      <c r="AK42"/>
      <c r="AL42"/>
      <c r="AM42"/>
      <c r="AN42"/>
      <c r="AO42"/>
      <c r="AP42"/>
      <c r="AQ42"/>
    </row>
    <row r="43" spans="7:53" x14ac:dyDescent="0.25">
      <c r="G43"/>
      <c r="K43" s="139"/>
      <c r="L43" s="139"/>
      <c r="M43" s="139"/>
      <c r="N43" s="139"/>
      <c r="O43" s="139"/>
      <c r="P43" s="69"/>
      <c r="Q43" s="69"/>
      <c r="R43" s="69"/>
      <c r="S43" s="69"/>
      <c r="AF43" s="69"/>
      <c r="AG43" s="69"/>
      <c r="AH43" s="69"/>
      <c r="AI43"/>
      <c r="AJ43"/>
      <c r="AK43"/>
      <c r="AL43"/>
      <c r="AM43"/>
      <c r="AN43"/>
      <c r="AO43"/>
      <c r="AP43"/>
      <c r="AQ43"/>
    </row>
    <row r="44" spans="7:53" x14ac:dyDescent="0.25"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AF44" s="128"/>
      <c r="AG44" s="128"/>
      <c r="AH44" s="128"/>
      <c r="AI44"/>
      <c r="AJ44"/>
      <c r="AK44"/>
      <c r="AL44"/>
      <c r="AM44"/>
      <c r="AN44"/>
      <c r="AO44"/>
      <c r="AP44"/>
      <c r="AQ44"/>
    </row>
    <row r="45" spans="7:53" x14ac:dyDescent="0.25">
      <c r="M45"/>
      <c r="N45"/>
      <c r="O45"/>
      <c r="P45"/>
      <c r="Q45"/>
      <c r="R45"/>
      <c r="S45"/>
      <c r="AF45"/>
      <c r="AG45"/>
      <c r="AH45"/>
      <c r="AI45"/>
      <c r="AJ45"/>
      <c r="AK45"/>
      <c r="AL45"/>
      <c r="AM45"/>
      <c r="AN45"/>
      <c r="AO45"/>
      <c r="AP45"/>
      <c r="AQ45"/>
    </row>
    <row r="46" spans="7:53" x14ac:dyDescent="0.25">
      <c r="M46" s="139"/>
      <c r="N46" s="139"/>
      <c r="O46" s="123"/>
      <c r="P46" s="134"/>
      <c r="Q46" s="123"/>
      <c r="R46" s="123"/>
      <c r="S46" s="134"/>
      <c r="AF46" s="134"/>
      <c r="AG46" s="134"/>
      <c r="AH46" s="134"/>
      <c r="AJ46"/>
      <c r="AK46"/>
      <c r="AL46"/>
      <c r="AM46"/>
      <c r="AN46"/>
      <c r="AO46"/>
      <c r="AP46"/>
      <c r="AQ46"/>
    </row>
    <row r="47" spans="7:53" x14ac:dyDescent="0.25">
      <c r="M47" s="128"/>
      <c r="N47"/>
      <c r="O47" s="123"/>
      <c r="P47" s="134"/>
      <c r="Q47" s="123"/>
      <c r="R47" s="123"/>
      <c r="S47" s="134"/>
      <c r="AF47" s="134"/>
      <c r="AG47" s="134"/>
      <c r="AH47" s="134"/>
      <c r="AI47"/>
      <c r="AJ47"/>
      <c r="AK47"/>
      <c r="AL47"/>
      <c r="AM47"/>
      <c r="AN47"/>
      <c r="AO47"/>
      <c r="AP47"/>
      <c r="AQ47"/>
    </row>
    <row r="48" spans="7:53" x14ac:dyDescent="0.25">
      <c r="M48" s="143"/>
      <c r="O48" s="123"/>
      <c r="P48" s="134"/>
      <c r="Q48" s="123"/>
      <c r="R48" s="123"/>
      <c r="S48" s="134"/>
      <c r="AF48" s="134"/>
      <c r="AG48" s="134"/>
      <c r="AH48" s="134"/>
      <c r="AI48"/>
      <c r="AJ48"/>
      <c r="AK48"/>
      <c r="AL48"/>
      <c r="AM48"/>
      <c r="AN48"/>
      <c r="AO48"/>
      <c r="AP48"/>
      <c r="AQ48"/>
    </row>
    <row r="49" spans="6:55" x14ac:dyDescent="0.25">
      <c r="M49" s="143"/>
      <c r="O49" s="123"/>
      <c r="P49" s="134"/>
      <c r="Q49" s="123"/>
      <c r="R49" s="123"/>
      <c r="S49" s="134"/>
      <c r="AF49" s="134"/>
      <c r="AG49" s="134"/>
      <c r="AH49" s="134"/>
      <c r="AI49"/>
      <c r="AJ49"/>
      <c r="AK49"/>
      <c r="AL49"/>
      <c r="AM49"/>
      <c r="AN49"/>
      <c r="AO49"/>
      <c r="AP49"/>
      <c r="AQ49"/>
    </row>
    <row r="50" spans="6:55" x14ac:dyDescent="0.25">
      <c r="M50" s="143"/>
      <c r="O50" s="123"/>
      <c r="P50" s="134"/>
      <c r="Q50" s="123"/>
      <c r="R50" s="123"/>
      <c r="S50" s="134"/>
      <c r="AF50" s="134"/>
      <c r="AG50" s="134"/>
      <c r="AH50" s="134"/>
      <c r="AI50"/>
      <c r="AJ50"/>
      <c r="AK50"/>
      <c r="AL50"/>
      <c r="AM50"/>
      <c r="AN50"/>
      <c r="AO50"/>
      <c r="AP50"/>
      <c r="AQ50"/>
    </row>
    <row r="51" spans="6:55" x14ac:dyDescent="0.25">
      <c r="N51"/>
      <c r="O51" s="134"/>
      <c r="P51" s="134"/>
      <c r="Q51" s="123"/>
      <c r="R51" s="123"/>
      <c r="S51" s="134"/>
      <c r="AF51" s="134"/>
      <c r="AG51" s="134"/>
      <c r="AH51" s="134"/>
      <c r="AI51"/>
      <c r="AJ51"/>
      <c r="AK51"/>
      <c r="AL51"/>
      <c r="AM51"/>
      <c r="AN51"/>
      <c r="AO51"/>
      <c r="AP51"/>
      <c r="AQ51"/>
    </row>
    <row r="52" spans="6:55" x14ac:dyDescent="0.25">
      <c r="N52"/>
      <c r="O52" s="134"/>
      <c r="P52" s="143"/>
      <c r="Q52" s="123"/>
      <c r="R52" s="123"/>
      <c r="S52" s="134"/>
      <c r="AF52" s="134"/>
      <c r="AG52" s="134"/>
      <c r="AH52" s="134"/>
      <c r="AI52"/>
      <c r="AJ52"/>
      <c r="AK52"/>
      <c r="AL52"/>
      <c r="AM52"/>
      <c r="AN52"/>
      <c r="AO52"/>
      <c r="AP52"/>
      <c r="AQ52"/>
    </row>
    <row r="53" spans="6:55" x14ac:dyDescent="0.25">
      <c r="N53"/>
      <c r="O53" s="134"/>
      <c r="P53" s="134"/>
      <c r="Q53" s="123"/>
      <c r="R53" s="123"/>
      <c r="S53" s="134"/>
      <c r="AF53" s="134"/>
      <c r="AG53" s="134"/>
      <c r="AH53" s="134"/>
      <c r="AI53"/>
      <c r="AJ53"/>
      <c r="AK53"/>
      <c r="AL53"/>
      <c r="AM53"/>
      <c r="AN53"/>
      <c r="AO53"/>
      <c r="AP53"/>
      <c r="AQ53"/>
    </row>
    <row r="54" spans="6:55" x14ac:dyDescent="0.25">
      <c r="S54" s="134"/>
      <c r="AF54" s="134"/>
      <c r="AG54" s="134"/>
      <c r="AH54" s="134"/>
      <c r="AI54"/>
      <c r="AJ54"/>
      <c r="AK54"/>
      <c r="AL54"/>
      <c r="AM54"/>
      <c r="AN54"/>
      <c r="AO54"/>
      <c r="AP54"/>
      <c r="AQ54"/>
    </row>
    <row r="55" spans="6:55" x14ac:dyDescent="0.25">
      <c r="G55" s="123"/>
      <c r="J55" s="144"/>
      <c r="AF55" s="134"/>
      <c r="AG55" s="134"/>
      <c r="AH55" s="134"/>
      <c r="AI55"/>
      <c r="BC55" s="122"/>
    </row>
    <row r="56" spans="6:55" x14ac:dyDescent="0.25">
      <c r="G56" s="123"/>
      <c r="M56" s="145"/>
      <c r="AF56" s="134"/>
      <c r="AG56" s="134"/>
      <c r="AH56" s="134"/>
      <c r="AI56"/>
      <c r="BC56" s="122"/>
    </row>
    <row r="57" spans="6:55" x14ac:dyDescent="0.25">
      <c r="G57" s="123"/>
      <c r="AF57" s="134"/>
      <c r="AG57" s="134"/>
      <c r="AH57" s="134"/>
      <c r="AI57"/>
      <c r="BC57" s="122"/>
    </row>
    <row r="58" spans="6:55" x14ac:dyDescent="0.25">
      <c r="G58" s="123"/>
      <c r="J58" s="142"/>
      <c r="M58" s="145"/>
      <c r="BC58" s="122"/>
    </row>
    <row r="59" spans="6:55" x14ac:dyDescent="0.25">
      <c r="G59" s="123"/>
      <c r="J59" s="144"/>
      <c r="M59" s="145"/>
      <c r="BC59" s="122"/>
    </row>
    <row r="60" spans="6:55" x14ac:dyDescent="0.25">
      <c r="F60" s="43"/>
      <c r="G60" s="123"/>
      <c r="J60" s="43"/>
      <c r="K60" s="43"/>
      <c r="L60" s="43"/>
      <c r="BC60" s="122"/>
    </row>
    <row r="61" spans="6:55" x14ac:dyDescent="0.25">
      <c r="F61" s="43"/>
      <c r="G61" s="123"/>
      <c r="J61" s="43"/>
      <c r="K61" s="43"/>
      <c r="L61" s="43"/>
      <c r="M61" s="145"/>
      <c r="BC61" s="122"/>
    </row>
    <row r="62" spans="6:55" x14ac:dyDescent="0.25">
      <c r="F62" s="43"/>
      <c r="G62" s="123"/>
      <c r="J62" s="43"/>
      <c r="K62" s="43"/>
      <c r="L62" s="43"/>
      <c r="M62" s="22"/>
      <c r="BC62" s="122"/>
    </row>
    <row r="63" spans="6:55" x14ac:dyDescent="0.25">
      <c r="F63" s="43"/>
      <c r="G63" s="123"/>
      <c r="K63" s="43"/>
      <c r="L63" s="43"/>
      <c r="M63" s="22"/>
      <c r="BC63" s="122"/>
    </row>
    <row r="64" spans="6:55" x14ac:dyDescent="0.25">
      <c r="F64" s="43"/>
      <c r="G64" s="123"/>
      <c r="K64" s="43"/>
      <c r="L64" s="43"/>
      <c r="BC64" s="122"/>
    </row>
    <row r="65" spans="6:55" x14ac:dyDescent="0.25">
      <c r="F65" s="43"/>
      <c r="G65" s="123"/>
      <c r="K65" s="43"/>
      <c r="L65" s="43"/>
      <c r="BC65" s="122"/>
    </row>
    <row r="66" spans="6:55" x14ac:dyDescent="0.25">
      <c r="F66" s="43"/>
      <c r="G66" s="123"/>
      <c r="K66" s="43"/>
      <c r="L66" s="43"/>
      <c r="BC66" s="122"/>
    </row>
    <row r="67" spans="6:55" x14ac:dyDescent="0.25">
      <c r="F67" s="43"/>
      <c r="G67" s="123"/>
      <c r="K67" s="43"/>
      <c r="L67" s="43"/>
      <c r="BC67" s="122"/>
    </row>
    <row r="68" spans="6:55" x14ac:dyDescent="0.25">
      <c r="F68" s="43"/>
      <c r="G68" s="123"/>
      <c r="H68" s="26"/>
      <c r="I68" s="26"/>
      <c r="K68" s="43"/>
      <c r="L68" s="43"/>
      <c r="BC68" s="122"/>
    </row>
    <row r="69" spans="6:55" x14ac:dyDescent="0.25">
      <c r="F69" s="43"/>
      <c r="G69" s="123"/>
      <c r="K69" s="43"/>
      <c r="L69" s="43"/>
      <c r="BC69" s="122"/>
    </row>
    <row r="70" spans="6:55" x14ac:dyDescent="0.25">
      <c r="F70" s="43"/>
      <c r="G70" s="123"/>
      <c r="K70" s="43"/>
      <c r="L70" s="43"/>
      <c r="BC70" s="122"/>
    </row>
    <row r="71" spans="6:55" x14ac:dyDescent="0.25">
      <c r="F71" s="43"/>
      <c r="G71" s="123"/>
      <c r="J71" s="146"/>
      <c r="K71" s="43"/>
      <c r="L71" s="43"/>
      <c r="BC71" s="122"/>
    </row>
    <row r="72" spans="6:55" x14ac:dyDescent="0.25">
      <c r="F72" s="43"/>
      <c r="G72" s="123"/>
      <c r="Q72" s="123"/>
      <c r="R72" s="123"/>
      <c r="BC72" s="122"/>
    </row>
    <row r="73" spans="6:55" x14ac:dyDescent="0.25">
      <c r="F73" s="43"/>
      <c r="G73" s="123"/>
      <c r="Q73" s="123"/>
      <c r="R73" s="123"/>
      <c r="BC73" s="122"/>
    </row>
    <row r="74" spans="6:55" x14ac:dyDescent="0.25">
      <c r="F74" s="147"/>
      <c r="G74" s="123"/>
      <c r="BC74" s="122"/>
    </row>
    <row r="76" spans="6:55" x14ac:dyDescent="0.25">
      <c r="F76" s="6"/>
      <c r="G76" s="6"/>
      <c r="H76" s="6"/>
      <c r="I76" s="6"/>
      <c r="J76" s="6"/>
      <c r="K76" s="6"/>
    </row>
    <row r="77" spans="6:55" x14ac:dyDescent="0.25">
      <c r="F77" s="6"/>
      <c r="G77" s="6"/>
      <c r="H77" s="6"/>
      <c r="I77" s="6"/>
      <c r="J77" s="6"/>
      <c r="K77" s="6"/>
    </row>
    <row r="78" spans="6:55" x14ac:dyDescent="0.25">
      <c r="F78" s="6"/>
      <c r="G78" s="6"/>
      <c r="H78" s="6"/>
      <c r="I78" s="6"/>
      <c r="J78" s="6"/>
      <c r="K78" s="6"/>
    </row>
    <row r="79" spans="6:55" x14ac:dyDescent="0.25">
      <c r="F79" s="6"/>
      <c r="G79" s="6"/>
      <c r="H79" s="6"/>
      <c r="I79" s="6"/>
      <c r="J79" s="6"/>
      <c r="K79" s="6"/>
    </row>
    <row r="80" spans="6:55" x14ac:dyDescent="0.25">
      <c r="F80" s="6"/>
      <c r="G80" s="6"/>
      <c r="H80" s="6"/>
      <c r="I80" s="6"/>
      <c r="J80" s="6"/>
      <c r="K80" s="6"/>
    </row>
    <row r="81" spans="6:11" x14ac:dyDescent="0.25">
      <c r="F81" s="6"/>
      <c r="G81" s="6"/>
      <c r="H81" s="6"/>
      <c r="I81" s="6"/>
      <c r="J81" s="6"/>
      <c r="K81" s="6"/>
    </row>
    <row r="82" spans="6:11" x14ac:dyDescent="0.25">
      <c r="F82" s="6"/>
      <c r="G82" s="6"/>
      <c r="H82" s="6"/>
      <c r="I82" s="6"/>
      <c r="J82" s="6"/>
      <c r="K82" s="6"/>
    </row>
    <row r="83" spans="6:11" x14ac:dyDescent="0.25">
      <c r="F83" s="6"/>
      <c r="G83" s="6"/>
      <c r="H83" s="6"/>
      <c r="I83" s="6"/>
      <c r="J83" s="6"/>
      <c r="K83" s="6"/>
    </row>
    <row r="84" spans="6:11" x14ac:dyDescent="0.25">
      <c r="F84" s="6"/>
      <c r="G84" s="6"/>
      <c r="H84" s="6"/>
      <c r="I84" s="6"/>
      <c r="J84" s="6"/>
      <c r="K84" s="6"/>
    </row>
    <row r="85" spans="6:11" x14ac:dyDescent="0.25">
      <c r="F85" s="6"/>
      <c r="G85" s="6"/>
      <c r="H85" s="6"/>
      <c r="I85" s="6"/>
      <c r="J85" s="6"/>
      <c r="K85" s="6"/>
    </row>
    <row r="86" spans="6:11" x14ac:dyDescent="0.25">
      <c r="F86" s="6"/>
      <c r="G86" s="6"/>
      <c r="H86" s="6"/>
      <c r="I86" s="6"/>
      <c r="J86" s="6"/>
      <c r="K86" s="6"/>
    </row>
    <row r="87" spans="6:11" x14ac:dyDescent="0.25">
      <c r="F87" s="6"/>
      <c r="G87" s="6"/>
      <c r="H87" s="6"/>
      <c r="I87" s="6"/>
      <c r="J87" s="6"/>
      <c r="K87" s="6"/>
    </row>
    <row r="88" spans="6:11" x14ac:dyDescent="0.25">
      <c r="F88" s="6"/>
      <c r="G88" s="6"/>
      <c r="H88" s="6"/>
      <c r="I88" s="6"/>
      <c r="J88" s="6"/>
      <c r="K88" s="6"/>
    </row>
    <row r="89" spans="6:11" x14ac:dyDescent="0.25">
      <c r="F89" s="6"/>
      <c r="G89" s="6"/>
      <c r="H89" s="6"/>
      <c r="I89" s="6"/>
      <c r="J89" s="6"/>
      <c r="K89" s="6"/>
    </row>
  </sheetData>
  <protectedRanges>
    <protectedRange sqref="R13:AA13" name="user_ediable" securityDescriptor="O:WDG:WDD:(A;;CC;;;WD)"/>
  </protectedRanges>
  <mergeCells count="8">
    <mergeCell ref="AW5:AX5"/>
    <mergeCell ref="AY5:BA5"/>
    <mergeCell ref="AF5:AM5"/>
    <mergeCell ref="M1:N1"/>
    <mergeCell ref="M3:N3"/>
    <mergeCell ref="T3:AA3"/>
    <mergeCell ref="AQ5:AR5"/>
    <mergeCell ref="AS5:AV5"/>
  </mergeCells>
  <phoneticPr fontId="3" type="noConversion"/>
  <dataValidations count="5">
    <dataValidation allowBlank="1" showInputMessage="1" showErrorMessage="1" sqref="G7:G9 AC15:AE19 H11:I12 E10:G13 J11:K13 L13:O13 J6:K8 L7:L8 I16:I19 E1:F9 AL10:AM14 AF1:AF9 E21:F24 G24:J24 G1:I5 H7:I8 H9:N9 C6:D8 C12:D12 E14:H19 I14 Y20:AE20 AG1:AK4 R21:AE1048576 R1:AE4 R20:W20 M6:P8 E20:P20 L11:P12 J14:P19 J1:P4 M24:P24 G21:P23 C25:P1048576 AN1:XFD1048576 AG6:AM9 J10:N10 C10:D10 AJ10:AK1048576 AF10:AI12 AF14:AI1048576 R6:AB12 R14:AB19 R13:Y13 Q1:Q12 Q14:Q1048576" xr:uid="{00000000-0002-0000-0600-000000000000}"/>
    <dataValidation type="custom" allowBlank="1" showInputMessage="1" showErrorMessage="1" error="Formula in cell.Access denied." sqref="L6 G6" xr:uid="{00000000-0002-0000-0600-000001000000}">
      <formula1>"&lt;&gt;ActiveCell"</formula1>
    </dataValidation>
    <dataValidation type="custom" allowBlank="1" showInputMessage="1" showErrorMessage="1" error="Data entry in this cell is denied." sqref="I15 AL15:AM1048576 AL1:AM4 T13:AA13 S13" xr:uid="{00000000-0002-0000-0600-000002000000}">
      <formula1>"&lt;&gt;ActiveCell"</formula1>
    </dataValidation>
    <dataValidation allowBlank="1" showErrorMessage="1" promptTitle="Custom Formula Area" prompt="Use this area to input custom formula you may require for contract administration. This will not be presented to the Client / Consultant " sqref="B10" xr:uid="{82AB8090-E29E-4561-9E6D-6DA8BD661B65}"/>
    <dataValidation allowBlank="1" showErrorMessage="1" sqref="A10" xr:uid="{633A4188-22DB-4080-BF3E-DC0AE0B0AF29}"/>
  </dataValidations>
  <hyperlinks>
    <hyperlink ref="M9" location="'1'!A1" display="1" xr:uid="{00000000-0004-0000-0600-000000000000}"/>
  </hyperlink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>
    <pageSetUpPr fitToPage="1"/>
  </sheetPr>
  <dimension ref="A1:BV88"/>
  <sheetViews>
    <sheetView zoomScale="70" zoomScaleNormal="70" zoomScaleSheetLayoutView="85" workbookViewId="0">
      <pane ySplit="7" topLeftCell="A8" activePane="bottomLeft" state="frozen"/>
      <selection activeCell="C2" sqref="C2"/>
      <selection pane="bottomLeft" activeCell="C2" sqref="C2"/>
    </sheetView>
  </sheetViews>
  <sheetFormatPr defaultColWidth="8.81640625" defaultRowHeight="15" x14ac:dyDescent="0.25"/>
  <cols>
    <col min="1" max="1" width="9.81640625" style="452" customWidth="1"/>
    <col min="2" max="2" width="10.81640625" style="281" customWidth="1"/>
    <col min="3" max="3" width="13.1796875" style="281" customWidth="1"/>
    <col min="4" max="4" width="10.81640625" style="281" customWidth="1"/>
    <col min="5" max="5" width="13.1796875" style="281" customWidth="1"/>
    <col min="6" max="6" width="7.81640625" style="451" customWidth="1"/>
    <col min="7" max="7" width="11.453125" style="451" customWidth="1"/>
    <col min="8" max="9" width="10.81640625" style="281" customWidth="1"/>
    <col min="10" max="10" width="5.81640625" style="281" customWidth="1"/>
    <col min="11" max="11" width="9.54296875" style="281" customWidth="1"/>
    <col min="12" max="12" width="10.81640625" style="281" customWidth="1"/>
    <col min="13" max="13" width="5.81640625" style="281" customWidth="1"/>
    <col min="14" max="14" width="1.81640625" style="281" customWidth="1"/>
    <col min="15" max="15" width="16" style="281" customWidth="1"/>
    <col min="16" max="16" width="59.453125" style="281" customWidth="1"/>
    <col min="17" max="17" width="7.453125" style="281" customWidth="1"/>
    <col min="18" max="18" width="5.453125" style="281" customWidth="1"/>
    <col min="19" max="19" width="8.54296875" style="281" customWidth="1"/>
    <col min="20" max="21" width="5.81640625" style="281" customWidth="1"/>
    <col min="22" max="22" width="22.81640625" style="281" customWidth="1"/>
    <col min="23" max="23" width="6.453125" style="281" customWidth="1"/>
    <col min="24" max="24" width="10.81640625" style="281" customWidth="1"/>
    <col min="25" max="25" width="15.54296875" style="281" bestFit="1" customWidth="1"/>
    <col min="26" max="26" width="15.81640625" style="408" customWidth="1"/>
    <col min="27" max="27" width="11" style="408" customWidth="1"/>
    <col min="28" max="28" width="11.453125" style="281" customWidth="1"/>
    <col min="29" max="29" width="9" style="558" customWidth="1"/>
    <col min="30" max="30" width="19.453125" style="281" customWidth="1"/>
    <col min="31" max="34" width="10.81640625" style="281" customWidth="1"/>
    <col min="35" max="35" width="10.81640625" style="121" customWidth="1"/>
    <col min="36" max="37" width="12.54296875" style="281" customWidth="1"/>
    <col min="38" max="61" width="10.81640625" style="281" customWidth="1"/>
    <col min="62" max="62" width="18.1796875" style="281" bestFit="1" customWidth="1"/>
    <col min="63" max="63" width="12.81640625" style="281" customWidth="1"/>
    <col min="64" max="64" width="8.81640625" style="281" customWidth="1"/>
    <col min="65" max="65" width="24.81640625" style="281" customWidth="1"/>
    <col min="66" max="66" width="23.453125" style="281" customWidth="1"/>
    <col min="67" max="68" width="10.54296875" style="281" customWidth="1"/>
    <col min="69" max="69" width="10.1796875" style="281" customWidth="1"/>
    <col min="70" max="70" width="18" style="281" customWidth="1"/>
    <col min="71" max="71" width="18.1796875" style="281" customWidth="1"/>
    <col min="72" max="72" width="18.1796875" style="451" customWidth="1"/>
    <col min="73" max="73" width="13.81640625" style="451" customWidth="1"/>
    <col min="74" max="74" width="11.81640625" style="281" bestFit="1" customWidth="1"/>
    <col min="75" max="93" width="8.81640625" style="281" customWidth="1"/>
    <col min="94" max="16384" width="8.81640625" style="281"/>
  </cols>
  <sheetData>
    <row r="1" spans="1:74" ht="16.2" thickBot="1" x14ac:dyDescent="0.3">
      <c r="A1" s="150" t="s">
        <v>196</v>
      </c>
      <c r="F1" s="280">
        <f>SUMRY!O5</f>
        <v>25</v>
      </c>
      <c r="G1" s="281"/>
      <c r="J1" s="150">
        <f>SUMRY!F1</f>
        <v>0</v>
      </c>
      <c r="K1" s="150">
        <f>SUMRY!G$1</f>
        <v>0</v>
      </c>
      <c r="M1" s="150"/>
      <c r="N1" s="281" t="s">
        <v>52</v>
      </c>
      <c r="O1" s="752" t="s">
        <v>99</v>
      </c>
      <c r="P1" s="752"/>
      <c r="Q1" s="752"/>
      <c r="R1" s="282"/>
      <c r="S1" s="282"/>
      <c r="T1" s="282"/>
      <c r="U1" s="282"/>
      <c r="V1" s="282"/>
      <c r="W1" s="282"/>
      <c r="X1" s="282"/>
      <c r="Y1" s="151" t="s">
        <v>98</v>
      </c>
      <c r="Z1" s="430">
        <f>SUMRY!F5</f>
        <v>1234</v>
      </c>
      <c r="AA1" s="634"/>
      <c r="AB1" s="429"/>
      <c r="AC1" s="555"/>
      <c r="AD1" s="283"/>
      <c r="AE1" s="283"/>
      <c r="AF1" s="284"/>
      <c r="AG1" s="284"/>
      <c r="AH1" s="284"/>
      <c r="AI1" s="284"/>
      <c r="AJ1" s="285"/>
      <c r="AK1" s="285"/>
      <c r="AL1" s="285"/>
      <c r="AM1" s="286"/>
      <c r="AN1" s="285"/>
      <c r="AO1" s="286"/>
      <c r="AP1" s="287"/>
      <c r="AQ1" s="286"/>
      <c r="AR1" s="286"/>
      <c r="AS1" s="286"/>
      <c r="AT1" s="286"/>
      <c r="AU1" s="286"/>
      <c r="AV1" s="287"/>
      <c r="AW1" s="287"/>
      <c r="AX1" s="287"/>
      <c r="AY1" s="287"/>
      <c r="AZ1" s="287"/>
      <c r="BA1" s="287"/>
      <c r="BB1" s="287"/>
      <c r="BC1" s="287"/>
      <c r="BD1" s="287"/>
      <c r="BE1" s="287"/>
      <c r="BF1" s="287"/>
      <c r="BG1" s="287"/>
      <c r="BH1" s="287"/>
      <c r="BI1" s="287"/>
      <c r="BJ1" s="710" t="s">
        <v>276</v>
      </c>
      <c r="BK1" s="460" t="s">
        <v>205</v>
      </c>
      <c r="BL1" s="460" t="s">
        <v>5</v>
      </c>
      <c r="BM1" s="461" t="s">
        <v>88</v>
      </c>
      <c r="BN1" s="462" t="s">
        <v>6</v>
      </c>
      <c r="BO1" s="463" t="s">
        <v>97</v>
      </c>
      <c r="BP1" s="464" t="s">
        <v>91</v>
      </c>
      <c r="BQ1" s="464" t="s">
        <v>92</v>
      </c>
      <c r="BR1" s="464" t="s">
        <v>193</v>
      </c>
      <c r="BS1" s="293" t="s">
        <v>9</v>
      </c>
      <c r="BT1" s="293" t="s">
        <v>197</v>
      </c>
      <c r="BU1" s="293" t="s">
        <v>209</v>
      </c>
      <c r="BV1" s="293" t="s">
        <v>212</v>
      </c>
    </row>
    <row r="2" spans="1:74" ht="16.5" customHeight="1" thickTop="1" x14ac:dyDescent="0.25">
      <c r="A2" s="328" t="s">
        <v>12</v>
      </c>
      <c r="B2" s="288"/>
      <c r="C2" s="288"/>
      <c r="D2" s="288"/>
      <c r="E2" s="288"/>
      <c r="F2" s="288"/>
      <c r="G2" s="753" t="s">
        <v>199</v>
      </c>
      <c r="H2" s="754"/>
      <c r="I2" s="754"/>
      <c r="J2" s="754"/>
      <c r="K2" s="755"/>
      <c r="L2" s="289">
        <v>0</v>
      </c>
      <c r="M2" s="289"/>
      <c r="N2" s="281" t="s">
        <v>52</v>
      </c>
      <c r="O2" s="752" t="str">
        <f>SUMRY!F2</f>
        <v>(Job Nme)</v>
      </c>
      <c r="P2" s="752"/>
      <c r="Q2" s="752"/>
      <c r="R2" s="290"/>
      <c r="S2" s="290"/>
      <c r="T2" s="290"/>
      <c r="U2" s="291"/>
      <c r="V2" s="292"/>
      <c r="W2" s="291"/>
      <c r="X2" s="292"/>
      <c r="Y2" s="430" t="s">
        <v>213</v>
      </c>
      <c r="Z2" s="430">
        <f>J1</f>
        <v>0</v>
      </c>
      <c r="AC2" s="555"/>
      <c r="AD2" s="284"/>
      <c r="AE2" s="284"/>
      <c r="AF2" s="284"/>
      <c r="AG2" s="284"/>
      <c r="AH2" s="284"/>
      <c r="AI2" s="284"/>
      <c r="AJ2" s="285"/>
      <c r="AK2" s="285"/>
      <c r="AL2" s="285"/>
      <c r="AM2" s="287"/>
      <c r="AN2" s="285"/>
      <c r="AO2" s="287"/>
      <c r="AP2" s="287"/>
      <c r="AQ2" s="287"/>
      <c r="AR2" s="287"/>
      <c r="AS2" s="287"/>
      <c r="AT2" s="287"/>
      <c r="AU2" s="287"/>
      <c r="AV2" s="287"/>
      <c r="AW2" s="287"/>
      <c r="AX2" s="287"/>
      <c r="AY2" s="287"/>
      <c r="AZ2" s="287"/>
      <c r="BA2" s="287"/>
      <c r="BB2" s="287"/>
      <c r="BC2" s="287"/>
      <c r="BD2" s="287"/>
      <c r="BE2" s="287"/>
      <c r="BF2" s="287"/>
      <c r="BG2" s="287"/>
      <c r="BH2" s="287"/>
      <c r="BI2" s="287"/>
      <c r="BJ2" s="294">
        <f>AD43</f>
        <v>0</v>
      </c>
      <c r="BK2" s="294">
        <f>AK43</f>
        <v>0</v>
      </c>
      <c r="BL2" s="294">
        <f>AO43</f>
        <v>0</v>
      </c>
      <c r="BM2" s="294">
        <f>+BE43+BG43+BC43</f>
        <v>0</v>
      </c>
      <c r="BN2" s="294">
        <f>+AT43+AP43</f>
        <v>0</v>
      </c>
      <c r="BO2" s="294">
        <f>+AX43+AZ43+BB43+AV43</f>
        <v>0</v>
      </c>
      <c r="BP2" s="280">
        <f>BI25+BI29</f>
        <v>0</v>
      </c>
      <c r="BQ2" s="294">
        <f>IF(SUM(BM2:BP2)=0,0,BI35)</f>
        <v>0</v>
      </c>
      <c r="BR2" s="294">
        <f>BH43</f>
        <v>0</v>
      </c>
      <c r="BS2" s="294">
        <f>ROUND(IF(SUM(BK2:BR2) = 25,0,SUM(BK2:BR2)),2)</f>
        <v>0</v>
      </c>
      <c r="BT2" s="294">
        <f>ROUND(IF(AC43 = 25,0,AC43),2)</f>
        <v>0</v>
      </c>
      <c r="BU2" s="408">
        <f>AA21</f>
        <v>0</v>
      </c>
      <c r="BV2" s="408">
        <f>AA22+toSumEOT+tosumProcess+toSumMarg</f>
        <v>0</v>
      </c>
    </row>
    <row r="3" spans="1:74" ht="17.25" customHeight="1" thickBot="1" x14ac:dyDescent="0.3">
      <c r="A3" s="288" t="s">
        <v>72</v>
      </c>
      <c r="B3" s="288"/>
      <c r="C3" s="288"/>
      <c r="D3" s="288"/>
      <c r="E3" s="288"/>
      <c r="F3" s="647">
        <v>1</v>
      </c>
      <c r="G3" s="756"/>
      <c r="H3" s="757"/>
      <c r="I3" s="757"/>
      <c r="J3" s="757"/>
      <c r="K3" s="758"/>
      <c r="L3" s="647">
        <v>1</v>
      </c>
      <c r="M3" s="288"/>
      <c r="N3" s="281" t="s">
        <v>52</v>
      </c>
      <c r="O3" s="759" t="s">
        <v>166</v>
      </c>
      <c r="P3" s="759"/>
      <c r="Q3" s="759"/>
      <c r="R3" s="290"/>
      <c r="S3" s="290"/>
      <c r="T3" s="290"/>
      <c r="U3" s="291"/>
      <c r="V3" s="292"/>
      <c r="W3" s="291"/>
      <c r="X3" s="292"/>
      <c r="Y3" s="430" t="s">
        <v>218</v>
      </c>
      <c r="Z3" s="635" t="str">
        <f>SUMRY!E$1</f>
        <v>AMALGAMATED BUILDERS LTD VARIATION SUMMARY SHEET</v>
      </c>
      <c r="AA3" s="636"/>
      <c r="AB3" s="430"/>
      <c r="AC3" s="555"/>
      <c r="AD3" s="284"/>
      <c r="AE3" s="284"/>
      <c r="AF3" s="284"/>
      <c r="AG3" s="284"/>
      <c r="AH3" s="284"/>
      <c r="AI3" s="284"/>
      <c r="AJ3" s="285"/>
      <c r="AK3" s="285"/>
      <c r="AL3" s="285"/>
      <c r="AM3" s="287"/>
      <c r="AN3" s="285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T3" s="281"/>
      <c r="BU3" s="281"/>
    </row>
    <row r="4" spans="1:74" ht="15.6" x14ac:dyDescent="0.25">
      <c r="A4" s="649" t="s">
        <v>73</v>
      </c>
      <c r="B4" s="288"/>
      <c r="C4" s="288"/>
      <c r="D4" s="288"/>
      <c r="E4" s="288"/>
      <c r="F4" s="648">
        <v>0</v>
      </c>
      <c r="G4" s="295">
        <v>0</v>
      </c>
      <c r="H4" s="295"/>
      <c r="I4" s="649">
        <f>SUMRY!O3</f>
        <v>70</v>
      </c>
      <c r="J4" s="295">
        <v>0</v>
      </c>
      <c r="K4" s="295"/>
      <c r="L4" s="648">
        <v>0</v>
      </c>
      <c r="M4" s="295">
        <v>0</v>
      </c>
      <c r="N4" s="281" t="s">
        <v>52</v>
      </c>
      <c r="O4" s="760" t="s">
        <v>101</v>
      </c>
      <c r="P4" s="760"/>
      <c r="Q4" s="416"/>
      <c r="R4" s="290"/>
      <c r="S4" s="290"/>
      <c r="T4" s="290"/>
      <c r="U4" s="296"/>
      <c r="V4" s="292"/>
      <c r="W4" s="296"/>
      <c r="X4" s="292"/>
      <c r="Y4" s="637" t="s">
        <v>2</v>
      </c>
      <c r="Z4" s="638">
        <v>43782</v>
      </c>
      <c r="AC4" s="555"/>
      <c r="AD4" s="284"/>
      <c r="AE4" s="284"/>
      <c r="AF4" s="284"/>
      <c r="AG4" s="284"/>
      <c r="AH4" s="284"/>
      <c r="AI4" s="284"/>
      <c r="AJ4" s="285"/>
      <c r="AK4" s="285"/>
      <c r="AL4" s="285"/>
      <c r="AM4" s="287"/>
      <c r="AN4" s="285"/>
      <c r="AO4" s="287"/>
      <c r="AP4" s="287"/>
      <c r="AQ4" s="287"/>
      <c r="AR4" s="287"/>
      <c r="AS4" s="287"/>
      <c r="AT4" s="287"/>
      <c r="AU4" s="287"/>
      <c r="AV4" s="287"/>
      <c r="AW4" s="287"/>
      <c r="AX4" s="287"/>
      <c r="AY4" s="287"/>
      <c r="AZ4" s="287"/>
      <c r="BA4" s="287"/>
      <c r="BB4" s="287"/>
      <c r="BC4" s="287"/>
      <c r="BD4" s="287"/>
      <c r="BE4" s="287"/>
      <c r="BF4" s="287"/>
      <c r="BG4" s="287"/>
      <c r="BH4" s="287"/>
      <c r="BI4" s="287"/>
      <c r="BJ4" s="297"/>
      <c r="BK4" s="297"/>
      <c r="BL4" s="297"/>
      <c r="BT4" s="281"/>
      <c r="BU4" s="281"/>
    </row>
    <row r="5" spans="1:74" ht="15.6" x14ac:dyDescent="0.25">
      <c r="A5" s="455" t="s">
        <v>31</v>
      </c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455"/>
      <c r="M5" s="298"/>
      <c r="N5" s="150" t="s">
        <v>52</v>
      </c>
      <c r="O5" s="760"/>
      <c r="P5" s="760"/>
      <c r="Q5" s="416"/>
      <c r="R5" s="765" t="s">
        <v>26</v>
      </c>
      <c r="S5" s="766"/>
      <c r="T5" s="766"/>
      <c r="U5" s="766"/>
      <c r="V5" s="766"/>
      <c r="W5" s="766"/>
      <c r="X5" s="766"/>
      <c r="Y5" s="429"/>
      <c r="Z5" s="634"/>
      <c r="AA5" s="634"/>
      <c r="AB5" s="429"/>
      <c r="AC5" s="555"/>
      <c r="AD5" s="763" t="s">
        <v>4</v>
      </c>
      <c r="AE5" s="763"/>
      <c r="AF5" s="763"/>
      <c r="AG5" s="763"/>
      <c r="AH5" s="763"/>
      <c r="AI5" s="763"/>
      <c r="AJ5" s="299"/>
      <c r="AK5" s="299"/>
      <c r="AL5" s="299"/>
      <c r="AM5" s="300"/>
      <c r="AN5" s="299"/>
      <c r="AO5" s="300" t="s">
        <v>3</v>
      </c>
      <c r="AP5" s="300"/>
      <c r="AQ5" s="300"/>
      <c r="AR5" s="300"/>
      <c r="AS5" s="300"/>
      <c r="AT5" s="300"/>
      <c r="AU5" s="300"/>
      <c r="AV5" s="300"/>
      <c r="AW5" s="300"/>
      <c r="AX5" s="300"/>
      <c r="AY5" s="300"/>
      <c r="AZ5" s="300"/>
      <c r="BA5" s="300"/>
      <c r="BB5" s="300"/>
      <c r="BC5" s="301"/>
      <c r="BD5" s="300"/>
      <c r="BE5" s="300"/>
      <c r="BF5" s="300"/>
      <c r="BG5" s="302"/>
      <c r="BH5" s="287"/>
      <c r="BI5" s="287"/>
      <c r="BJ5" s="150"/>
      <c r="BK5" s="150"/>
      <c r="BL5" s="297"/>
      <c r="BQ5" s="294"/>
      <c r="BT5" s="281"/>
      <c r="BU5" s="281"/>
    </row>
    <row r="6" spans="1:74" ht="15.75" customHeight="1" x14ac:dyDescent="0.25">
      <c r="A6" s="281" t="s">
        <v>13</v>
      </c>
      <c r="B6" s="762" t="s">
        <v>276</v>
      </c>
      <c r="C6" s="762"/>
      <c r="D6" s="310" t="s">
        <v>38</v>
      </c>
      <c r="E6" s="310" t="s">
        <v>14</v>
      </c>
      <c r="F6" s="303" t="s">
        <v>8</v>
      </c>
      <c r="G6" s="303" t="s">
        <v>8</v>
      </c>
      <c r="H6" s="304" t="s">
        <v>6</v>
      </c>
      <c r="I6" s="305" t="s">
        <v>6</v>
      </c>
      <c r="J6" s="305" t="s">
        <v>54</v>
      </c>
      <c r="K6" s="306" t="s">
        <v>7</v>
      </c>
      <c r="L6" s="307" t="s">
        <v>7</v>
      </c>
      <c r="M6" s="307" t="s">
        <v>55</v>
      </c>
      <c r="N6" s="281" t="s">
        <v>52</v>
      </c>
      <c r="O6" s="760"/>
      <c r="P6" s="760"/>
      <c r="Q6" s="639" t="s">
        <v>16</v>
      </c>
      <c r="R6" s="308" t="s">
        <v>27</v>
      </c>
      <c r="S6" s="308" t="s">
        <v>28</v>
      </c>
      <c r="T6" s="308" t="s">
        <v>29</v>
      </c>
      <c r="U6" s="308" t="s">
        <v>30</v>
      </c>
      <c r="V6" s="768" t="s">
        <v>13</v>
      </c>
      <c r="W6" s="770" t="s">
        <v>32</v>
      </c>
      <c r="X6" s="770" t="s">
        <v>33</v>
      </c>
      <c r="Y6" s="640" t="s">
        <v>17</v>
      </c>
      <c r="Z6" s="641" t="s">
        <v>18</v>
      </c>
      <c r="AA6" s="641" t="s">
        <v>18</v>
      </c>
      <c r="AC6" s="556" t="s">
        <v>10</v>
      </c>
      <c r="AD6" s="699" t="s">
        <v>276</v>
      </c>
      <c r="AE6" s="310" t="s">
        <v>5</v>
      </c>
      <c r="AF6" s="305" t="s">
        <v>6</v>
      </c>
      <c r="AG6" s="307" t="s">
        <v>7</v>
      </c>
      <c r="AH6" s="303" t="s">
        <v>8</v>
      </c>
      <c r="AI6" s="309" t="s">
        <v>21</v>
      </c>
      <c r="AJ6" s="309" t="s">
        <v>36</v>
      </c>
      <c r="AK6" s="309" t="s">
        <v>36</v>
      </c>
      <c r="AL6" s="762" t="s">
        <v>276</v>
      </c>
      <c r="AM6" s="764"/>
      <c r="AN6" s="772" t="s">
        <v>5</v>
      </c>
      <c r="AO6" s="773"/>
      <c r="AP6" s="774" t="s">
        <v>6</v>
      </c>
      <c r="AQ6" s="775"/>
      <c r="AR6" s="775"/>
      <c r="AS6" s="775"/>
      <c r="AT6" s="775"/>
      <c r="AU6" s="776"/>
      <c r="AV6" s="777" t="s">
        <v>7</v>
      </c>
      <c r="AW6" s="778"/>
      <c r="AX6" s="778"/>
      <c r="AY6" s="778"/>
      <c r="AZ6" s="778"/>
      <c r="BA6" s="778"/>
      <c r="BB6" s="779"/>
      <c r="BC6" s="780" t="s">
        <v>8</v>
      </c>
      <c r="BD6" s="781"/>
      <c r="BE6" s="781"/>
      <c r="BF6" s="781"/>
      <c r="BG6" s="781"/>
      <c r="BH6" s="311" t="s">
        <v>193</v>
      </c>
      <c r="BI6" s="311" t="s">
        <v>194</v>
      </c>
      <c r="BJ6" s="709"/>
      <c r="BK6" s="321" t="s">
        <v>169</v>
      </c>
      <c r="BL6" s="321"/>
      <c r="BM6" s="321"/>
      <c r="BN6" s="321"/>
      <c r="BO6" s="321"/>
      <c r="BP6" s="321"/>
      <c r="BQ6" s="294"/>
      <c r="BT6" s="281"/>
      <c r="BU6" s="281"/>
    </row>
    <row r="7" spans="1:74" ht="16.2" thickBot="1" x14ac:dyDescent="0.3">
      <c r="A7" s="281"/>
      <c r="B7" s="699" t="s">
        <v>21</v>
      </c>
      <c r="C7" s="699" t="s">
        <v>19</v>
      </c>
      <c r="D7" s="309" t="s">
        <v>21</v>
      </c>
      <c r="E7" s="310" t="s">
        <v>19</v>
      </c>
      <c r="F7" s="303" t="s">
        <v>19</v>
      </c>
      <c r="G7" s="303" t="s">
        <v>53</v>
      </c>
      <c r="H7" s="304" t="s">
        <v>75</v>
      </c>
      <c r="I7" s="305" t="s">
        <v>20</v>
      </c>
      <c r="J7" s="305" t="s">
        <v>53</v>
      </c>
      <c r="K7" s="306" t="s">
        <v>9</v>
      </c>
      <c r="L7" s="307" t="s">
        <v>19</v>
      </c>
      <c r="M7" s="307" t="s">
        <v>53</v>
      </c>
      <c r="N7" s="281" t="s">
        <v>52</v>
      </c>
      <c r="O7" s="761"/>
      <c r="P7" s="761"/>
      <c r="Q7" s="416"/>
      <c r="R7" s="290"/>
      <c r="S7" s="290"/>
      <c r="T7" s="290"/>
      <c r="U7" s="290"/>
      <c r="V7" s="769"/>
      <c r="W7" s="771"/>
      <c r="X7" s="771"/>
      <c r="Y7" s="416"/>
      <c r="Z7" s="641" t="s">
        <v>19</v>
      </c>
      <c r="AA7" s="641" t="s">
        <v>9</v>
      </c>
      <c r="AC7" s="556" t="s">
        <v>195</v>
      </c>
      <c r="AD7" s="703" t="s">
        <v>9</v>
      </c>
      <c r="AE7" s="312" t="s">
        <v>9</v>
      </c>
      <c r="AF7" s="305" t="s">
        <v>9</v>
      </c>
      <c r="AG7" s="307" t="s">
        <v>9</v>
      </c>
      <c r="AH7" s="313" t="s">
        <v>9</v>
      </c>
      <c r="AI7" s="314" t="s">
        <v>9</v>
      </c>
      <c r="AJ7" s="314" t="s">
        <v>42</v>
      </c>
      <c r="AK7" s="314" t="s">
        <v>37</v>
      </c>
      <c r="AL7" s="705" t="s">
        <v>19</v>
      </c>
      <c r="AM7" s="703" t="s">
        <v>9</v>
      </c>
      <c r="AN7" s="315" t="s">
        <v>19</v>
      </c>
      <c r="AO7" s="312" t="s">
        <v>9</v>
      </c>
      <c r="AP7" s="305" t="s">
        <v>50</v>
      </c>
      <c r="AQ7" s="316" t="s">
        <v>48</v>
      </c>
      <c r="AR7" s="316" t="s">
        <v>46</v>
      </c>
      <c r="AS7" s="316" t="s">
        <v>43</v>
      </c>
      <c r="AT7" s="316" t="s">
        <v>44</v>
      </c>
      <c r="AU7" s="316" t="s">
        <v>49</v>
      </c>
      <c r="AV7" s="307" t="s">
        <v>33</v>
      </c>
      <c r="AW7" s="317" t="s">
        <v>22</v>
      </c>
      <c r="AX7" s="317" t="s">
        <v>24</v>
      </c>
      <c r="AY7" s="317" t="s">
        <v>43</v>
      </c>
      <c r="AZ7" s="317" t="s">
        <v>44</v>
      </c>
      <c r="BA7" s="318" t="s">
        <v>23</v>
      </c>
      <c r="BB7" s="318" t="s">
        <v>25</v>
      </c>
      <c r="BC7" s="313" t="s">
        <v>9</v>
      </c>
      <c r="BD7" s="319" t="s">
        <v>68</v>
      </c>
      <c r="BE7" s="319" t="s">
        <v>45</v>
      </c>
      <c r="BF7" s="318" t="s">
        <v>69</v>
      </c>
      <c r="BG7" s="318" t="s">
        <v>21</v>
      </c>
      <c r="BH7" s="320"/>
      <c r="BI7" s="320"/>
      <c r="BJ7" s="709"/>
      <c r="BK7" s="321" t="s">
        <v>8</v>
      </c>
      <c r="BL7" s="321" t="s">
        <v>167</v>
      </c>
      <c r="BM7" s="321" t="s">
        <v>15</v>
      </c>
      <c r="BN7" s="321" t="s">
        <v>13</v>
      </c>
      <c r="BO7" s="321" t="s">
        <v>93</v>
      </c>
      <c r="BP7" s="321" t="s">
        <v>103</v>
      </c>
      <c r="BT7" s="281"/>
      <c r="BU7" s="281"/>
    </row>
    <row r="8" spans="1:74" ht="16.2" thickTop="1" x14ac:dyDescent="0.25">
      <c r="A8" s="454"/>
      <c r="B8" s="322"/>
      <c r="C8" s="322"/>
      <c r="D8" s="322"/>
      <c r="E8" s="322"/>
      <c r="F8" s="322"/>
      <c r="G8" s="322"/>
      <c r="H8" s="322"/>
      <c r="I8" s="322"/>
      <c r="J8" s="322"/>
      <c r="K8" s="322"/>
      <c r="L8" s="323"/>
      <c r="M8" s="323"/>
      <c r="N8" s="323" t="s">
        <v>52</v>
      </c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406"/>
      <c r="AA8" s="406"/>
      <c r="AB8" s="406"/>
      <c r="AC8" s="557"/>
      <c r="AD8" s="323"/>
      <c r="AE8" s="323"/>
      <c r="AF8" s="323"/>
      <c r="AG8" s="323"/>
      <c r="AH8" s="323"/>
      <c r="AI8" s="323"/>
      <c r="AJ8" s="324"/>
      <c r="AK8" s="323"/>
      <c r="AL8" s="324"/>
      <c r="AM8" s="323"/>
      <c r="AN8" s="324"/>
      <c r="AO8" s="323"/>
      <c r="AP8" s="323"/>
      <c r="AQ8" s="323"/>
      <c r="AR8" s="323"/>
      <c r="AS8" s="323"/>
      <c r="AT8" s="323"/>
      <c r="AU8" s="323"/>
      <c r="AV8" s="323"/>
      <c r="AW8" s="323"/>
      <c r="AX8" s="323"/>
      <c r="AY8" s="323"/>
      <c r="AZ8" s="323"/>
      <c r="BA8" s="323"/>
      <c r="BB8" s="323"/>
      <c r="BC8" s="323"/>
      <c r="BD8" s="323"/>
      <c r="BE8" s="323"/>
      <c r="BF8" s="323"/>
      <c r="BG8" s="323"/>
      <c r="BH8" s="323"/>
      <c r="BI8" s="323"/>
      <c r="BK8" s="322"/>
      <c r="BL8" s="322"/>
      <c r="BM8" s="322"/>
      <c r="BN8" s="322"/>
      <c r="BO8" s="322"/>
      <c r="BP8" s="322"/>
      <c r="BT8" s="281"/>
      <c r="BU8" s="281"/>
    </row>
    <row r="9" spans="1:74" ht="15.6" x14ac:dyDescent="0.25">
      <c r="A9" s="281"/>
      <c r="C9" s="325"/>
      <c r="E9" s="325"/>
      <c r="F9" s="325"/>
      <c r="G9" s="325"/>
      <c r="H9" s="325"/>
      <c r="I9" s="325"/>
      <c r="J9" s="325"/>
      <c r="K9" s="325"/>
      <c r="L9" s="325"/>
      <c r="M9" s="325"/>
      <c r="N9" s="281" t="s">
        <v>52</v>
      </c>
      <c r="O9" s="416" t="s">
        <v>170</v>
      </c>
      <c r="P9" s="417" t="s">
        <v>80</v>
      </c>
      <c r="R9" s="403"/>
      <c r="S9" s="404"/>
      <c r="T9" s="404"/>
      <c r="U9" s="404"/>
      <c r="V9" s="404"/>
      <c r="W9" s="404"/>
      <c r="X9" s="404"/>
      <c r="Y9" s="405"/>
      <c r="Z9" s="407"/>
      <c r="AB9" s="408"/>
      <c r="AJ9" s="280"/>
      <c r="AK9" s="280"/>
      <c r="AL9" s="280"/>
      <c r="AM9" s="327"/>
      <c r="AN9" s="280"/>
      <c r="AO9" s="327"/>
      <c r="AP9" s="327"/>
      <c r="AQ9" s="327"/>
      <c r="AR9" s="327"/>
      <c r="AS9" s="327"/>
      <c r="AT9" s="327"/>
      <c r="AU9" s="327"/>
      <c r="AV9" s="328"/>
      <c r="AW9" s="327"/>
      <c r="AX9" s="327"/>
      <c r="AY9" s="327"/>
      <c r="AZ9" s="327"/>
      <c r="BA9" s="327"/>
      <c r="BB9" s="327"/>
      <c r="BC9" s="327"/>
      <c r="BD9" s="328"/>
      <c r="BE9" s="328"/>
      <c r="BF9" s="328"/>
      <c r="BG9" s="327"/>
      <c r="BT9" s="281"/>
      <c r="BU9" s="281"/>
    </row>
    <row r="10" spans="1:74" ht="15.6" x14ac:dyDescent="0.25">
      <c r="A10" s="329"/>
      <c r="B10" s="329">
        <f>SUM(AL9:AL10)</f>
        <v>0</v>
      </c>
      <c r="C10" s="329">
        <f>SUM(AM9:AM10)</f>
        <v>0</v>
      </c>
      <c r="D10" s="329">
        <f>SUM(AK9:AK10)</f>
        <v>0</v>
      </c>
      <c r="E10" s="329">
        <f>SUM(AO9:AO10)</f>
        <v>0</v>
      </c>
      <c r="F10" s="329">
        <f>SUM(BE9:BE10, BG9:BG10,BC9:BC10)</f>
        <v>0</v>
      </c>
      <c r="G10" s="329"/>
      <c r="H10" s="329">
        <f>SUM(AQ9:AQ10)+SUM(AR9:AR10)</f>
        <v>0</v>
      </c>
      <c r="I10" s="329">
        <f>SUM(AT9:AT10)+SUM(AP9:AP10)</f>
        <v>0</v>
      </c>
      <c r="J10" s="329"/>
      <c r="K10" s="329">
        <f>SUM(AX9:AX10)+SUM(AZ9:AZ10)+SUM(BB9:BB10)+SUM(AV9:AV10)</f>
        <v>0</v>
      </c>
      <c r="M10" s="329"/>
      <c r="P10" s="330" t="str">
        <f>"Subtotal of Costs for "&amp;P9</f>
        <v xml:space="preserve">Subtotal of Costs for Subcontractor Net Costs </v>
      </c>
      <c r="R10" s="280"/>
      <c r="S10" s="280"/>
      <c r="T10" s="280"/>
      <c r="U10" s="280"/>
      <c r="V10" s="280"/>
      <c r="W10" s="280"/>
      <c r="X10" s="280"/>
      <c r="Z10" s="409">
        <f>SUM(AA9:AA10)</f>
        <v>0</v>
      </c>
      <c r="AB10" s="408"/>
      <c r="AJ10" s="332"/>
      <c r="AK10" s="332"/>
      <c r="AL10" s="332"/>
      <c r="AN10" s="332"/>
      <c r="AY10" s="327"/>
      <c r="AZ10" s="327"/>
      <c r="BT10" s="281"/>
      <c r="BU10" s="281"/>
    </row>
    <row r="11" spans="1:74" ht="15.6" x14ac:dyDescent="0.25">
      <c r="A11" s="329"/>
      <c r="B11" s="329"/>
      <c r="C11" s="329"/>
      <c r="D11" s="329"/>
      <c r="E11" s="329"/>
      <c r="F11" s="329"/>
      <c r="G11" s="329"/>
      <c r="H11" s="329"/>
      <c r="I11" s="329"/>
      <c r="J11" s="329"/>
      <c r="K11" s="329"/>
      <c r="M11" s="329"/>
      <c r="N11" s="281" t="s">
        <v>52</v>
      </c>
      <c r="P11" s="330"/>
      <c r="R11" s="280"/>
      <c r="S11" s="280"/>
      <c r="T11" s="280"/>
      <c r="U11" s="280"/>
      <c r="V11" s="280"/>
      <c r="W11" s="280"/>
      <c r="X11" s="280"/>
      <c r="Y11" s="331"/>
      <c r="Z11" s="409"/>
      <c r="AB11" s="408"/>
      <c r="AJ11" s="332"/>
      <c r="AK11" s="332"/>
      <c r="AL11" s="332"/>
      <c r="AN11" s="332"/>
      <c r="AY11" s="327"/>
      <c r="AZ11" s="327"/>
      <c r="BT11" s="281"/>
      <c r="BU11" s="281"/>
    </row>
    <row r="12" spans="1:74" ht="15.6" x14ac:dyDescent="0.25">
      <c r="A12" s="281"/>
      <c r="C12" s="325"/>
      <c r="E12" s="325"/>
      <c r="F12" s="325"/>
      <c r="G12" s="325"/>
      <c r="H12" s="325"/>
      <c r="I12" s="325"/>
      <c r="J12" s="325"/>
      <c r="K12" s="325"/>
      <c r="L12" s="325"/>
      <c r="M12" s="325"/>
      <c r="N12" s="281" t="s">
        <v>52</v>
      </c>
      <c r="P12" s="417" t="s">
        <v>81</v>
      </c>
      <c r="R12" s="403"/>
      <c r="S12" s="404"/>
      <c r="T12" s="404"/>
      <c r="U12" s="404"/>
      <c r="V12" s="404"/>
      <c r="W12" s="404"/>
      <c r="X12" s="404"/>
      <c r="Y12" s="405"/>
      <c r="Z12" s="407"/>
      <c r="AB12" s="408"/>
      <c r="AJ12" s="280"/>
      <c r="AK12" s="280"/>
      <c r="AL12" s="280"/>
      <c r="AM12" s="327"/>
      <c r="AN12" s="280"/>
      <c r="AO12" s="327"/>
      <c r="AP12" s="327"/>
      <c r="AQ12" s="327"/>
      <c r="AR12" s="327"/>
      <c r="AS12" s="327"/>
      <c r="AT12" s="327"/>
      <c r="AU12" s="327"/>
      <c r="AV12" s="328"/>
      <c r="AW12" s="327"/>
      <c r="AX12" s="327"/>
      <c r="AY12" s="327"/>
      <c r="AZ12" s="327"/>
      <c r="BA12" s="327"/>
      <c r="BB12" s="327"/>
      <c r="BC12" s="327"/>
      <c r="BD12" s="328"/>
      <c r="BE12" s="328"/>
      <c r="BF12" s="328"/>
      <c r="BG12" s="327"/>
      <c r="BH12" s="327"/>
      <c r="BI12" s="327"/>
      <c r="BT12" s="281"/>
      <c r="BU12" s="281"/>
    </row>
    <row r="13" spans="1:74" ht="15.6" x14ac:dyDescent="0.3">
      <c r="A13" s="329"/>
      <c r="B13" s="329">
        <f>SUM(AL12:AL13)</f>
        <v>0</v>
      </c>
      <c r="C13" s="329">
        <f>SUM(AM12:AM13)</f>
        <v>0</v>
      </c>
      <c r="D13" s="329">
        <f>SUM(AK12:AK13)</f>
        <v>0</v>
      </c>
      <c r="E13" s="329">
        <f>SUM(AO12:AO13)</f>
        <v>0</v>
      </c>
      <c r="F13" s="329">
        <f>SUM(BE12:BE13, BG12:BG13,BC12:BC13)</f>
        <v>0</v>
      </c>
      <c r="G13" s="329"/>
      <c r="H13" s="329">
        <f>SUM(AQ12:AQ13)+SUM(AR12:AR13)</f>
        <v>0</v>
      </c>
      <c r="I13" s="329">
        <f>SUM(AT12:AT13)+SUM(AP12:AP13)</f>
        <v>0</v>
      </c>
      <c r="J13" s="329"/>
      <c r="K13" s="329">
        <f>SUM(AX12:AX13)+SUM(AZ12:AZ13)+SUM(BB12:BB13)+SUM(AV12:AV13)</f>
        <v>0</v>
      </c>
      <c r="M13" s="329"/>
      <c r="P13" s="330" t="str">
        <f>"Subtotal of Costs for "&amp;P12</f>
        <v>Subtotal of Costs for Materials Net Cost</v>
      </c>
      <c r="R13" s="280"/>
      <c r="S13" s="280"/>
      <c r="T13" s="280"/>
      <c r="U13" s="280"/>
      <c r="V13" s="280"/>
      <c r="W13" s="280"/>
      <c r="X13" s="280"/>
      <c r="Z13" s="192">
        <f>SUM(AA12:AA13)</f>
        <v>0</v>
      </c>
      <c r="AB13" s="408"/>
      <c r="AJ13" s="332"/>
      <c r="AK13" s="332"/>
      <c r="AL13" s="332"/>
      <c r="AN13" s="332"/>
      <c r="AY13" s="327"/>
      <c r="AZ13" s="327"/>
      <c r="BT13" s="281"/>
      <c r="BU13" s="281"/>
    </row>
    <row r="14" spans="1:74" ht="15.6" x14ac:dyDescent="0.25">
      <c r="A14" s="329"/>
      <c r="B14" s="329"/>
      <c r="C14" s="329"/>
      <c r="D14" s="329"/>
      <c r="E14" s="329"/>
      <c r="F14" s="329"/>
      <c r="G14" s="329"/>
      <c r="H14" s="329"/>
      <c r="I14" s="329"/>
      <c r="J14" s="329"/>
      <c r="K14" s="329"/>
      <c r="M14" s="329"/>
      <c r="N14" s="281" t="s">
        <v>52</v>
      </c>
      <c r="P14" s="330"/>
      <c r="R14" s="280"/>
      <c r="S14" s="280"/>
      <c r="T14" s="280"/>
      <c r="U14" s="280"/>
      <c r="V14" s="280"/>
      <c r="W14" s="280"/>
      <c r="X14" s="280"/>
      <c r="Y14" s="331"/>
      <c r="Z14" s="409"/>
      <c r="AB14" s="408"/>
      <c r="AJ14" s="332"/>
      <c r="AK14" s="332"/>
      <c r="AL14" s="332"/>
      <c r="AN14" s="332"/>
      <c r="AY14" s="327"/>
      <c r="AZ14" s="327"/>
      <c r="BT14" s="281"/>
      <c r="BU14" s="281"/>
    </row>
    <row r="15" spans="1:74" ht="15.6" x14ac:dyDescent="0.25">
      <c r="A15" s="281"/>
      <c r="C15" s="325"/>
      <c r="E15" s="325"/>
      <c r="F15" s="325"/>
      <c r="G15" s="325"/>
      <c r="H15" s="325"/>
      <c r="I15" s="325"/>
      <c r="J15" s="325"/>
      <c r="K15" s="325"/>
      <c r="L15" s="325"/>
      <c r="M15" s="325"/>
      <c r="N15" s="281" t="s">
        <v>52</v>
      </c>
      <c r="P15" s="417" t="s">
        <v>82</v>
      </c>
      <c r="R15" s="403"/>
      <c r="S15" s="404"/>
      <c r="T15" s="404"/>
      <c r="U15" s="404"/>
      <c r="V15" s="404"/>
      <c r="W15" s="404"/>
      <c r="X15" s="404"/>
      <c r="Y15" s="405"/>
      <c r="Z15" s="407"/>
      <c r="AB15" s="408"/>
      <c r="AJ15" s="280"/>
      <c r="AK15" s="280"/>
      <c r="AL15" s="280"/>
      <c r="AM15" s="327"/>
      <c r="AN15" s="280"/>
      <c r="AO15" s="327"/>
      <c r="AP15" s="327"/>
      <c r="AQ15" s="327"/>
      <c r="AR15" s="327"/>
      <c r="AS15" s="327"/>
      <c r="AT15" s="327"/>
      <c r="AU15" s="327"/>
      <c r="AV15" s="328"/>
      <c r="AW15" s="327"/>
      <c r="AX15" s="327"/>
      <c r="AY15" s="327"/>
      <c r="AZ15" s="327"/>
      <c r="BA15" s="327"/>
      <c r="BB15" s="327"/>
      <c r="BC15" s="327"/>
      <c r="BD15" s="328"/>
      <c r="BE15" s="328"/>
      <c r="BF15" s="328"/>
      <c r="BG15" s="327"/>
      <c r="BH15" s="327"/>
      <c r="BI15" s="327"/>
      <c r="BT15" s="281"/>
      <c r="BU15" s="281"/>
    </row>
    <row r="16" spans="1:74" ht="15.6" x14ac:dyDescent="0.25">
      <c r="A16" s="329"/>
      <c r="B16" s="329">
        <f>SUM(AL15:AL16)</f>
        <v>0</v>
      </c>
      <c r="C16" s="329">
        <f>SUM(AM15:AM16)</f>
        <v>0</v>
      </c>
      <c r="D16" s="329">
        <f>SUM(AK15:AK16)</f>
        <v>0</v>
      </c>
      <c r="E16" s="329">
        <f>SUM(AO15:AO16)</f>
        <v>0</v>
      </c>
      <c r="F16" s="329">
        <f>SUM(BE15:BE16, BG15:BG16,BC15:BC16)</f>
        <v>0</v>
      </c>
      <c r="G16" s="329"/>
      <c r="H16" s="329">
        <f>SUM(AQ15:AQ16)+SUM(AR15:AR16)</f>
        <v>0</v>
      </c>
      <c r="I16" s="329">
        <f>SUM(AT15:AT16)+SUM(AP15:AP16)</f>
        <v>0</v>
      </c>
      <c r="J16" s="329"/>
      <c r="K16" s="329">
        <f>SUM(AX15:AX16)+SUM(AZ15:AZ16)+SUM(BB15:BB16)+SUM(AV15:AV16)</f>
        <v>0</v>
      </c>
      <c r="M16" s="329"/>
      <c r="P16" s="330" t="str">
        <f>"Subtotal of Costs for "&amp;P15</f>
        <v xml:space="preserve">Subtotal of Costs for Net Plant Costs </v>
      </c>
      <c r="R16" s="280"/>
      <c r="S16" s="280"/>
      <c r="T16" s="280"/>
      <c r="U16" s="280"/>
      <c r="V16" s="280"/>
      <c r="W16" s="280"/>
      <c r="X16" s="280"/>
      <c r="Z16" s="410">
        <f>SUM(AA15:AA16)</f>
        <v>0</v>
      </c>
      <c r="AB16" s="408"/>
      <c r="AJ16" s="332"/>
      <c r="AK16" s="332"/>
      <c r="AL16" s="332"/>
      <c r="AN16" s="332"/>
      <c r="AY16" s="327"/>
      <c r="AZ16" s="327"/>
      <c r="BM16" s="333"/>
      <c r="BT16" s="281"/>
      <c r="BU16" s="281"/>
    </row>
    <row r="17" spans="1:73" ht="15.6" x14ac:dyDescent="0.25">
      <c r="A17" s="329"/>
      <c r="B17" s="329"/>
      <c r="C17" s="329"/>
      <c r="D17" s="329"/>
      <c r="E17" s="329"/>
      <c r="F17" s="329"/>
      <c r="G17" s="329"/>
      <c r="H17" s="329"/>
      <c r="I17" s="329"/>
      <c r="J17" s="329"/>
      <c r="K17" s="329"/>
      <c r="M17" s="329"/>
      <c r="N17" s="281" t="s">
        <v>52</v>
      </c>
      <c r="P17" s="330"/>
      <c r="R17" s="280"/>
      <c r="S17" s="280"/>
      <c r="T17" s="280"/>
      <c r="U17" s="280"/>
      <c r="V17" s="280"/>
      <c r="W17" s="280"/>
      <c r="X17" s="280"/>
      <c r="Y17" s="331"/>
      <c r="Z17" s="409"/>
      <c r="AB17" s="408"/>
      <c r="AJ17" s="332"/>
      <c r="AK17" s="332"/>
      <c r="AL17" s="332"/>
      <c r="AN17" s="332"/>
      <c r="AY17" s="327"/>
      <c r="AZ17" s="327"/>
      <c r="BT17" s="281"/>
      <c r="BU17" s="281"/>
    </row>
    <row r="18" spans="1:73" ht="15.6" x14ac:dyDescent="0.25">
      <c r="A18" s="281"/>
      <c r="C18" s="325"/>
      <c r="E18" s="325"/>
      <c r="F18" s="325"/>
      <c r="G18" s="325"/>
      <c r="H18" s="325"/>
      <c r="I18" s="325"/>
      <c r="J18" s="325"/>
      <c r="K18" s="325"/>
      <c r="L18" s="325"/>
      <c r="M18" s="325"/>
      <c r="N18" s="281" t="s">
        <v>52</v>
      </c>
      <c r="P18" s="417" t="s">
        <v>83</v>
      </c>
      <c r="R18" s="403"/>
      <c r="S18" s="404"/>
      <c r="T18" s="404"/>
      <c r="U18" s="404"/>
      <c r="V18" s="404"/>
      <c r="W18" s="404"/>
      <c r="X18" s="404"/>
      <c r="Y18" s="405"/>
      <c r="AB18" s="408"/>
      <c r="AJ18" s="280"/>
      <c r="AK18" s="280"/>
      <c r="AL18" s="280"/>
      <c r="AM18" s="327"/>
      <c r="AN18" s="280"/>
      <c r="AO18" s="327"/>
      <c r="AP18" s="327"/>
      <c r="AQ18" s="327"/>
      <c r="AR18" s="327"/>
      <c r="AS18" s="327"/>
      <c r="AT18" s="327"/>
      <c r="AU18" s="327"/>
      <c r="AV18" s="328"/>
      <c r="AW18" s="327"/>
      <c r="AX18" s="327"/>
      <c r="AY18" s="327"/>
      <c r="AZ18" s="327"/>
      <c r="BA18" s="327"/>
      <c r="BB18" s="327"/>
      <c r="BC18" s="327"/>
      <c r="BD18" s="328"/>
      <c r="BE18" s="328"/>
      <c r="BF18" s="328"/>
      <c r="BG18" s="327"/>
      <c r="BH18" s="327"/>
      <c r="BI18" s="327"/>
      <c r="BJ18" s="327"/>
      <c r="BK18" s="327"/>
      <c r="BL18" s="327"/>
      <c r="BT18" s="281"/>
      <c r="BU18" s="281"/>
    </row>
    <row r="19" spans="1:73" ht="15.6" x14ac:dyDescent="0.25">
      <c r="A19" s="329"/>
      <c r="B19" s="329">
        <f>SUM(AL18:AL19)</f>
        <v>0</v>
      </c>
      <c r="C19" s="329">
        <f>SUM(AM18:AM19)</f>
        <v>0</v>
      </c>
      <c r="D19" s="329">
        <f>SUM(AK18:AK19)</f>
        <v>0</v>
      </c>
      <c r="E19" s="329">
        <f>SUM(AO18:AO19)</f>
        <v>0</v>
      </c>
      <c r="F19" s="329">
        <f>SUM(BE18:BE19, BG18:BG19,BC18:BC19)</f>
        <v>0</v>
      </c>
      <c r="G19" s="329"/>
      <c r="H19" s="329">
        <f>SUM(AQ18:AQ19)+SUM(AR18:AR19)</f>
        <v>0</v>
      </c>
      <c r="I19" s="329">
        <f>SUM(AT18:AT19)+SUM(AP18:AP19)</f>
        <v>0</v>
      </c>
      <c r="J19" s="329"/>
      <c r="K19" s="329">
        <f>SUM(AX18:AX19)+SUM(AZ18:AZ19)+SUM(BB18:BB19)+SUM(AV18:AV19)</f>
        <v>0</v>
      </c>
      <c r="M19" s="329"/>
      <c r="P19" s="330" t="str">
        <f>"Subtotal of Costs for "&amp;P18</f>
        <v>Subtotal of Costs for Net Labour Costs</v>
      </c>
      <c r="R19" s="280"/>
      <c r="S19" s="280"/>
      <c r="T19" s="280"/>
      <c r="U19" s="280"/>
      <c r="V19" s="280"/>
      <c r="W19" s="280"/>
      <c r="X19" s="280"/>
      <c r="Z19" s="410">
        <f>SUM(AA18:AA19)</f>
        <v>0</v>
      </c>
      <c r="AB19" s="408"/>
      <c r="AJ19" s="332"/>
      <c r="AK19" s="332"/>
      <c r="AL19" s="332"/>
      <c r="AN19" s="332"/>
      <c r="AY19" s="327"/>
      <c r="AZ19" s="327"/>
      <c r="BT19" s="281"/>
      <c r="BU19" s="281"/>
    </row>
    <row r="20" spans="1:73" ht="15.6" x14ac:dyDescent="0.25">
      <c r="A20" s="329"/>
      <c r="B20" s="329"/>
      <c r="C20" s="329"/>
      <c r="D20" s="329"/>
      <c r="E20" s="329"/>
      <c r="F20" s="329"/>
      <c r="G20" s="329"/>
      <c r="H20" s="329"/>
      <c r="I20" s="329"/>
      <c r="J20" s="329"/>
      <c r="K20" s="329"/>
      <c r="M20" s="329"/>
      <c r="N20" s="281" t="s">
        <v>52</v>
      </c>
      <c r="P20" s="330"/>
      <c r="R20" s="280"/>
      <c r="S20" s="280"/>
      <c r="T20" s="280"/>
      <c r="U20" s="280"/>
      <c r="V20" s="280"/>
      <c r="W20" s="280"/>
      <c r="X20" s="280"/>
      <c r="Y20" s="331"/>
      <c r="Z20" s="409"/>
      <c r="AB20" s="408"/>
      <c r="AJ20" s="332"/>
      <c r="AK20" s="332"/>
      <c r="AL20" s="332"/>
      <c r="AN20" s="332"/>
      <c r="AY20" s="327"/>
      <c r="AZ20" s="327"/>
      <c r="BT20" s="281"/>
      <c r="BU20" s="281"/>
    </row>
    <row r="21" spans="1:73" ht="15.6" x14ac:dyDescent="0.25">
      <c r="A21" s="329"/>
      <c r="B21" s="329"/>
      <c r="C21" s="329"/>
      <c r="D21" s="329"/>
      <c r="E21" s="329"/>
      <c r="F21" s="329"/>
      <c r="G21" s="329"/>
      <c r="H21" s="329"/>
      <c r="I21" s="329"/>
      <c r="J21" s="329"/>
      <c r="K21" s="329"/>
      <c r="M21" s="329"/>
      <c r="N21" s="281" t="s">
        <v>52</v>
      </c>
      <c r="P21" s="330" t="s">
        <v>187</v>
      </c>
      <c r="R21" s="280"/>
      <c r="S21" s="280"/>
      <c r="T21" s="280"/>
      <c r="U21" s="280"/>
      <c r="V21" s="280"/>
      <c r="W21" s="280"/>
      <c r="X21" s="280"/>
      <c r="Y21" s="331"/>
      <c r="AA21" s="409">
        <f>-SUMIF(AA8:AA20, "&lt;0")</f>
        <v>0</v>
      </c>
      <c r="AC21" s="559">
        <f>-SUMIF(AC9:AC19, "&lt;0")</f>
        <v>0</v>
      </c>
      <c r="AJ21" s="332"/>
      <c r="AK21" s="332"/>
      <c r="AL21" s="332"/>
      <c r="AN21" s="332"/>
      <c r="AY21" s="327"/>
      <c r="AZ21" s="327"/>
      <c r="BT21" s="281"/>
      <c r="BU21" s="281"/>
    </row>
    <row r="22" spans="1:73" ht="16.2" thickBot="1" x14ac:dyDescent="0.3">
      <c r="A22" s="329"/>
      <c r="B22" s="329"/>
      <c r="C22" s="329"/>
      <c r="D22" s="329"/>
      <c r="E22" s="329"/>
      <c r="F22" s="329"/>
      <c r="G22" s="329"/>
      <c r="H22" s="329"/>
      <c r="I22" s="329"/>
      <c r="J22" s="329"/>
      <c r="K22" s="329"/>
      <c r="M22" s="329"/>
      <c r="N22" s="281" t="s">
        <v>52</v>
      </c>
      <c r="P22" s="330" t="s">
        <v>188</v>
      </c>
      <c r="R22" s="280"/>
      <c r="S22" s="280"/>
      <c r="T22" s="280"/>
      <c r="U22" s="280"/>
      <c r="V22" s="280"/>
      <c r="W22" s="280"/>
      <c r="X22" s="280"/>
      <c r="Y22" s="331"/>
      <c r="AA22" s="409">
        <f>SUMIF(AA8:AA20, "&gt;0")</f>
        <v>0</v>
      </c>
      <c r="AB22" s="326"/>
      <c r="AC22" s="559">
        <f>SUMIF(AC9:AC19, "&gt;0")</f>
        <v>0</v>
      </c>
      <c r="AJ22" s="332"/>
      <c r="AK22" s="332"/>
      <c r="AL22" s="332"/>
      <c r="AN22" s="332"/>
      <c r="AY22" s="327"/>
      <c r="AZ22" s="327"/>
      <c r="BT22" s="281"/>
      <c r="BU22" s="281"/>
    </row>
    <row r="23" spans="1:73" ht="16.2" thickBot="1" x14ac:dyDescent="0.3">
      <c r="A23" s="329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M23" s="329"/>
      <c r="N23" s="281" t="s">
        <v>52</v>
      </c>
      <c r="O23" s="334"/>
      <c r="P23" s="214" t="s">
        <v>190</v>
      </c>
      <c r="Q23" s="335"/>
      <c r="R23" s="336"/>
      <c r="S23" s="336"/>
      <c r="T23" s="336"/>
      <c r="U23" s="336"/>
      <c r="V23" s="336"/>
      <c r="W23" s="336"/>
      <c r="X23" s="336"/>
      <c r="Y23" s="337"/>
      <c r="Z23" s="642"/>
      <c r="AA23" s="450">
        <f>-AA21+AA22</f>
        <v>0</v>
      </c>
      <c r="AC23" s="560">
        <f>-AC21+AC22</f>
        <v>0</v>
      </c>
      <c r="AJ23" s="332"/>
      <c r="AK23" s="332"/>
      <c r="AL23" s="332"/>
      <c r="AN23" s="332"/>
      <c r="AY23" s="327"/>
      <c r="AZ23" s="327"/>
      <c r="BS23" s="443"/>
      <c r="BT23" s="281"/>
      <c r="BU23" s="281"/>
    </row>
    <row r="24" spans="1:73" ht="16.2" thickBot="1" x14ac:dyDescent="0.3">
      <c r="A24" s="329"/>
      <c r="B24" s="329"/>
      <c r="C24" s="329"/>
      <c r="D24" s="329"/>
      <c r="E24" s="329"/>
      <c r="F24" s="329"/>
      <c r="G24" s="329"/>
      <c r="H24" s="329"/>
      <c r="I24" s="329"/>
      <c r="J24" s="329"/>
      <c r="K24" s="329"/>
      <c r="M24" s="329"/>
      <c r="O24" s="339"/>
      <c r="P24" s="240"/>
      <c r="Q24" s="339"/>
      <c r="R24" s="340"/>
      <c r="S24" s="340"/>
      <c r="T24" s="340"/>
      <c r="U24" s="340"/>
      <c r="V24" s="340"/>
      <c r="W24" s="340"/>
      <c r="X24" s="340"/>
      <c r="Y24" s="341"/>
      <c r="AA24" s="411"/>
      <c r="AB24" s="339"/>
      <c r="AJ24" s="332"/>
      <c r="AK24" s="332"/>
      <c r="AL24" s="332"/>
      <c r="AN24" s="332"/>
      <c r="AY24" s="327"/>
      <c r="AZ24" s="327"/>
      <c r="BT24" s="281"/>
      <c r="BU24" s="281"/>
    </row>
    <row r="25" spans="1:73" ht="15.6" x14ac:dyDescent="0.25">
      <c r="A25" s="281"/>
      <c r="C25" s="325"/>
      <c r="E25" s="325"/>
      <c r="F25" s="325"/>
      <c r="G25" s="325"/>
      <c r="H25" s="325"/>
      <c r="I25" s="325"/>
      <c r="J25" s="325"/>
      <c r="K25" s="325"/>
      <c r="L25" s="325"/>
      <c r="M25" s="325"/>
      <c r="N25" s="281" t="s">
        <v>52</v>
      </c>
      <c r="O25" s="342"/>
      <c r="P25" s="343" t="s">
        <v>207</v>
      </c>
      <c r="Q25" s="344">
        <f>IF(O27=1,On_Site,0)</f>
        <v>0.05</v>
      </c>
      <c r="R25" s="345"/>
      <c r="S25" s="346"/>
      <c r="T25" s="346"/>
      <c r="U25" s="346"/>
      <c r="V25" s="346"/>
      <c r="W25" s="346"/>
      <c r="X25" s="346"/>
      <c r="Y25" s="339"/>
      <c r="Z25" s="643"/>
      <c r="AA25" s="441">
        <f>IF(AA23&lt;=0,0,(+AA23*Q25))</f>
        <v>0</v>
      </c>
      <c r="AB25" s="449"/>
      <c r="AC25" s="561">
        <f>IF(AC23&lt;=0,0,(+AC23*Q25))</f>
        <v>0</v>
      </c>
      <c r="AI25" s="347">
        <f>AC25</f>
        <v>0</v>
      </c>
      <c r="AJ25" s="280"/>
      <c r="AK25" s="280"/>
      <c r="AL25" s="280"/>
      <c r="AM25" s="327"/>
      <c r="AN25" s="280"/>
      <c r="AO25" s="327"/>
      <c r="AP25" s="327"/>
      <c r="AQ25" s="327"/>
      <c r="AR25" s="327"/>
      <c r="AS25" s="327"/>
      <c r="AT25" s="327"/>
      <c r="AU25" s="327"/>
      <c r="AV25" s="328"/>
      <c r="AW25" s="327"/>
      <c r="AX25" s="327"/>
      <c r="AY25" s="327"/>
      <c r="AZ25" s="327"/>
      <c r="BA25" s="327"/>
      <c r="BB25" s="327"/>
      <c r="BC25" s="327"/>
      <c r="BD25" s="328"/>
      <c r="BE25" s="328"/>
      <c r="BF25" s="328"/>
      <c r="BG25" s="327"/>
      <c r="BH25" s="327"/>
      <c r="BI25" s="348">
        <f>AA25</f>
        <v>0</v>
      </c>
      <c r="BJ25" s="327"/>
      <c r="BK25" s="327"/>
      <c r="BL25" s="327"/>
      <c r="BT25" s="281"/>
      <c r="BU25" s="281"/>
    </row>
    <row r="26" spans="1:73" ht="16.2" thickBot="1" x14ac:dyDescent="0.3">
      <c r="A26" s="329"/>
      <c r="B26" s="329">
        <f>SUM(AL25:AL26)</f>
        <v>0</v>
      </c>
      <c r="C26" s="329">
        <f>SUM(AM25:AM26)</f>
        <v>0</v>
      </c>
      <c r="D26" s="329">
        <f>SUM(AK25:AK26)</f>
        <v>0</v>
      </c>
      <c r="E26" s="329">
        <f>SUM(AO25:AO26)</f>
        <v>0</v>
      </c>
      <c r="F26" s="329">
        <f>SUM(BE25:BE26, BG25:BG26,BC25:BC26)</f>
        <v>0</v>
      </c>
      <c r="G26" s="329"/>
      <c r="H26" s="329">
        <f>SUM(AQ25:AQ26)+SUM(AR25:AR26)</f>
        <v>0</v>
      </c>
      <c r="I26" s="329">
        <f>SUM(AT25:AT26)+SUM(AP25:AP26)</f>
        <v>0</v>
      </c>
      <c r="J26" s="329"/>
      <c r="K26" s="329">
        <f>SUM(AX25:AX26)+SUM(AZ25:AZ26)+SUM(BB25:BB26)+SUM(AV25:AV26)</f>
        <v>0</v>
      </c>
      <c r="M26" s="329"/>
      <c r="O26" s="349"/>
      <c r="P26" s="220" t="str">
        <f>"Subtotal of Costs for "&amp;P25</f>
        <v>Subtotal of Costs for Onsite Overheads</v>
      </c>
      <c r="Q26" s="326"/>
      <c r="R26" s="350"/>
      <c r="S26" s="350"/>
      <c r="T26" s="350"/>
      <c r="U26" s="350"/>
      <c r="V26" s="350"/>
      <c r="W26" s="350"/>
      <c r="X26" s="350"/>
      <c r="Y26" s="326"/>
      <c r="Z26" s="644"/>
      <c r="AA26" s="645">
        <f>AA23+AA25</f>
        <v>0</v>
      </c>
      <c r="AC26" s="562">
        <f>AC23+AC25</f>
        <v>0</v>
      </c>
      <c r="AJ26" s="332"/>
      <c r="AK26" s="332"/>
      <c r="AL26" s="332"/>
      <c r="AN26" s="332"/>
      <c r="AY26" s="327"/>
      <c r="AZ26" s="327"/>
      <c r="BT26" s="281"/>
      <c r="BU26" s="281"/>
    </row>
    <row r="27" spans="1:73" ht="15.6" x14ac:dyDescent="0.25">
      <c r="A27" s="329"/>
      <c r="B27" s="329"/>
      <c r="C27" s="329"/>
      <c r="D27" s="329"/>
      <c r="E27" s="329"/>
      <c r="F27" s="329"/>
      <c r="G27" s="329"/>
      <c r="H27" s="329"/>
      <c r="I27" s="329"/>
      <c r="J27" s="329"/>
      <c r="K27" s="329"/>
      <c r="M27" s="329"/>
      <c r="O27" s="552">
        <v>1</v>
      </c>
      <c r="P27" s="417" t="s">
        <v>226</v>
      </c>
      <c r="R27" s="280"/>
      <c r="S27" s="280"/>
      <c r="T27" s="280"/>
      <c r="U27" s="280"/>
      <c r="V27" s="280"/>
      <c r="W27" s="280"/>
      <c r="X27" s="280"/>
      <c r="AA27" s="633"/>
      <c r="AB27" s="339"/>
      <c r="AC27" s="563"/>
      <c r="AJ27" s="332"/>
      <c r="AK27" s="332"/>
      <c r="AL27" s="332"/>
      <c r="AN27" s="332"/>
      <c r="AY27" s="327"/>
      <c r="AZ27" s="327"/>
      <c r="BT27" s="281"/>
      <c r="BU27" s="281"/>
    </row>
    <row r="28" spans="1:73" ht="16.2" thickBot="1" x14ac:dyDescent="0.3">
      <c r="A28" s="329"/>
      <c r="B28" s="329"/>
      <c r="C28" s="329"/>
      <c r="D28" s="329"/>
      <c r="E28" s="329"/>
      <c r="F28" s="329"/>
      <c r="G28" s="329"/>
      <c r="H28" s="329"/>
      <c r="I28" s="329"/>
      <c r="J28" s="329"/>
      <c r="K28" s="329"/>
      <c r="M28" s="329"/>
      <c r="P28" s="330"/>
      <c r="R28" s="280"/>
      <c r="S28" s="280"/>
      <c r="T28" s="280"/>
      <c r="U28" s="280"/>
      <c r="V28" s="280"/>
      <c r="W28" s="280"/>
      <c r="X28" s="280"/>
      <c r="Y28" s="331"/>
      <c r="AA28" s="409"/>
      <c r="AJ28" s="332"/>
      <c r="AK28" s="332"/>
      <c r="AL28" s="332"/>
      <c r="AN28" s="332"/>
      <c r="AY28" s="327"/>
      <c r="AZ28" s="327"/>
      <c r="BT28" s="281"/>
      <c r="BU28" s="281"/>
    </row>
    <row r="29" spans="1:73" ht="15.6" x14ac:dyDescent="0.25">
      <c r="A29" s="281"/>
      <c r="C29" s="325"/>
      <c r="E29" s="325"/>
      <c r="F29" s="325"/>
      <c r="G29" s="325"/>
      <c r="H29" s="325"/>
      <c r="I29" s="325"/>
      <c r="J29" s="325"/>
      <c r="K29" s="325"/>
      <c r="L29" s="325"/>
      <c r="M29" s="325"/>
      <c r="N29" s="281" t="s">
        <v>52</v>
      </c>
      <c r="O29" s="342"/>
      <c r="P29" s="343" t="s">
        <v>206</v>
      </c>
      <c r="Q29" s="344">
        <f>IF(O31=1,Off_Site,0)</f>
        <v>0.05</v>
      </c>
      <c r="R29" s="345"/>
      <c r="S29" s="346"/>
      <c r="T29" s="346"/>
      <c r="U29" s="346"/>
      <c r="V29" s="346"/>
      <c r="W29" s="346"/>
      <c r="X29" s="346"/>
      <c r="Y29" s="339"/>
      <c r="Z29" s="643"/>
      <c r="AA29" s="441">
        <f>IF(AA23&lt;=0,0,(+AA23*Q29))</f>
        <v>0</v>
      </c>
      <c r="AB29" s="449"/>
      <c r="AC29" s="561">
        <f>IF(AC23&lt;=0,0,(+AC23*Q29))</f>
        <v>0</v>
      </c>
      <c r="AI29" s="347">
        <f>AC29</f>
        <v>0</v>
      </c>
      <c r="AJ29" s="280"/>
      <c r="AK29" s="280"/>
      <c r="AL29" s="280"/>
      <c r="AM29" s="327"/>
      <c r="AN29" s="280"/>
      <c r="AO29" s="327"/>
      <c r="AP29" s="327"/>
      <c r="AQ29" s="327"/>
      <c r="AR29" s="327"/>
      <c r="AS29" s="327"/>
      <c r="AT29" s="327"/>
      <c r="AU29" s="327"/>
      <c r="AV29" s="328"/>
      <c r="AW29" s="327"/>
      <c r="AX29" s="327"/>
      <c r="AY29" s="327"/>
      <c r="AZ29" s="327"/>
      <c r="BA29" s="327"/>
      <c r="BB29" s="327"/>
      <c r="BC29" s="327"/>
      <c r="BD29" s="328"/>
      <c r="BE29" s="328"/>
      <c r="BF29" s="328"/>
      <c r="BG29" s="327"/>
      <c r="BH29" s="327"/>
      <c r="BI29" s="348">
        <f>AA29</f>
        <v>0</v>
      </c>
      <c r="BJ29" s="327"/>
      <c r="BK29" s="327"/>
      <c r="BL29" s="327"/>
      <c r="BT29" s="281"/>
      <c r="BU29" s="281"/>
    </row>
    <row r="30" spans="1:73" ht="16.2" thickBot="1" x14ac:dyDescent="0.3">
      <c r="A30" s="329"/>
      <c r="B30" s="329">
        <f>SUM(AL29:AL30)</f>
        <v>0</v>
      </c>
      <c r="C30" s="329">
        <f>SUM(AM29:AM30)</f>
        <v>0</v>
      </c>
      <c r="D30" s="329">
        <f>SUM(AK29:AK30)</f>
        <v>0</v>
      </c>
      <c r="E30" s="329">
        <f>SUM(AO29:AO30)</f>
        <v>0</v>
      </c>
      <c r="F30" s="329">
        <f>SUM(BE29:BE30, BG29:BG30,BC29:BC30)</f>
        <v>0</v>
      </c>
      <c r="G30" s="329"/>
      <c r="H30" s="329">
        <f>SUM(AQ29:AQ30)+SUM(AR29:AR30)</f>
        <v>0</v>
      </c>
      <c r="I30" s="329">
        <f>SUM(AT29:AT30)+SUM(AP29:AP30)</f>
        <v>0</v>
      </c>
      <c r="J30" s="329"/>
      <c r="K30" s="329">
        <f>SUM(AX29:AX30)+SUM(AZ29:AZ30)+SUM(BB29:BB30)+SUM(AV29:AV30)</f>
        <v>0</v>
      </c>
      <c r="M30" s="329"/>
      <c r="O30" s="349"/>
      <c r="P30" s="220" t="str">
        <f>"Subtotal of Costs for "&amp;P29</f>
        <v>Subtotal of Costs for Offsite Overheads / Margin</v>
      </c>
      <c r="Q30" s="326"/>
      <c r="R30" s="350"/>
      <c r="S30" s="350"/>
      <c r="T30" s="350"/>
      <c r="U30" s="350"/>
      <c r="V30" s="350"/>
      <c r="W30" s="350"/>
      <c r="X30" s="350"/>
      <c r="Y30" s="326"/>
      <c r="Z30" s="644"/>
      <c r="AA30" s="645">
        <f>AA26+AA29</f>
        <v>0</v>
      </c>
      <c r="AC30" s="562">
        <f>AC26+AC29</f>
        <v>0</v>
      </c>
      <c r="AJ30" s="332"/>
      <c r="AK30" s="332"/>
      <c r="AL30" s="332"/>
      <c r="AN30" s="332"/>
      <c r="AY30" s="327"/>
      <c r="AZ30" s="327"/>
      <c r="BT30" s="281"/>
      <c r="BU30" s="281"/>
    </row>
    <row r="31" spans="1:73" ht="15.6" x14ac:dyDescent="0.25">
      <c r="A31" s="329"/>
      <c r="B31" s="329"/>
      <c r="C31" s="329"/>
      <c r="D31" s="329"/>
      <c r="E31" s="329"/>
      <c r="F31" s="329"/>
      <c r="G31" s="329"/>
      <c r="H31" s="329"/>
      <c r="I31" s="329"/>
      <c r="J31" s="329"/>
      <c r="K31" s="329"/>
      <c r="M31" s="329"/>
      <c r="O31" s="552">
        <v>1</v>
      </c>
      <c r="P31" s="417" t="s">
        <v>226</v>
      </c>
      <c r="R31" s="280"/>
      <c r="S31" s="280"/>
      <c r="T31" s="280"/>
      <c r="U31" s="280"/>
      <c r="V31" s="280"/>
      <c r="W31" s="280"/>
      <c r="X31" s="280"/>
      <c r="AA31" s="633"/>
      <c r="AB31" s="339"/>
      <c r="AC31" s="563"/>
      <c r="AJ31" s="332"/>
      <c r="AK31" s="332"/>
      <c r="AL31" s="332"/>
      <c r="AN31" s="332"/>
      <c r="AY31" s="327"/>
      <c r="AZ31" s="327"/>
      <c r="BT31" s="281"/>
      <c r="BU31" s="281"/>
    </row>
    <row r="32" spans="1:73" ht="16.2" thickBot="1" x14ac:dyDescent="0.3">
      <c r="A32" s="329"/>
      <c r="B32" s="329"/>
      <c r="C32" s="329"/>
      <c r="D32" s="329"/>
      <c r="E32" s="329"/>
      <c r="F32" s="329"/>
      <c r="G32" s="329"/>
      <c r="H32" s="329"/>
      <c r="I32" s="329"/>
      <c r="J32" s="329"/>
      <c r="K32" s="329"/>
      <c r="M32" s="329"/>
      <c r="P32" s="330"/>
      <c r="R32" s="280"/>
      <c r="S32" s="280"/>
      <c r="T32" s="280"/>
      <c r="U32" s="280"/>
      <c r="V32" s="280"/>
      <c r="W32" s="280"/>
      <c r="X32" s="280"/>
      <c r="Y32" s="331"/>
      <c r="AA32" s="409"/>
      <c r="AJ32" s="332"/>
      <c r="AK32" s="332"/>
      <c r="AL32" s="332"/>
      <c r="AN32" s="332"/>
      <c r="AY32" s="327"/>
      <c r="AZ32" s="327"/>
      <c r="BT32" s="281"/>
      <c r="BU32" s="281"/>
    </row>
    <row r="33" spans="1:73" ht="16.2" thickBot="1" x14ac:dyDescent="0.3">
      <c r="A33" s="281"/>
      <c r="C33" s="325"/>
      <c r="E33" s="325"/>
      <c r="F33" s="325"/>
      <c r="G33" s="325"/>
      <c r="H33" s="325"/>
      <c r="I33" s="325"/>
      <c r="J33" s="325"/>
      <c r="K33" s="325"/>
      <c r="L33" s="325"/>
      <c r="M33" s="325"/>
      <c r="N33" s="281" t="s">
        <v>52</v>
      </c>
      <c r="O33" s="352"/>
      <c r="P33" s="353" t="s">
        <v>198</v>
      </c>
      <c r="Q33" s="354">
        <f>IF(O34=1,Processing,0)</f>
        <v>0.03</v>
      </c>
      <c r="R33" s="355"/>
      <c r="S33" s="356"/>
      <c r="T33" s="356"/>
      <c r="U33" s="356"/>
      <c r="V33" s="356"/>
      <c r="W33" s="356"/>
      <c r="X33" s="356"/>
      <c r="Y33" s="357"/>
      <c r="Z33" s="642"/>
      <c r="AA33" s="646">
        <f>IF(Q33=0,0,IF(AA30*Q33&lt;Processing_fee,Processing_fee,AA30*Q33))</f>
        <v>25</v>
      </c>
      <c r="AB33" s="465"/>
      <c r="AC33" s="570">
        <f>IF(Q33=0,0,IF(AC30*Q33&lt;Processing_fee,Processing_fee,AC30*Q33))</f>
        <v>25</v>
      </c>
      <c r="AD33" s="443"/>
      <c r="AE33" s="443"/>
      <c r="AI33" s="347">
        <f>IF(SUM(AE43:AH43)&lt;=0,0,AC33)</f>
        <v>0</v>
      </c>
      <c r="AJ33" s="280"/>
      <c r="AK33" s="280"/>
      <c r="AL33" s="280"/>
      <c r="AM33" s="327"/>
      <c r="AN33" s="280"/>
      <c r="AO33" s="327"/>
      <c r="AP33" s="327"/>
      <c r="AQ33" s="327"/>
      <c r="AR33" s="327"/>
      <c r="AS33" s="327"/>
      <c r="AT33" s="327"/>
      <c r="AU33" s="327"/>
      <c r="AV33" s="328"/>
      <c r="AW33" s="327"/>
      <c r="AX33" s="327"/>
      <c r="AY33" s="327"/>
      <c r="AZ33" s="327"/>
      <c r="BA33" s="327"/>
      <c r="BB33" s="327"/>
      <c r="BC33" s="327"/>
      <c r="BD33" s="328"/>
      <c r="BE33" s="328"/>
      <c r="BF33" s="328"/>
      <c r="BG33" s="327"/>
      <c r="BH33" s="327"/>
      <c r="BI33" s="327"/>
      <c r="BJ33" s="327"/>
      <c r="BK33" s="327"/>
      <c r="BL33" s="327"/>
      <c r="BT33" s="281"/>
      <c r="BU33" s="281"/>
    </row>
    <row r="34" spans="1:73" ht="15.6" x14ac:dyDescent="0.25">
      <c r="A34" s="281"/>
      <c r="C34" s="325"/>
      <c r="E34" s="325"/>
      <c r="F34" s="325"/>
      <c r="G34" s="325"/>
      <c r="H34" s="325"/>
      <c r="I34" s="325"/>
      <c r="J34" s="325"/>
      <c r="K34" s="325"/>
      <c r="L34" s="325"/>
      <c r="M34" s="325"/>
      <c r="O34" s="552">
        <v>1</v>
      </c>
      <c r="P34" s="417" t="s">
        <v>225</v>
      </c>
      <c r="Q34" s="551"/>
      <c r="R34" s="403"/>
      <c r="S34" s="404"/>
      <c r="T34" s="404"/>
      <c r="U34" s="404"/>
      <c r="V34" s="404"/>
      <c r="W34" s="404"/>
      <c r="X34" s="404"/>
      <c r="Y34" s="405"/>
      <c r="AA34" s="410"/>
      <c r="AB34" s="410"/>
      <c r="AC34" s="567"/>
      <c r="AI34" s="347"/>
      <c r="AJ34" s="280"/>
      <c r="AK34" s="280"/>
      <c r="AL34" s="280"/>
      <c r="AM34" s="327"/>
      <c r="AN34" s="280"/>
      <c r="AO34" s="327"/>
      <c r="AP34" s="327"/>
      <c r="AQ34" s="327"/>
      <c r="AR34" s="327"/>
      <c r="AS34" s="327"/>
      <c r="AT34" s="327"/>
      <c r="AU34" s="327"/>
      <c r="AV34" s="328"/>
      <c r="AW34" s="327"/>
      <c r="AX34" s="327"/>
      <c r="AY34" s="327"/>
      <c r="AZ34" s="327"/>
      <c r="BA34" s="327"/>
      <c r="BB34" s="327"/>
      <c r="BC34" s="327"/>
      <c r="BD34" s="328"/>
      <c r="BE34" s="328"/>
      <c r="BF34" s="328"/>
      <c r="BG34" s="327"/>
      <c r="BH34" s="327"/>
      <c r="BI34" s="327"/>
      <c r="BJ34" s="327"/>
      <c r="BK34" s="327"/>
      <c r="BL34" s="327"/>
      <c r="BT34" s="281"/>
      <c r="BU34" s="281"/>
    </row>
    <row r="35" spans="1:73" ht="15.6" x14ac:dyDescent="0.25">
      <c r="A35" s="329"/>
      <c r="B35" s="329">
        <f>SUM(AL33:AL35)</f>
        <v>0</v>
      </c>
      <c r="C35" s="329">
        <f>SUM(AM33:AM35)</f>
        <v>0</v>
      </c>
      <c r="D35" s="329">
        <f>SUM(AK33:AK35)</f>
        <v>0</v>
      </c>
      <c r="E35" s="329">
        <f>SUM(AO33:AO35)</f>
        <v>0</v>
      </c>
      <c r="F35" s="329">
        <f>SUM(BE33:BE35, BG33:BG35,BC33:BC35)</f>
        <v>0</v>
      </c>
      <c r="G35" s="329"/>
      <c r="H35" s="329">
        <f>SUM(AQ33:AQ35)+SUM(AR33:AR35)</f>
        <v>0</v>
      </c>
      <c r="I35" s="329">
        <f>SUM(AT33:AT35)+SUM(AP33:AP35)</f>
        <v>0</v>
      </c>
      <c r="J35" s="329"/>
      <c r="K35" s="329">
        <f>SUM(AX33:AX35)+SUM(AZ33:AZ35)+SUM(BB33:BB35)+SUM(AV33:AV35)</f>
        <v>0</v>
      </c>
      <c r="M35" s="329"/>
      <c r="N35" s="281" t="s">
        <v>52</v>
      </c>
      <c r="P35" s="278"/>
      <c r="R35" s="280"/>
      <c r="S35" s="280"/>
      <c r="T35" s="280"/>
      <c r="U35" s="280"/>
      <c r="V35" s="280"/>
      <c r="W35" s="280"/>
      <c r="X35" s="280"/>
      <c r="AJ35" s="332"/>
      <c r="AK35" s="332"/>
      <c r="AL35" s="332"/>
      <c r="AN35" s="332"/>
      <c r="AY35" s="327"/>
      <c r="AZ35" s="327"/>
      <c r="BI35" s="294">
        <f>AA33</f>
        <v>25</v>
      </c>
      <c r="BT35" s="281"/>
      <c r="BU35" s="281"/>
    </row>
    <row r="36" spans="1:73" ht="16.2" thickBot="1" x14ac:dyDescent="0.3">
      <c r="A36" s="329"/>
      <c r="B36" s="329"/>
      <c r="C36" s="329"/>
      <c r="D36" s="329"/>
      <c r="E36" s="329"/>
      <c r="F36" s="329"/>
      <c r="G36" s="329"/>
      <c r="H36" s="329"/>
      <c r="I36" s="329"/>
      <c r="J36" s="329"/>
      <c r="K36" s="329"/>
      <c r="M36" s="329"/>
      <c r="P36" s="330"/>
      <c r="R36" s="280"/>
      <c r="S36" s="280"/>
      <c r="T36" s="280"/>
      <c r="U36" s="280"/>
      <c r="V36" s="280"/>
      <c r="W36" s="280"/>
      <c r="X36" s="280"/>
      <c r="Y36" s="331"/>
      <c r="Z36" s="409"/>
      <c r="AJ36" s="332"/>
      <c r="AK36" s="332"/>
      <c r="AL36" s="332"/>
      <c r="AN36" s="332"/>
      <c r="AY36" s="327"/>
      <c r="AZ36" s="327"/>
      <c r="BT36" s="281"/>
      <c r="BU36" s="281"/>
    </row>
    <row r="37" spans="1:73" ht="15.6" x14ac:dyDescent="0.25">
      <c r="A37" s="329"/>
      <c r="B37" s="329"/>
      <c r="C37" s="329"/>
      <c r="D37" s="329"/>
      <c r="E37" s="329"/>
      <c r="F37" s="329"/>
      <c r="G37" s="329"/>
      <c r="H37" s="329"/>
      <c r="I37" s="329"/>
      <c r="J37" s="329"/>
      <c r="K37" s="329"/>
      <c r="M37" s="329"/>
      <c r="O37" s="358" t="s">
        <v>177</v>
      </c>
      <c r="P37" s="250" t="s">
        <v>179</v>
      </c>
      <c r="Q37" s="339"/>
      <c r="R37" s="340"/>
      <c r="S37" s="340"/>
      <c r="T37" s="340"/>
      <c r="U37" s="340"/>
      <c r="V37" s="340"/>
      <c r="W37" s="340"/>
      <c r="X37" s="340"/>
      <c r="Y37" s="341"/>
      <c r="Z37" s="413"/>
      <c r="AJ37" s="332"/>
      <c r="AK37" s="332"/>
      <c r="AL37" s="332"/>
      <c r="AN37" s="332"/>
      <c r="AY37" s="327"/>
      <c r="AZ37" s="327"/>
      <c r="BT37" s="281"/>
      <c r="BU37" s="281"/>
    </row>
    <row r="38" spans="1:73" ht="16.2" thickBot="1" x14ac:dyDescent="0.3">
      <c r="A38" s="329"/>
      <c r="B38" s="329"/>
      <c r="C38" s="329"/>
      <c r="D38" s="329"/>
      <c r="E38" s="329"/>
      <c r="F38" s="329"/>
      <c r="G38" s="329"/>
      <c r="H38" s="329"/>
      <c r="I38" s="329"/>
      <c r="J38" s="329"/>
      <c r="K38" s="329"/>
      <c r="M38" s="329"/>
      <c r="O38" s="251">
        <v>0</v>
      </c>
      <c r="P38" s="359" t="s">
        <v>180</v>
      </c>
      <c r="Q38" s="360">
        <v>0</v>
      </c>
      <c r="R38" s="326"/>
      <c r="S38" s="326"/>
      <c r="T38" s="326"/>
      <c r="U38" s="359"/>
      <c r="V38" s="350"/>
      <c r="W38" s="350"/>
      <c r="X38" s="350"/>
      <c r="Y38" s="359" t="s">
        <v>181</v>
      </c>
      <c r="Z38" s="414"/>
      <c r="AJ38" s="332"/>
      <c r="AK38" s="332"/>
      <c r="AL38" s="332"/>
      <c r="AN38" s="332"/>
      <c r="AY38" s="327"/>
      <c r="AZ38" s="327"/>
      <c r="BT38" s="281"/>
      <c r="BU38" s="281"/>
    </row>
    <row r="39" spans="1:73" ht="15.6" x14ac:dyDescent="0.25">
      <c r="A39" s="329"/>
      <c r="B39" s="329"/>
      <c r="C39" s="329"/>
      <c r="D39" s="329"/>
      <c r="E39" s="329"/>
      <c r="F39" s="329"/>
      <c r="G39" s="329"/>
      <c r="H39" s="329"/>
      <c r="I39" s="329"/>
      <c r="J39" s="329"/>
      <c r="K39" s="329"/>
      <c r="M39" s="329"/>
      <c r="P39" s="330"/>
      <c r="R39" s="280"/>
      <c r="S39" s="280"/>
      <c r="T39" s="280"/>
      <c r="U39" s="280"/>
      <c r="V39" s="280"/>
      <c r="W39" s="280"/>
      <c r="X39" s="280"/>
      <c r="Y39" s="331"/>
      <c r="Z39" s="409"/>
      <c r="AJ39" s="332"/>
      <c r="AK39" s="332"/>
      <c r="AL39" s="332"/>
      <c r="AN39" s="332"/>
      <c r="AY39" s="327"/>
      <c r="AZ39" s="327"/>
      <c r="BT39" s="281"/>
      <c r="BU39" s="281"/>
    </row>
    <row r="40" spans="1:73" ht="15.6" x14ac:dyDescent="0.25">
      <c r="A40" s="329"/>
      <c r="B40" s="329"/>
      <c r="C40" s="329"/>
      <c r="D40" s="329"/>
      <c r="E40" s="329"/>
      <c r="F40" s="329"/>
      <c r="G40" s="329"/>
      <c r="H40" s="329"/>
      <c r="I40" s="329"/>
      <c r="J40" s="329"/>
      <c r="K40" s="329"/>
      <c r="M40" s="329"/>
      <c r="P40" s="330"/>
      <c r="R40" s="280"/>
      <c r="S40" s="280"/>
      <c r="T40" s="280"/>
      <c r="U40" s="280"/>
      <c r="V40" s="280"/>
      <c r="W40" s="280"/>
      <c r="X40" s="280"/>
      <c r="Y40" s="331"/>
      <c r="Z40" s="409"/>
      <c r="AJ40" s="332"/>
      <c r="AK40" s="332"/>
      <c r="AL40" s="332"/>
      <c r="AN40" s="332"/>
      <c r="AY40" s="327"/>
      <c r="AZ40" s="327"/>
      <c r="BT40" s="281"/>
      <c r="BU40" s="281"/>
    </row>
    <row r="41" spans="1:73" ht="16.2" thickBot="1" x14ac:dyDescent="0.3">
      <c r="A41" s="361"/>
      <c r="B41" s="361"/>
      <c r="C41" s="362"/>
      <c r="D41" s="361"/>
      <c r="E41" s="362"/>
      <c r="F41" s="362"/>
      <c r="G41" s="362"/>
      <c r="H41" s="362"/>
      <c r="I41" s="362"/>
      <c r="J41" s="362"/>
      <c r="K41" s="362"/>
      <c r="L41" s="362"/>
      <c r="M41" s="362"/>
      <c r="N41" s="361" t="s">
        <v>52</v>
      </c>
      <c r="O41" s="361"/>
      <c r="P41" s="363"/>
      <c r="Q41" s="361"/>
      <c r="R41" s="364"/>
      <c r="S41" s="364"/>
      <c r="T41" s="364"/>
      <c r="U41" s="364"/>
      <c r="V41" s="364"/>
      <c r="W41" s="364"/>
      <c r="X41" s="364"/>
      <c r="Y41" s="364"/>
      <c r="Z41" s="415"/>
      <c r="AA41" s="415"/>
      <c r="AC41" s="568"/>
      <c r="AL41" s="280"/>
      <c r="AN41" s="280"/>
      <c r="BJ41" s="293"/>
      <c r="BK41" s="293"/>
      <c r="BL41" s="293"/>
      <c r="BM41" s="293"/>
      <c r="BN41" s="293"/>
      <c r="BO41" s="293"/>
      <c r="BP41" s="293"/>
      <c r="BQ41" s="361"/>
      <c r="BR41" s="361"/>
      <c r="BS41" s="361"/>
      <c r="BT41" s="361"/>
      <c r="BU41" s="361"/>
    </row>
    <row r="42" spans="1:73" ht="16.2" thickTop="1" x14ac:dyDescent="0.25">
      <c r="A42" s="453"/>
      <c r="B42" s="700"/>
      <c r="C42" s="701"/>
      <c r="D42" s="365"/>
      <c r="E42" s="366"/>
      <c r="F42" s="367"/>
      <c r="G42" s="367"/>
      <c r="H42" s="368"/>
      <c r="I42" s="369"/>
      <c r="J42" s="369"/>
      <c r="K42" s="370"/>
      <c r="L42" s="371"/>
      <c r="M42" s="371"/>
      <c r="N42" s="150" t="s">
        <v>52</v>
      </c>
      <c r="O42" s="630"/>
      <c r="P42" s="630"/>
      <c r="Q42" s="630"/>
      <c r="R42" s="630"/>
      <c r="S42" s="630"/>
      <c r="T42" s="630"/>
      <c r="U42" s="630"/>
      <c r="V42" s="630"/>
      <c r="W42" s="630"/>
      <c r="X42" s="630"/>
      <c r="Y42" s="630"/>
      <c r="Z42" s="631"/>
      <c r="AA42" s="631"/>
      <c r="AB42" s="322"/>
      <c r="AC42" s="569"/>
      <c r="AD42" s="704"/>
      <c r="AE42" s="373"/>
      <c r="AF42" s="374"/>
      <c r="AG42" s="375"/>
      <c r="AH42" s="376"/>
      <c r="AI42" s="377"/>
      <c r="AJ42" s="377"/>
      <c r="AK42" s="377"/>
      <c r="AL42" s="704"/>
      <c r="AM42" s="706"/>
      <c r="AN42" s="373"/>
      <c r="AO42" s="378"/>
      <c r="AP42" s="379"/>
      <c r="AQ42" s="379"/>
      <c r="AR42" s="379"/>
      <c r="AS42" s="379"/>
      <c r="AT42" s="379"/>
      <c r="AU42" s="379"/>
      <c r="AV42" s="380"/>
      <c r="AW42" s="380"/>
      <c r="AX42" s="380"/>
      <c r="AY42" s="380"/>
      <c r="AZ42" s="380"/>
      <c r="BA42" s="381"/>
      <c r="BB42" s="381"/>
      <c r="BC42" s="382"/>
      <c r="BD42" s="382"/>
      <c r="BE42" s="382"/>
      <c r="BF42" s="381"/>
      <c r="BG42" s="381"/>
      <c r="BH42" s="383"/>
      <c r="BI42" s="383"/>
      <c r="BJ42" s="384"/>
      <c r="BK42" s="384"/>
      <c r="BL42" s="384"/>
      <c r="BM42" s="384"/>
      <c r="BN42" s="384"/>
      <c r="BO42" s="385"/>
      <c r="BP42" s="384"/>
      <c r="BQ42" s="767" t="s">
        <v>204</v>
      </c>
      <c r="BR42" s="767"/>
      <c r="BS42" s="767"/>
      <c r="BT42" s="767"/>
      <c r="BU42" s="767"/>
    </row>
    <row r="43" spans="1:73" ht="15.6" x14ac:dyDescent="0.25">
      <c r="A43" s="386">
        <f>Z29+Z25</f>
        <v>0</v>
      </c>
      <c r="B43" s="702">
        <f>+AL43</f>
        <v>0</v>
      </c>
      <c r="C43" s="702">
        <f>+AM43</f>
        <v>0</v>
      </c>
      <c r="D43" s="387">
        <f>+AK43</f>
        <v>0</v>
      </c>
      <c r="E43" s="388">
        <f>+AO43</f>
        <v>0</v>
      </c>
      <c r="F43" s="389">
        <f>+BE43+BG43+BC43</f>
        <v>0</v>
      </c>
      <c r="G43" s="389"/>
      <c r="H43" s="390">
        <f>+AQ43+AR43</f>
        <v>0</v>
      </c>
      <c r="I43" s="391">
        <f>+AT43+AP43</f>
        <v>0</v>
      </c>
      <c r="J43" s="391"/>
      <c r="K43" s="392">
        <f>+AX43+AZ43+BB43+AV43</f>
        <v>0</v>
      </c>
      <c r="L43" s="393"/>
      <c r="M43" s="394"/>
      <c r="N43" s="281" t="s">
        <v>52</v>
      </c>
      <c r="O43" s="632" t="s">
        <v>100</v>
      </c>
      <c r="Q43" s="416"/>
      <c r="R43" s="416"/>
      <c r="S43" s="416"/>
      <c r="T43" s="416"/>
      <c r="U43" s="416"/>
      <c r="V43" s="416"/>
      <c r="W43" s="416"/>
      <c r="X43" s="416"/>
      <c r="Y43" s="416"/>
      <c r="AA43" s="633">
        <f>SUM(AA30:AA33)</f>
        <v>25</v>
      </c>
      <c r="AC43" s="563">
        <f>SUM(AC30:AC33)</f>
        <v>25</v>
      </c>
      <c r="AD43" s="702">
        <f>SUM(AD8:AD42)</f>
        <v>0</v>
      </c>
      <c r="AE43" s="388">
        <f>SUM(AE8:AE42)</f>
        <v>0</v>
      </c>
      <c r="AF43" s="391">
        <f>SUM(AF8:AF42)</f>
        <v>0</v>
      </c>
      <c r="AG43" s="395">
        <f>SUM(AG8:AG42)</f>
        <v>0</v>
      </c>
      <c r="AH43" s="389">
        <f>SUM(AH8:AH42)</f>
        <v>0</v>
      </c>
      <c r="AI43" s="387">
        <f>SUM(AI7:AI42)</f>
        <v>0</v>
      </c>
      <c r="AJ43" s="396"/>
      <c r="AK43" s="387">
        <f>SUM(AK8:AK42)</f>
        <v>0</v>
      </c>
      <c r="AL43" s="707"/>
      <c r="AM43" s="702">
        <f>SUM(AM8:AM42)</f>
        <v>0</v>
      </c>
      <c r="AN43" s="397"/>
      <c r="AO43" s="388">
        <f>SUM(AO8:AO42)</f>
        <v>0</v>
      </c>
      <c r="AP43" s="391">
        <f>SUM(AP8:AP42)</f>
        <v>0</v>
      </c>
      <c r="AQ43" s="391">
        <f>SUM(AQ8:AQ42)</f>
        <v>0</v>
      </c>
      <c r="AR43" s="391">
        <f>SUM(AR8:AR42)</f>
        <v>0</v>
      </c>
      <c r="AS43" s="391"/>
      <c r="AT43" s="391">
        <f>SUM(AT8:AT42)</f>
        <v>0</v>
      </c>
      <c r="AU43" s="391"/>
      <c r="AV43" s="395">
        <f>SUM(AV8:AV42)</f>
        <v>0</v>
      </c>
      <c r="AW43" s="395"/>
      <c r="AX43" s="395">
        <f>SUM(AX8:AX42)</f>
        <v>0</v>
      </c>
      <c r="AY43" s="395"/>
      <c r="AZ43" s="395">
        <f>SUM(AZ8:AZ42)</f>
        <v>0</v>
      </c>
      <c r="BA43" s="387"/>
      <c r="BB43" s="387">
        <f>SUM(BB8:BB42)</f>
        <v>0</v>
      </c>
      <c r="BC43" s="389">
        <f>SUM(BC8:BC42)</f>
        <v>0</v>
      </c>
      <c r="BD43" s="389"/>
      <c r="BE43" s="389">
        <f>SUM(BE8:BE42)</f>
        <v>0</v>
      </c>
      <c r="BF43" s="387"/>
      <c r="BG43" s="387">
        <f>SUM(BG8:BG42)</f>
        <v>0</v>
      </c>
      <c r="BH43" s="398">
        <f>SUM(BH8:BH42)</f>
        <v>0</v>
      </c>
      <c r="BI43" s="398">
        <f>SUM(BI8:BI42)</f>
        <v>25</v>
      </c>
      <c r="BJ43" s="399"/>
      <c r="BK43" s="399"/>
      <c r="BL43" s="399"/>
      <c r="BM43" s="399"/>
      <c r="BN43" s="399"/>
      <c r="BO43" s="399"/>
      <c r="BP43" s="399"/>
      <c r="BQ43" s="457" t="s">
        <v>165</v>
      </c>
      <c r="BR43" s="458" t="s">
        <v>200</v>
      </c>
      <c r="BS43" s="458" t="s">
        <v>201</v>
      </c>
      <c r="BT43" s="458" t="s">
        <v>202</v>
      </c>
      <c r="BU43" s="458" t="s">
        <v>203</v>
      </c>
    </row>
    <row r="44" spans="1:73" x14ac:dyDescent="0.25">
      <c r="A44" s="281"/>
      <c r="F44" s="281"/>
      <c r="G44" s="281"/>
      <c r="AI44" s="281"/>
      <c r="BJ44" s="327"/>
      <c r="BK44" s="327"/>
      <c r="BL44" s="327"/>
      <c r="BM44" s="333"/>
      <c r="BQ44" s="456"/>
    </row>
    <row r="45" spans="1:73" x14ac:dyDescent="0.25">
      <c r="A45" s="281"/>
      <c r="F45" s="281"/>
      <c r="G45" s="281"/>
      <c r="AI45" s="281"/>
      <c r="BJ45" s="400"/>
      <c r="BK45" s="400"/>
      <c r="BL45" s="400"/>
      <c r="BM45" s="333"/>
      <c r="BN45" s="401"/>
      <c r="BO45" s="401"/>
      <c r="BP45" s="401"/>
    </row>
    <row r="46" spans="1:73" x14ac:dyDescent="0.25">
      <c r="AI46" s="281"/>
      <c r="BJ46" s="402"/>
      <c r="BK46" s="402"/>
      <c r="BL46" s="402"/>
      <c r="BM46" s="333"/>
      <c r="BN46" s="401"/>
      <c r="BO46" s="401"/>
      <c r="BP46" s="401"/>
    </row>
    <row r="47" spans="1:73" x14ac:dyDescent="0.25">
      <c r="AI47" s="281"/>
      <c r="BJ47" s="402"/>
      <c r="BK47" s="402"/>
      <c r="BL47" s="402"/>
      <c r="BM47" s="333"/>
      <c r="BN47" s="401"/>
      <c r="BO47" s="401"/>
      <c r="BP47" s="401"/>
    </row>
    <row r="48" spans="1:73" x14ac:dyDescent="0.25">
      <c r="AI48" s="281"/>
      <c r="BJ48" s="402"/>
      <c r="BK48" s="402"/>
      <c r="BL48" s="402"/>
      <c r="BM48" s="333"/>
      <c r="BN48" s="401"/>
      <c r="BO48" s="401"/>
      <c r="BP48" s="401"/>
    </row>
    <row r="49" spans="35:68" x14ac:dyDescent="0.25">
      <c r="AI49" s="281"/>
      <c r="BJ49" s="402"/>
      <c r="BK49" s="402"/>
      <c r="BL49" s="402"/>
      <c r="BM49" s="333"/>
      <c r="BN49" s="401"/>
      <c r="BO49" s="401"/>
      <c r="BP49" s="401"/>
    </row>
    <row r="50" spans="35:68" x14ac:dyDescent="0.25">
      <c r="AI50" s="281"/>
      <c r="BJ50" s="402"/>
      <c r="BK50" s="402"/>
      <c r="BL50" s="402"/>
      <c r="BM50" s="333"/>
      <c r="BN50" s="401"/>
      <c r="BO50" s="401"/>
      <c r="BP50" s="401"/>
    </row>
    <row r="51" spans="35:68" x14ac:dyDescent="0.25">
      <c r="AI51" s="281"/>
      <c r="BJ51" s="402"/>
      <c r="BK51" s="402"/>
      <c r="BL51" s="402"/>
      <c r="BM51" s="333"/>
      <c r="BN51" s="401"/>
      <c r="BO51" s="401"/>
      <c r="BP51" s="401"/>
    </row>
    <row r="52" spans="35:68" x14ac:dyDescent="0.25">
      <c r="AI52" s="281"/>
      <c r="BM52" s="333"/>
    </row>
    <row r="53" spans="35:68" x14ac:dyDescent="0.25">
      <c r="AI53" s="281"/>
      <c r="BM53" s="333"/>
    </row>
    <row r="54" spans="35:68" x14ac:dyDescent="0.25">
      <c r="AI54" s="281"/>
      <c r="BJ54" s="327"/>
      <c r="BK54" s="327"/>
      <c r="BL54" s="327"/>
      <c r="BM54" s="333"/>
    </row>
    <row r="55" spans="35:68" x14ac:dyDescent="0.25">
      <c r="AI55" s="281"/>
      <c r="BJ55" s="400"/>
      <c r="BK55" s="400"/>
      <c r="BL55" s="400"/>
      <c r="BM55" s="333"/>
      <c r="BN55" s="401"/>
      <c r="BO55" s="401"/>
      <c r="BP55" s="401"/>
    </row>
    <row r="56" spans="35:68" x14ac:dyDescent="0.25">
      <c r="AI56" s="281"/>
      <c r="BJ56" s="402"/>
      <c r="BK56" s="402"/>
      <c r="BL56" s="402"/>
      <c r="BM56" s="333"/>
      <c r="BN56" s="401"/>
      <c r="BO56" s="401"/>
      <c r="BP56" s="401"/>
    </row>
    <row r="57" spans="35:68" x14ac:dyDescent="0.25">
      <c r="AI57" s="281"/>
      <c r="BJ57" s="402"/>
      <c r="BK57" s="402"/>
      <c r="BL57" s="402"/>
      <c r="BM57" s="333"/>
      <c r="BN57" s="401"/>
      <c r="BO57" s="401"/>
      <c r="BP57" s="401"/>
    </row>
    <row r="58" spans="35:68" x14ac:dyDescent="0.25">
      <c r="AI58" s="281"/>
      <c r="BJ58" s="402"/>
      <c r="BK58" s="402"/>
      <c r="BL58" s="402"/>
      <c r="BM58" s="333"/>
      <c r="BN58" s="401"/>
      <c r="BO58" s="401"/>
      <c r="BP58" s="401"/>
    </row>
    <row r="59" spans="35:68" x14ac:dyDescent="0.25">
      <c r="AI59" s="281"/>
      <c r="BJ59" s="402"/>
      <c r="BK59" s="402"/>
      <c r="BL59" s="402"/>
      <c r="BM59" s="333"/>
      <c r="BN59" s="401"/>
      <c r="BO59" s="401"/>
      <c r="BP59" s="401"/>
    </row>
    <row r="60" spans="35:68" x14ac:dyDescent="0.25">
      <c r="BJ60" s="402"/>
      <c r="BK60" s="402"/>
      <c r="BL60" s="402"/>
      <c r="BM60" s="333"/>
      <c r="BN60" s="401"/>
      <c r="BO60" s="401"/>
      <c r="BP60" s="401"/>
    </row>
    <row r="61" spans="35:68" x14ac:dyDescent="0.25">
      <c r="BJ61" s="402"/>
      <c r="BK61" s="402"/>
      <c r="BL61" s="402"/>
      <c r="BM61" s="333"/>
      <c r="BN61" s="401"/>
      <c r="BO61" s="401"/>
      <c r="BP61" s="401"/>
    </row>
    <row r="76" spans="26:35" x14ac:dyDescent="0.25">
      <c r="Z76" s="281"/>
      <c r="AA76" s="281"/>
      <c r="AI76" s="281"/>
    </row>
    <row r="77" spans="26:35" x14ac:dyDescent="0.25">
      <c r="Z77" s="281"/>
      <c r="AA77" s="281"/>
      <c r="AI77" s="281"/>
    </row>
    <row r="78" spans="26:35" x14ac:dyDescent="0.25">
      <c r="Z78" s="281"/>
      <c r="AA78" s="281"/>
      <c r="AI78" s="281"/>
    </row>
    <row r="79" spans="26:35" x14ac:dyDescent="0.25">
      <c r="Z79" s="281"/>
      <c r="AA79" s="281"/>
      <c r="AI79" s="281"/>
    </row>
    <row r="80" spans="26:35" x14ac:dyDescent="0.25">
      <c r="Z80" s="281"/>
      <c r="AA80" s="281"/>
      <c r="AI80" s="281"/>
    </row>
    <row r="81" spans="26:35" x14ac:dyDescent="0.25">
      <c r="Z81" s="281"/>
      <c r="AA81" s="281"/>
      <c r="AI81" s="281"/>
    </row>
    <row r="82" spans="26:35" x14ac:dyDescent="0.25">
      <c r="Z82" s="281"/>
      <c r="AA82" s="281"/>
      <c r="AI82" s="281"/>
    </row>
    <row r="83" spans="26:35" x14ac:dyDescent="0.25">
      <c r="Z83" s="281"/>
      <c r="AA83" s="281"/>
      <c r="AI83" s="281"/>
    </row>
    <row r="84" spans="26:35" x14ac:dyDescent="0.25">
      <c r="Z84" s="281"/>
      <c r="AA84" s="281"/>
      <c r="AI84" s="281"/>
    </row>
    <row r="85" spans="26:35" x14ac:dyDescent="0.25">
      <c r="Z85" s="281"/>
      <c r="AA85" s="281"/>
      <c r="AI85" s="281"/>
    </row>
    <row r="86" spans="26:35" x14ac:dyDescent="0.25">
      <c r="Z86" s="281"/>
      <c r="AA86" s="281"/>
      <c r="AI86" s="281"/>
    </row>
    <row r="87" spans="26:35" x14ac:dyDescent="0.25">
      <c r="Z87" s="281"/>
      <c r="AA87" s="281"/>
      <c r="AI87" s="281"/>
    </row>
    <row r="88" spans="26:35" x14ac:dyDescent="0.25">
      <c r="Z88" s="281"/>
      <c r="AA88" s="281"/>
      <c r="AI88" s="281"/>
    </row>
  </sheetData>
  <protectedRanges>
    <protectedRange sqref="O3:O4" name="Range1_4"/>
  </protectedRanges>
  <autoFilter ref="N1:N88" xr:uid="{00000000-0009-0000-0000-000007000000}"/>
  <mergeCells count="17">
    <mergeCell ref="B6:C6"/>
    <mergeCell ref="AD5:AI5"/>
    <mergeCell ref="AL6:AM6"/>
    <mergeCell ref="R5:X5"/>
    <mergeCell ref="BQ42:BU42"/>
    <mergeCell ref="V6:V7"/>
    <mergeCell ref="W6:W7"/>
    <mergeCell ref="X6:X7"/>
    <mergeCell ref="AN6:AO6"/>
    <mergeCell ref="AP6:AU6"/>
    <mergeCell ref="AV6:BB6"/>
    <mergeCell ref="BC6:BG6"/>
    <mergeCell ref="O1:Q1"/>
    <mergeCell ref="G2:K3"/>
    <mergeCell ref="O2:Q2"/>
    <mergeCell ref="O3:Q3"/>
    <mergeCell ref="O4:P7"/>
  </mergeCells>
  <dataValidations count="2">
    <dataValidation allowBlank="1" showInputMessage="1" showErrorMessage="1" sqref="O3:Q3 O4:P7 Q38 O38 F3 O31 O34 O27 Z4 AI43 AI33 B1:B1048576 C1:C5 C7:C1048576 AD1:AD1048576 BJ1:BJ1048576 AL1:AM1048576" xr:uid="{00000000-0002-0000-0700-000000000000}"/>
    <dataValidation type="custom" allowBlank="1" showInputMessage="1" showErrorMessage="1" error="Data entry in this cell is denied." sqref="O39:O1048576 P34:P1048576 O1:Q2 Q39:Q1048576 P8:P22 O35:O37 F4:F1048576 P23:Z33 G1:N1048576 F1:F2 Z5:Z22 Q34:Q37 O28:O30 O32:O33 Q4:Q22 AA1:AC33 O8:O26 R1:Y22 Z1:Z3 R34:AC1048576 AI6:AI32 AI44:AI1048576 AE6:AH1048576 AI34:AI42 D1:E1048576 A1:A1048576 AE1:AI4 BK1:XFD1048576 AJ1:AK1048576 AN1:BI1048576" xr:uid="{00000000-0002-0000-0700-000001000000}">
      <formula1>"&lt;&gt;ActiveCell"</formula1>
    </dataValidation>
  </dataValidations>
  <printOptions horizontalCentered="1"/>
  <pageMargins left="0.35433070866141736" right="0.35433070866141736" top="1.1811023622047245" bottom="0.98425196850393704" header="0" footer="0.51181102362204722"/>
  <pageSetup paperSize="9" scale="38" fitToHeight="52" orientation="portrait" r:id="rId1"/>
  <headerFooter scaleWithDoc="0">
    <oddHeader>&amp;L&amp;G</oddHead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1">
    <pageSetUpPr fitToPage="1"/>
  </sheetPr>
  <dimension ref="A1:CH109"/>
  <sheetViews>
    <sheetView topLeftCell="D1" zoomScale="70" zoomScaleNormal="70" zoomScaleSheetLayoutView="100" workbookViewId="0">
      <pane ySplit="7" topLeftCell="A8" activePane="bottomLeft" state="frozen"/>
      <selection activeCell="C2" sqref="C2"/>
      <selection pane="bottomLeft" activeCell="L1" sqref="L1"/>
    </sheetView>
  </sheetViews>
  <sheetFormatPr defaultColWidth="8.81640625" defaultRowHeight="15" x14ac:dyDescent="0.25"/>
  <cols>
    <col min="1" max="1" width="9.81640625" style="452" customWidth="1"/>
    <col min="2" max="2" width="10.81640625" style="281" customWidth="1"/>
    <col min="3" max="3" width="13.1796875" style="281" customWidth="1"/>
    <col min="4" max="4" width="10.81640625" style="281" customWidth="1"/>
    <col min="5" max="5" width="13.1796875" style="281" customWidth="1"/>
    <col min="6" max="6" width="7.81640625" style="451" customWidth="1"/>
    <col min="7" max="7" width="11.453125" style="451" customWidth="1"/>
    <col min="8" max="9" width="10.81640625" style="281" customWidth="1"/>
    <col min="10" max="10" width="5.81640625" style="281" customWidth="1"/>
    <col min="11" max="11" width="9.54296875" style="281" customWidth="1"/>
    <col min="12" max="12" width="10.81640625" style="281" customWidth="1"/>
    <col min="13" max="13" width="5.81640625" style="281" customWidth="1"/>
    <col min="14" max="14" width="1.81640625" style="281" customWidth="1"/>
    <col min="15" max="15" width="16" style="281" customWidth="1"/>
    <col min="16" max="16" width="59.453125" style="281" customWidth="1"/>
    <col min="17" max="17" width="8.453125" style="281" bestFit="1" customWidth="1"/>
    <col min="18" max="18" width="5.453125" style="281" customWidth="1"/>
    <col min="19" max="19" width="8.54296875" style="281" customWidth="1"/>
    <col min="20" max="21" width="5.81640625" style="281" customWidth="1"/>
    <col min="22" max="22" width="22.81640625" style="281" customWidth="1"/>
    <col min="23" max="23" width="6.453125" style="281" customWidth="1"/>
    <col min="24" max="24" width="10.81640625" style="281" customWidth="1"/>
    <col min="25" max="25" width="15.54296875" style="281" bestFit="1" customWidth="1"/>
    <col min="26" max="26" width="15.81640625" style="408" bestFit="1" customWidth="1"/>
    <col min="27" max="27" width="11" style="408" bestFit="1" customWidth="1"/>
    <col min="28" max="28" width="11.453125" style="281" customWidth="1"/>
    <col min="29" max="29" width="9" style="558" customWidth="1"/>
    <col min="30" max="30" width="18.1796875" style="281" bestFit="1" customWidth="1"/>
    <col min="31" max="34" width="10.81640625" style="281" customWidth="1"/>
    <col min="35" max="35" width="10.81640625" style="121" customWidth="1"/>
    <col min="36" max="36" width="12.54296875" style="281" customWidth="1"/>
    <col min="37" max="37" width="13" style="281" bestFit="1" customWidth="1"/>
    <col min="38" max="38" width="10.81640625" style="281" customWidth="1"/>
    <col min="39" max="39" width="6.81640625" style="281" bestFit="1" customWidth="1"/>
    <col min="40" max="40" width="10.81640625" style="281" customWidth="1"/>
    <col min="41" max="41" width="6.81640625" style="281" bestFit="1" customWidth="1"/>
    <col min="42" max="61" width="10.81640625" style="281" customWidth="1"/>
    <col min="62" max="62" width="21" style="281" bestFit="1" customWidth="1"/>
    <col min="63" max="63" width="12.81640625" style="281" customWidth="1"/>
    <col min="64" max="64" width="8.81640625" style="281" customWidth="1"/>
    <col min="65" max="65" width="24.81640625" style="281" customWidth="1"/>
    <col min="66" max="66" width="23.453125" style="281" customWidth="1"/>
    <col min="67" max="68" width="10.54296875" style="281" customWidth="1"/>
    <col min="69" max="69" width="10.1796875" style="281" customWidth="1"/>
    <col min="70" max="70" width="18" style="281" customWidth="1"/>
    <col min="71" max="71" width="18.1796875" style="281" customWidth="1"/>
    <col min="72" max="72" width="18.1796875" style="451" customWidth="1"/>
    <col min="73" max="73" width="14.1796875" style="451" customWidth="1"/>
    <col min="74" max="74" width="10.453125" style="281" customWidth="1"/>
    <col min="75" max="93" width="8.81640625" style="281" customWidth="1"/>
    <col min="94" max="16384" width="8.81640625" style="281"/>
  </cols>
  <sheetData>
    <row r="1" spans="1:86" ht="16.2" thickBot="1" x14ac:dyDescent="0.3">
      <c r="A1" s="150" t="s">
        <v>196</v>
      </c>
      <c r="F1" s="280">
        <f>SUMRY!O5</f>
        <v>25</v>
      </c>
      <c r="G1" s="281"/>
      <c r="J1" s="150">
        <f>SUMRY!F1</f>
        <v>0</v>
      </c>
      <c r="M1" s="150"/>
      <c r="N1" s="281" t="s">
        <v>52</v>
      </c>
      <c r="O1" s="752" t="s">
        <v>99</v>
      </c>
      <c r="P1" s="752"/>
      <c r="Q1" s="752"/>
      <c r="R1" s="282"/>
      <c r="S1" s="282"/>
      <c r="T1" s="282"/>
      <c r="U1" s="282"/>
      <c r="V1" s="282"/>
      <c r="W1" s="282"/>
      <c r="X1" s="282"/>
      <c r="Y1" s="151" t="s">
        <v>98</v>
      </c>
      <c r="Z1" s="430">
        <f>SUMRY!F5</f>
        <v>1234</v>
      </c>
      <c r="AA1" s="634"/>
      <c r="AB1" s="429"/>
      <c r="AC1" s="555"/>
      <c r="AD1" s="283"/>
      <c r="AE1" s="283"/>
      <c r="AF1" s="284"/>
      <c r="AG1" s="284"/>
      <c r="AH1" s="284"/>
      <c r="AI1" s="284"/>
      <c r="AJ1" s="285"/>
      <c r="AK1" s="285"/>
      <c r="AL1" s="285"/>
      <c r="AM1" s="286"/>
      <c r="AN1" s="285"/>
      <c r="AO1" s="286"/>
      <c r="AP1" s="287"/>
      <c r="AQ1" s="286"/>
      <c r="AR1" s="286"/>
      <c r="AS1" s="286"/>
      <c r="AT1" s="286"/>
      <c r="AU1" s="286"/>
      <c r="AV1" s="287"/>
      <c r="AW1" s="287"/>
      <c r="AX1" s="287"/>
      <c r="AY1" s="287"/>
      <c r="AZ1" s="287"/>
      <c r="BA1" s="287"/>
      <c r="BB1" s="287"/>
      <c r="BC1" s="287"/>
      <c r="BD1" s="287"/>
      <c r="BE1" s="287"/>
      <c r="BF1" s="287"/>
      <c r="BG1" s="287"/>
      <c r="BH1" s="287"/>
      <c r="BI1" s="287"/>
      <c r="BJ1" s="710" t="s">
        <v>276</v>
      </c>
      <c r="BK1" s="460" t="s">
        <v>205</v>
      </c>
      <c r="BL1" s="460" t="s">
        <v>5</v>
      </c>
      <c r="BM1" s="461" t="s">
        <v>88</v>
      </c>
      <c r="BN1" s="462" t="s">
        <v>6</v>
      </c>
      <c r="BO1" s="463" t="s">
        <v>97</v>
      </c>
      <c r="BP1" s="464" t="s">
        <v>91</v>
      </c>
      <c r="BQ1" s="464" t="s">
        <v>92</v>
      </c>
      <c r="BR1" s="464" t="s">
        <v>193</v>
      </c>
      <c r="BS1" s="293" t="s">
        <v>9</v>
      </c>
      <c r="BT1" s="293" t="s">
        <v>197</v>
      </c>
      <c r="BU1" s="293" t="s">
        <v>210</v>
      </c>
      <c r="BV1" s="293" t="s">
        <v>211</v>
      </c>
    </row>
    <row r="2" spans="1:86" ht="16.5" customHeight="1" thickTop="1" x14ac:dyDescent="0.25">
      <c r="A2" s="328" t="s">
        <v>12</v>
      </c>
      <c r="B2" s="288"/>
      <c r="C2" s="288"/>
      <c r="D2" s="288"/>
      <c r="E2" s="288"/>
      <c r="F2" s="288"/>
      <c r="G2" s="753">
        <v>3910</v>
      </c>
      <c r="H2" s="754"/>
      <c r="I2" s="754"/>
      <c r="J2" s="754"/>
      <c r="K2" s="755"/>
      <c r="L2" s="289">
        <v>0</v>
      </c>
      <c r="M2" s="289"/>
      <c r="N2" s="281" t="s">
        <v>52</v>
      </c>
      <c r="O2" s="752" t="str">
        <f>SUMRY!F2</f>
        <v>(Job Nme)</v>
      </c>
      <c r="P2" s="752"/>
      <c r="Q2" s="752"/>
      <c r="R2" s="290"/>
      <c r="S2" s="290"/>
      <c r="T2" s="290"/>
      <c r="U2" s="291"/>
      <c r="V2" s="292"/>
      <c r="W2" s="291"/>
      <c r="X2" s="292"/>
      <c r="Y2" s="430" t="s">
        <v>213</v>
      </c>
      <c r="Z2" s="430">
        <f>J1</f>
        <v>0</v>
      </c>
      <c r="AC2" s="555"/>
      <c r="AD2" s="284"/>
      <c r="AE2" s="284"/>
      <c r="AF2" s="284"/>
      <c r="AG2" s="284"/>
      <c r="AH2" s="284"/>
      <c r="AI2" s="284"/>
      <c r="AJ2" s="285"/>
      <c r="AK2" s="285"/>
      <c r="AL2" s="285"/>
      <c r="AM2" s="287"/>
      <c r="AN2" s="285"/>
      <c r="AO2" s="287"/>
      <c r="AP2" s="287"/>
      <c r="AQ2" s="287"/>
      <c r="AR2" s="287"/>
      <c r="AS2" s="287"/>
      <c r="AT2" s="287"/>
      <c r="AU2" s="287"/>
      <c r="AV2" s="287"/>
      <c r="AW2" s="287"/>
      <c r="AX2" s="287"/>
      <c r="AY2" s="287"/>
      <c r="AZ2" s="287"/>
      <c r="BA2" s="287"/>
      <c r="BB2" s="287"/>
      <c r="BC2" s="287"/>
      <c r="BD2" s="287"/>
      <c r="BE2" s="287"/>
      <c r="BF2" s="287"/>
      <c r="BG2" s="287"/>
      <c r="BH2" s="287"/>
      <c r="BI2" s="287"/>
      <c r="BJ2" s="294">
        <f>AM64</f>
        <v>0</v>
      </c>
      <c r="BK2" s="294">
        <f>AK64</f>
        <v>0</v>
      </c>
      <c r="BL2" s="294">
        <f>AO64</f>
        <v>0</v>
      </c>
      <c r="BM2" s="294">
        <f>+BE64+BG64+BC64</f>
        <v>0</v>
      </c>
      <c r="BN2" s="294">
        <f>+AT64+AP64</f>
        <v>0</v>
      </c>
      <c r="BO2" s="294">
        <f>+AX64+AZ64+BB64+AV64</f>
        <v>0</v>
      </c>
      <c r="BP2" s="280">
        <f>BI39+BI43</f>
        <v>0</v>
      </c>
      <c r="BQ2" s="294">
        <f>IF(SUM(BM2:BP2)=0,0,BI56)</f>
        <v>0</v>
      </c>
      <c r="BR2" s="294">
        <f>BH64</f>
        <v>0</v>
      </c>
      <c r="BS2" s="294">
        <f>ROUND(IF(SUM(BK2:BR2) = 25,0,SUM(BK2:BR2)),2)</f>
        <v>0</v>
      </c>
      <c r="BT2" s="294">
        <f>ROUND(IF(AC64 = 25,0,AC64),2)</f>
        <v>0</v>
      </c>
      <c r="BU2" s="294">
        <f>deduction</f>
        <v>0</v>
      </c>
      <c r="BV2" s="294">
        <f>AA36+toSumEOT+tosumProcess+toSumMarg</f>
        <v>0</v>
      </c>
    </row>
    <row r="3" spans="1:86" ht="17.25" customHeight="1" thickBot="1" x14ac:dyDescent="0.3">
      <c r="A3" s="288" t="s">
        <v>72</v>
      </c>
      <c r="B3" s="288"/>
      <c r="C3" s="288"/>
      <c r="D3" s="288"/>
      <c r="E3" s="288"/>
      <c r="F3" s="647">
        <v>1</v>
      </c>
      <c r="G3" s="756"/>
      <c r="H3" s="757"/>
      <c r="I3" s="757"/>
      <c r="J3" s="757"/>
      <c r="K3" s="758"/>
      <c r="L3" s="647">
        <v>1</v>
      </c>
      <c r="M3" s="288"/>
      <c r="N3" s="281" t="s">
        <v>52</v>
      </c>
      <c r="O3" s="759" t="s">
        <v>166</v>
      </c>
      <c r="P3" s="759"/>
      <c r="Q3" s="759"/>
      <c r="R3" s="290"/>
      <c r="S3" s="290"/>
      <c r="T3" s="290"/>
      <c r="U3" s="291"/>
      <c r="V3" s="292"/>
      <c r="W3" s="291"/>
      <c r="X3" s="292"/>
      <c r="Y3" s="430" t="s">
        <v>218</v>
      </c>
      <c r="Z3" s="635" t="str">
        <f>SUMRY!E$1</f>
        <v>AMALGAMATED BUILDERS LTD VARIATION SUMMARY SHEET</v>
      </c>
      <c r="AA3" s="636"/>
      <c r="AB3" s="430"/>
      <c r="AC3" s="555"/>
      <c r="AD3" s="284"/>
      <c r="AE3" s="284"/>
      <c r="AF3" s="284"/>
      <c r="AG3" s="284"/>
      <c r="AH3" s="284"/>
      <c r="AI3" s="284"/>
      <c r="AJ3" s="285"/>
      <c r="AK3" s="285"/>
      <c r="AL3" s="285"/>
      <c r="AM3" s="287"/>
      <c r="AN3" s="285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T3" s="281"/>
      <c r="BU3" s="281"/>
    </row>
    <row r="4" spans="1:86" ht="15.6" x14ac:dyDescent="0.25">
      <c r="A4" s="649" t="s">
        <v>73</v>
      </c>
      <c r="B4" s="288"/>
      <c r="C4" s="288"/>
      <c r="D4" s="288"/>
      <c r="E4" s="288"/>
      <c r="F4" s="648">
        <v>0</v>
      </c>
      <c r="G4" s="295">
        <v>0</v>
      </c>
      <c r="H4" s="295"/>
      <c r="I4" s="649">
        <f>SUMRY!O3</f>
        <v>70</v>
      </c>
      <c r="J4" s="295">
        <v>0</v>
      </c>
      <c r="K4" s="295"/>
      <c r="L4" s="648">
        <v>0</v>
      </c>
      <c r="M4" s="295">
        <v>0</v>
      </c>
      <c r="N4" s="281" t="s">
        <v>52</v>
      </c>
      <c r="O4" s="760" t="s">
        <v>101</v>
      </c>
      <c r="P4" s="760"/>
      <c r="Q4" s="416"/>
      <c r="R4" s="290"/>
      <c r="S4" s="290"/>
      <c r="T4" s="290"/>
      <c r="U4" s="296"/>
      <c r="V4" s="292"/>
      <c r="W4" s="296"/>
      <c r="X4" s="292"/>
      <c r="Y4" s="637" t="s">
        <v>2</v>
      </c>
      <c r="Z4" s="638">
        <v>43873</v>
      </c>
      <c r="AC4" s="555"/>
      <c r="AD4" s="284"/>
      <c r="AE4" s="284"/>
      <c r="AF4" s="284"/>
      <c r="AG4" s="284"/>
      <c r="AH4" s="284"/>
      <c r="AI4" s="284"/>
      <c r="AJ4" s="285"/>
      <c r="AK4" s="285"/>
      <c r="AL4" s="285"/>
      <c r="AM4" s="287"/>
      <c r="AN4" s="285"/>
      <c r="AO4" s="287"/>
      <c r="AP4" s="287"/>
      <c r="AQ4" s="287"/>
      <c r="AR4" s="287"/>
      <c r="AS4" s="287"/>
      <c r="AT4" s="287"/>
      <c r="AU4" s="287"/>
      <c r="AV4" s="287"/>
      <c r="AW4" s="287"/>
      <c r="AX4" s="287"/>
      <c r="AY4" s="287"/>
      <c r="AZ4" s="287"/>
      <c r="BA4" s="287"/>
      <c r="BB4" s="287"/>
      <c r="BC4" s="287"/>
      <c r="BD4" s="287"/>
      <c r="BE4" s="287"/>
      <c r="BF4" s="287"/>
      <c r="BG4" s="287"/>
      <c r="BH4" s="287"/>
      <c r="BI4" s="287"/>
      <c r="BJ4" s="297"/>
      <c r="BK4" s="297"/>
      <c r="BL4" s="297"/>
      <c r="BT4" s="281"/>
      <c r="BU4" s="281"/>
    </row>
    <row r="5" spans="1:86" ht="15.6" x14ac:dyDescent="0.25">
      <c r="A5" s="455" t="s">
        <v>31</v>
      </c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455"/>
      <c r="M5" s="298"/>
      <c r="N5" s="150" t="s">
        <v>52</v>
      </c>
      <c r="O5" s="760"/>
      <c r="P5" s="760"/>
      <c r="Q5" s="416"/>
      <c r="R5" s="765" t="s">
        <v>26</v>
      </c>
      <c r="S5" s="766"/>
      <c r="T5" s="766"/>
      <c r="U5" s="766"/>
      <c r="V5" s="766"/>
      <c r="W5" s="766"/>
      <c r="X5" s="766"/>
      <c r="Y5" s="429"/>
      <c r="Z5" s="634"/>
      <c r="AA5" s="634"/>
      <c r="AB5" s="429"/>
      <c r="AC5" s="555"/>
      <c r="AD5" s="763" t="s">
        <v>4</v>
      </c>
      <c r="AE5" s="763"/>
      <c r="AF5" s="763"/>
      <c r="AG5" s="763"/>
      <c r="AH5" s="763"/>
      <c r="AI5" s="763"/>
      <c r="AJ5" s="299"/>
      <c r="AK5" s="299"/>
      <c r="AL5" s="299"/>
      <c r="AM5" s="300"/>
      <c r="AN5" s="299"/>
      <c r="AO5" s="300" t="s">
        <v>3</v>
      </c>
      <c r="AP5" s="300"/>
      <c r="AQ5" s="300"/>
      <c r="AR5" s="300"/>
      <c r="AS5" s="300"/>
      <c r="AT5" s="300"/>
      <c r="AU5" s="300"/>
      <c r="AV5" s="300"/>
      <c r="AW5" s="300"/>
      <c r="AX5" s="300"/>
      <c r="AY5" s="300"/>
      <c r="AZ5" s="300"/>
      <c r="BA5" s="300"/>
      <c r="BB5" s="300"/>
      <c r="BC5" s="301"/>
      <c r="BD5" s="300"/>
      <c r="BE5" s="300"/>
      <c r="BF5" s="300"/>
      <c r="BG5" s="302"/>
      <c r="BH5" s="287"/>
      <c r="BI5" s="287"/>
      <c r="BJ5" s="150"/>
      <c r="BK5" s="150"/>
      <c r="BL5" s="297"/>
      <c r="BQ5" s="294"/>
      <c r="BT5" s="281"/>
      <c r="BU5" s="281"/>
    </row>
    <row r="6" spans="1:86" ht="15.75" customHeight="1" x14ac:dyDescent="0.25">
      <c r="A6" s="281" t="s">
        <v>13</v>
      </c>
      <c r="B6" s="762" t="s">
        <v>276</v>
      </c>
      <c r="C6" s="762"/>
      <c r="D6" s="310" t="s">
        <v>38</v>
      </c>
      <c r="E6" s="310" t="s">
        <v>14</v>
      </c>
      <c r="F6" s="303" t="s">
        <v>8</v>
      </c>
      <c r="G6" s="303" t="s">
        <v>8</v>
      </c>
      <c r="H6" s="304" t="s">
        <v>6</v>
      </c>
      <c r="I6" s="305" t="s">
        <v>6</v>
      </c>
      <c r="J6" s="305" t="s">
        <v>54</v>
      </c>
      <c r="K6" s="306" t="s">
        <v>7</v>
      </c>
      <c r="L6" s="307" t="s">
        <v>7</v>
      </c>
      <c r="M6" s="307" t="s">
        <v>55</v>
      </c>
      <c r="N6" s="281" t="s">
        <v>52</v>
      </c>
      <c r="O6" s="760"/>
      <c r="P6" s="760"/>
      <c r="Q6" s="639" t="s">
        <v>16</v>
      </c>
      <c r="R6" s="308" t="s">
        <v>27</v>
      </c>
      <c r="S6" s="308" t="s">
        <v>28</v>
      </c>
      <c r="T6" s="308" t="s">
        <v>29</v>
      </c>
      <c r="U6" s="308" t="s">
        <v>30</v>
      </c>
      <c r="V6" s="768" t="s">
        <v>13</v>
      </c>
      <c r="W6" s="770" t="s">
        <v>32</v>
      </c>
      <c r="X6" s="770" t="s">
        <v>33</v>
      </c>
      <c r="Y6" s="640" t="s">
        <v>17</v>
      </c>
      <c r="Z6" s="641" t="s">
        <v>18</v>
      </c>
      <c r="AA6" s="641" t="s">
        <v>18</v>
      </c>
      <c r="AC6" s="556" t="s">
        <v>10</v>
      </c>
      <c r="AD6" s="699" t="s">
        <v>276</v>
      </c>
      <c r="AE6" s="310" t="s">
        <v>5</v>
      </c>
      <c r="AF6" s="305" t="s">
        <v>6</v>
      </c>
      <c r="AG6" s="307" t="s">
        <v>7</v>
      </c>
      <c r="AH6" s="303" t="s">
        <v>8</v>
      </c>
      <c r="AI6" s="309" t="s">
        <v>21</v>
      </c>
      <c r="AJ6" s="309" t="s">
        <v>36</v>
      </c>
      <c r="AK6" s="309" t="s">
        <v>36</v>
      </c>
      <c r="AL6" s="762" t="s">
        <v>276</v>
      </c>
      <c r="AM6" s="764"/>
      <c r="AN6" s="772" t="s">
        <v>5</v>
      </c>
      <c r="AO6" s="773"/>
      <c r="AP6" s="774" t="s">
        <v>6</v>
      </c>
      <c r="AQ6" s="775"/>
      <c r="AR6" s="775"/>
      <c r="AS6" s="775"/>
      <c r="AT6" s="775"/>
      <c r="AU6" s="776"/>
      <c r="AV6" s="777" t="s">
        <v>7</v>
      </c>
      <c r="AW6" s="778"/>
      <c r="AX6" s="778"/>
      <c r="AY6" s="778"/>
      <c r="AZ6" s="778"/>
      <c r="BA6" s="778"/>
      <c r="BB6" s="779"/>
      <c r="BC6" s="780" t="s">
        <v>8</v>
      </c>
      <c r="BD6" s="781"/>
      <c r="BE6" s="781"/>
      <c r="BF6" s="781"/>
      <c r="BG6" s="781"/>
      <c r="BH6" s="311" t="s">
        <v>193</v>
      </c>
      <c r="BI6" s="311" t="s">
        <v>194</v>
      </c>
      <c r="BJ6" s="709"/>
      <c r="BK6" s="321" t="s">
        <v>169</v>
      </c>
      <c r="BL6" s="321"/>
      <c r="BM6" s="321"/>
      <c r="BN6" s="321"/>
      <c r="BO6" s="321"/>
      <c r="BP6" s="321"/>
      <c r="BQ6" s="294"/>
      <c r="BT6" s="281"/>
      <c r="BU6" s="281"/>
    </row>
    <row r="7" spans="1:86" ht="16.2" thickBot="1" x14ac:dyDescent="0.3">
      <c r="A7" s="281"/>
      <c r="B7" s="699" t="s">
        <v>21</v>
      </c>
      <c r="C7" s="699" t="s">
        <v>19</v>
      </c>
      <c r="D7" s="309" t="s">
        <v>21</v>
      </c>
      <c r="E7" s="310" t="s">
        <v>19</v>
      </c>
      <c r="F7" s="303" t="s">
        <v>19</v>
      </c>
      <c r="G7" s="303" t="s">
        <v>53</v>
      </c>
      <c r="H7" s="304" t="s">
        <v>75</v>
      </c>
      <c r="I7" s="305" t="s">
        <v>20</v>
      </c>
      <c r="J7" s="305" t="s">
        <v>53</v>
      </c>
      <c r="K7" s="306" t="s">
        <v>9</v>
      </c>
      <c r="L7" s="307" t="s">
        <v>19</v>
      </c>
      <c r="M7" s="307" t="s">
        <v>53</v>
      </c>
      <c r="N7" s="281" t="s">
        <v>52</v>
      </c>
      <c r="O7" s="761"/>
      <c r="P7" s="761"/>
      <c r="Q7" s="416"/>
      <c r="R7" s="290"/>
      <c r="S7" s="290"/>
      <c r="T7" s="290"/>
      <c r="U7" s="290"/>
      <c r="V7" s="769"/>
      <c r="W7" s="771"/>
      <c r="X7" s="771"/>
      <c r="Y7" s="416"/>
      <c r="Z7" s="641" t="s">
        <v>19</v>
      </c>
      <c r="AA7" s="641" t="s">
        <v>9</v>
      </c>
      <c r="AC7" s="556" t="s">
        <v>195</v>
      </c>
      <c r="AD7" s="703" t="s">
        <v>9</v>
      </c>
      <c r="AE7" s="312" t="s">
        <v>9</v>
      </c>
      <c r="AF7" s="305" t="s">
        <v>9</v>
      </c>
      <c r="AG7" s="307" t="s">
        <v>9</v>
      </c>
      <c r="AH7" s="313" t="s">
        <v>9</v>
      </c>
      <c r="AI7" s="314" t="s">
        <v>9</v>
      </c>
      <c r="AJ7" s="314" t="s">
        <v>42</v>
      </c>
      <c r="AK7" s="314" t="s">
        <v>37</v>
      </c>
      <c r="AL7" s="705" t="s">
        <v>19</v>
      </c>
      <c r="AM7" s="703" t="s">
        <v>9</v>
      </c>
      <c r="AN7" s="315" t="s">
        <v>19</v>
      </c>
      <c r="AO7" s="312" t="s">
        <v>9</v>
      </c>
      <c r="AP7" s="305" t="s">
        <v>50</v>
      </c>
      <c r="AQ7" s="316" t="s">
        <v>48</v>
      </c>
      <c r="AR7" s="316" t="s">
        <v>46</v>
      </c>
      <c r="AS7" s="316" t="s">
        <v>43</v>
      </c>
      <c r="AT7" s="316" t="s">
        <v>44</v>
      </c>
      <c r="AU7" s="316" t="s">
        <v>49</v>
      </c>
      <c r="AV7" s="307" t="s">
        <v>33</v>
      </c>
      <c r="AW7" s="317" t="s">
        <v>22</v>
      </c>
      <c r="AX7" s="317" t="s">
        <v>24</v>
      </c>
      <c r="AY7" s="317" t="s">
        <v>43</v>
      </c>
      <c r="AZ7" s="317" t="s">
        <v>44</v>
      </c>
      <c r="BA7" s="318" t="s">
        <v>23</v>
      </c>
      <c r="BB7" s="318" t="s">
        <v>25</v>
      </c>
      <c r="BC7" s="313" t="s">
        <v>9</v>
      </c>
      <c r="BD7" s="319" t="s">
        <v>68</v>
      </c>
      <c r="BE7" s="319" t="s">
        <v>45</v>
      </c>
      <c r="BF7" s="318" t="s">
        <v>69</v>
      </c>
      <c r="BG7" s="318" t="s">
        <v>21</v>
      </c>
      <c r="BH7" s="320"/>
      <c r="BI7" s="320"/>
      <c r="BJ7" s="709"/>
      <c r="BK7" s="321" t="s">
        <v>8</v>
      </c>
      <c r="BL7" s="321" t="s">
        <v>167</v>
      </c>
      <c r="BM7" s="321" t="s">
        <v>15</v>
      </c>
      <c r="BN7" s="321" t="s">
        <v>13</v>
      </c>
      <c r="BO7" s="321" t="s">
        <v>93</v>
      </c>
      <c r="BP7" s="321" t="s">
        <v>103</v>
      </c>
      <c r="BT7" s="281"/>
      <c r="BU7" s="281"/>
    </row>
    <row r="8" spans="1:86" s="98" customFormat="1" ht="16.2" thickTop="1" x14ac:dyDescent="0.3">
      <c r="A8" s="200"/>
      <c r="B8" s="226">
        <v>0</v>
      </c>
      <c r="C8" s="226">
        <v>0</v>
      </c>
      <c r="D8" s="226">
        <v>0</v>
      </c>
      <c r="E8" s="226">
        <v>0</v>
      </c>
      <c r="F8" s="226">
        <v>0</v>
      </c>
      <c r="G8" s="199">
        <f>+G$4</f>
        <v>0</v>
      </c>
      <c r="H8" s="201">
        <f>AQ8+AR8</f>
        <v>0</v>
      </c>
      <c r="I8" s="226">
        <v>0</v>
      </c>
      <c r="J8" s="199">
        <f>+J$4</f>
        <v>0</v>
      </c>
      <c r="K8" s="201">
        <f>AV8+AX8+AZ8+BB8</f>
        <v>0</v>
      </c>
      <c r="L8" s="226">
        <v>0</v>
      </c>
      <c r="M8" s="199">
        <f>+M$4</f>
        <v>0</v>
      </c>
      <c r="N8" s="202" t="s">
        <v>52</v>
      </c>
      <c r="O8" s="224"/>
      <c r="P8" s="225" t="s">
        <v>51</v>
      </c>
      <c r="Q8" s="224" t="s">
        <v>35</v>
      </c>
      <c r="R8" s="100"/>
      <c r="S8" s="101"/>
      <c r="T8" s="101"/>
      <c r="U8" s="101"/>
      <c r="V8" s="102"/>
      <c r="W8" s="103"/>
      <c r="X8" s="104">
        <f>SUM(W16:W21)</f>
        <v>0</v>
      </c>
      <c r="Y8" s="203">
        <f>ROUNDUP(X8,1)</f>
        <v>0</v>
      </c>
      <c r="Z8" s="204">
        <f>ROUNDUP(AJ8+AN8+AS8+AU8+_xlfn.IFNA(L8,0)+AW8+AY8+BA8+_xlfn.IFNA(F8,0)+BD8+BF8,2)</f>
        <v>0</v>
      </c>
      <c r="AA8" s="205">
        <f>ROUND(Z8*ROUNDUP(Y8,1),2)</f>
        <v>0</v>
      </c>
      <c r="AB8" s="433">
        <v>0</v>
      </c>
      <c r="AC8" s="667">
        <f>AA8*AB8</f>
        <v>0</v>
      </c>
      <c r="AD8" s="205">
        <f>ROUNDUP(AM8*AB8,2)</f>
        <v>0</v>
      </c>
      <c r="AE8" s="205">
        <f>ROUNDUP(AO8*AB8,2)</f>
        <v>0</v>
      </c>
      <c r="AF8" s="205">
        <f>ROUNDUP((AT8+AP8)*AB8,2)</f>
        <v>0</v>
      </c>
      <c r="AG8" s="205">
        <f>ROUNDUP((AX8+AZ8+AV8)*AB8,2)</f>
        <v>0</v>
      </c>
      <c r="AH8" s="205">
        <f>ROUNDUP((BE8+BC8)*AB8,2)</f>
        <v>0</v>
      </c>
      <c r="AI8" s="205">
        <f>(BG8+BB8+AK8)*AB8</f>
        <v>0</v>
      </c>
      <c r="AJ8" s="205">
        <f>_xlfn.IFNA(+D8,0)</f>
        <v>0</v>
      </c>
      <c r="AK8" s="205">
        <f>ROUNDUP(_xlfn.IFNA(D8,0)*Y8,2)</f>
        <v>0</v>
      </c>
      <c r="AL8" s="205">
        <f>_xlfn.IFNA(C8,0)</f>
        <v>0</v>
      </c>
      <c r="AM8" s="204">
        <f>_xlfn.IFNA(C8,0)*Y8</f>
        <v>0</v>
      </c>
      <c r="AN8" s="205">
        <f>_xlfn.IFNA(E8,0)</f>
        <v>0</v>
      </c>
      <c r="AO8" s="204">
        <f>_xlfn.IFNA(E8,0)*Y8</f>
        <v>0</v>
      </c>
      <c r="AP8" s="204">
        <f>ROUNDUP(Y8*AU8,2)</f>
        <v>0</v>
      </c>
      <c r="AQ8" s="204">
        <f>ROUNDUP(+_xlfn.IFNA(I8,0)*Y8,2)</f>
        <v>0</v>
      </c>
      <c r="AR8" s="204">
        <f>J8*_xlfn.IFNA(I8,0)*Y8</f>
        <v>0</v>
      </c>
      <c r="AS8" s="204">
        <f>ROUNDUP(_xlfn.IFNA(I8,0)*I$4*J8,2)</f>
        <v>0</v>
      </c>
      <c r="AT8" s="204">
        <f>AS8*Y8</f>
        <v>0</v>
      </c>
      <c r="AU8" s="204">
        <f>_xlfn.IFNA(IF(I8=0,0,ROUNDUP(I$4*I8,2)),0)</f>
        <v>0</v>
      </c>
      <c r="AV8" s="204">
        <f>+ROUNDUP(_xlfn.IFNA(L8,0)*ROUNDUP(Y8,1),2)</f>
        <v>0</v>
      </c>
      <c r="AW8" s="204">
        <f>ROUNDUP(_xlfn.IFNA(L8,0)*L$2,2)</f>
        <v>0</v>
      </c>
      <c r="AX8" s="204">
        <f>+ROUNDUP(AW8*Y8,2)</f>
        <v>0</v>
      </c>
      <c r="AY8" s="204">
        <f>ROUNDUP((_xlfn.IFNA(L8,0)+AW8)*M8,2)</f>
        <v>0</v>
      </c>
      <c r="AZ8" s="204">
        <f>ROUNDUP(AY8*Y8,2)</f>
        <v>0</v>
      </c>
      <c r="BA8" s="204">
        <f>ROUNDUP(((_xlfn.IFNA(L8,0)+AW8+AY8)*(L$4))*L$3,2)</f>
        <v>0</v>
      </c>
      <c r="BB8" s="204">
        <f>ROUNDUP(+BA8*ROUNDUP(Y8,1),2)</f>
        <v>0</v>
      </c>
      <c r="BC8" s="204">
        <f>ROUNDUP(_xlfn.IFNA(F8,0)*Y8,2)</f>
        <v>0</v>
      </c>
      <c r="BD8" s="204">
        <f>ROUNDUP(_xlfn.IFNA(F8,0)*G8,2)</f>
        <v>0</v>
      </c>
      <c r="BE8" s="204">
        <f>ROUNDUP(BD8*Y8,2)</f>
        <v>0</v>
      </c>
      <c r="BF8" s="204">
        <f>ROUNDUP(((ROUNDUP(_xlfn.IFNA(F8,0)+BD8,2)*F$4)*F$3),2)</f>
        <v>0</v>
      </c>
      <c r="BG8" s="204">
        <f>BF8*Y8</f>
        <v>0</v>
      </c>
      <c r="BH8" s="6"/>
      <c r="BI8" s="6"/>
      <c r="BJ8" s="272" t="str">
        <f>N8</f>
        <v>|</v>
      </c>
      <c r="BK8" s="272">
        <f>O8</f>
        <v>0</v>
      </c>
      <c r="BL8" s="272" t="str">
        <f>IF(BK8 = 0," ",$J$1)</f>
        <v xml:space="preserve"> </v>
      </c>
      <c r="BM8" s="273" t="str">
        <f>IF(BL8 = " "," ",P8)</f>
        <v xml:space="preserve"> </v>
      </c>
      <c r="BN8" s="200"/>
      <c r="BO8" s="274" t="str">
        <f>IF(BK8 = 0, " ", IF((BC8+BE8)*AB8 &lt;0,(BC8+BE8)*AB8,0))</f>
        <v xml:space="preserve"> </v>
      </c>
      <c r="BP8" s="274" t="str">
        <f>IF(BK8 = 0, " ",IF((BC8+BE8)*AB8 &gt;0,(BC8+BE8)*AB8,0))</f>
        <v xml:space="preserve"> </v>
      </c>
      <c r="BQ8" s="200"/>
      <c r="BR8" s="200"/>
      <c r="BS8" s="200"/>
      <c r="BT8" s="200"/>
      <c r="BU8" s="200"/>
      <c r="BV8" s="200"/>
      <c r="BW8" s="200"/>
      <c r="BX8" s="200"/>
      <c r="BY8" s="200"/>
      <c r="BZ8" s="200"/>
      <c r="CA8" s="200"/>
      <c r="CB8" s="200"/>
      <c r="CC8" s="200"/>
      <c r="CD8" s="200"/>
      <c r="CE8" s="200"/>
      <c r="CF8" s="200"/>
      <c r="CG8" s="200"/>
      <c r="CH8" s="200"/>
    </row>
    <row r="9" spans="1:86" s="98" customFormat="1" ht="15.6" x14ac:dyDescent="0.3">
      <c r="A9" s="200"/>
      <c r="B9" s="226">
        <v>0</v>
      </c>
      <c r="C9" s="226">
        <v>0</v>
      </c>
      <c r="D9" s="226">
        <v>0</v>
      </c>
      <c r="E9" s="226">
        <v>0</v>
      </c>
      <c r="F9" s="226">
        <v>0</v>
      </c>
      <c r="G9" s="199">
        <f>+G$4</f>
        <v>0</v>
      </c>
      <c r="H9" s="201">
        <f>AQ9+AR9</f>
        <v>0</v>
      </c>
      <c r="I9" s="226">
        <v>0</v>
      </c>
      <c r="J9" s="199">
        <f>+J$4</f>
        <v>0</v>
      </c>
      <c r="K9" s="201">
        <f>AV9+AX9+AZ9+BB9</f>
        <v>0</v>
      </c>
      <c r="L9" s="226">
        <v>0</v>
      </c>
      <c r="M9" s="199">
        <f>+M$4</f>
        <v>0</v>
      </c>
      <c r="N9" s="202" t="s">
        <v>52</v>
      </c>
      <c r="O9" s="224"/>
      <c r="P9" s="225" t="s">
        <v>51</v>
      </c>
      <c r="Q9" s="224" t="s">
        <v>35</v>
      </c>
      <c r="R9" s="100"/>
      <c r="S9" s="101"/>
      <c r="T9" s="101"/>
      <c r="U9" s="101"/>
      <c r="V9" s="102"/>
      <c r="W9" s="103"/>
      <c r="X9" s="104">
        <f>SUM(W10:W15)</f>
        <v>0</v>
      </c>
      <c r="Y9" s="203">
        <f>ROUNDUP(X9,1)</f>
        <v>0</v>
      </c>
      <c r="Z9" s="204">
        <f>ROUNDUP(AJ9+AN9+AS9+AU9+_xlfn.IFNA(L9,0)+AW9+AY9+BA9+_xlfn.IFNA(F9,0)+BD9+BF9,2)</f>
        <v>0</v>
      </c>
      <c r="AA9" s="205">
        <f>ROUND(Z9*ROUNDUP(Y9,1),2)</f>
        <v>0</v>
      </c>
      <c r="AB9" s="433">
        <v>0</v>
      </c>
      <c r="AC9" s="667">
        <f>AA9*AB9</f>
        <v>0</v>
      </c>
      <c r="AD9" s="205">
        <f>ROUNDUP(AM9*AB9,2)</f>
        <v>0</v>
      </c>
      <c r="AE9" s="205">
        <f>ROUNDUP(AO9*AB9,2)</f>
        <v>0</v>
      </c>
      <c r="AF9" s="205">
        <f>ROUNDUP((AT9+AP9)*AB9,2)</f>
        <v>0</v>
      </c>
      <c r="AG9" s="205">
        <f>ROUNDUP((AX9+AZ9+AV9)*AB9,2)</f>
        <v>0</v>
      </c>
      <c r="AH9" s="205">
        <f>ROUNDUP((BE9+BC9)*AB9,2)</f>
        <v>0</v>
      </c>
      <c r="AI9" s="205">
        <f>(BG9+BB9+AK9)*AB9</f>
        <v>0</v>
      </c>
      <c r="AJ9" s="205">
        <f>_xlfn.IFNA(+D9,0)</f>
        <v>0</v>
      </c>
      <c r="AK9" s="205">
        <f>ROUNDUP(_xlfn.IFNA(D9,0)*Y9,2)</f>
        <v>0</v>
      </c>
      <c r="AL9" s="205">
        <f>_xlfn.IFNA(C9,0)</f>
        <v>0</v>
      </c>
      <c r="AM9" s="204">
        <f>_xlfn.IFNA(C9,0)*Y9</f>
        <v>0</v>
      </c>
      <c r="AN9" s="205">
        <f>_xlfn.IFNA(E9,0)</f>
        <v>0</v>
      </c>
      <c r="AO9" s="204">
        <f>_xlfn.IFNA(E9,0)*Y9</f>
        <v>0</v>
      </c>
      <c r="AP9" s="204">
        <f>ROUNDUP(Y9*AU9,2)</f>
        <v>0</v>
      </c>
      <c r="AQ9" s="204">
        <f>ROUNDUP(+_xlfn.IFNA(I9,0)*Y9,2)</f>
        <v>0</v>
      </c>
      <c r="AR9" s="204">
        <f>J9*_xlfn.IFNA(I9,0)*Y9</f>
        <v>0</v>
      </c>
      <c r="AS9" s="204">
        <f>ROUNDUP(_xlfn.IFNA(I9,0)*I$4*J9,2)</f>
        <v>0</v>
      </c>
      <c r="AT9" s="204">
        <f>AS9*Y9</f>
        <v>0</v>
      </c>
      <c r="AU9" s="204">
        <f>_xlfn.IFNA(IF(I9=0,0,ROUNDUP(I$4*I9,2)),0)</f>
        <v>0</v>
      </c>
      <c r="AV9" s="204">
        <f>+ROUNDUP(_xlfn.IFNA(L9,0)*ROUNDUP(Y9,1),2)</f>
        <v>0</v>
      </c>
      <c r="AW9" s="204">
        <f>ROUNDUP(_xlfn.IFNA(L9,0)*L$2,2)</f>
        <v>0</v>
      </c>
      <c r="AX9" s="204">
        <f>+ROUNDUP(AW9*Y9,2)</f>
        <v>0</v>
      </c>
      <c r="AY9" s="204">
        <f>ROUNDUP((_xlfn.IFNA(L9,0)+AW9)*M9,2)</f>
        <v>0</v>
      </c>
      <c r="AZ9" s="204">
        <f>ROUNDUP(AY9*Y9,2)</f>
        <v>0</v>
      </c>
      <c r="BA9" s="204">
        <f>ROUNDUP(((_xlfn.IFNA(L9,0)+AW9+AY9)*(L$4))*L$3,2)</f>
        <v>0</v>
      </c>
      <c r="BB9" s="204">
        <f>ROUNDUP(+BA9*ROUNDUP(Y9,1),2)</f>
        <v>0</v>
      </c>
      <c r="BC9" s="204">
        <f>ROUNDUP(_xlfn.IFNA(F9,0)*Y9,2)</f>
        <v>0</v>
      </c>
      <c r="BD9" s="204">
        <f>ROUNDUP(_xlfn.IFNA(F9,0)*G9,2)</f>
        <v>0</v>
      </c>
      <c r="BE9" s="204">
        <f>ROUNDUP(BD9*Y9,2)</f>
        <v>0</v>
      </c>
      <c r="BF9" s="204">
        <f>ROUNDUP(((ROUNDUP(_xlfn.IFNA(F9,0)+BD9,2)*F$4)*F$3),2)</f>
        <v>0</v>
      </c>
      <c r="BG9" s="204">
        <f>BF9*Y9</f>
        <v>0</v>
      </c>
      <c r="BH9" s="6"/>
      <c r="BI9" s="6"/>
      <c r="BJ9" s="272" t="str">
        <f>N9</f>
        <v>|</v>
      </c>
      <c r="BK9" s="272">
        <f>O9</f>
        <v>0</v>
      </c>
      <c r="BL9" s="272" t="str">
        <f>IF(BK9 = 0," ",$J$1)</f>
        <v xml:space="preserve"> </v>
      </c>
      <c r="BM9" s="273" t="str">
        <f>IF(BL9 = " "," ",P9)</f>
        <v xml:space="preserve"> </v>
      </c>
      <c r="BN9" s="200"/>
      <c r="BO9" s="274" t="str">
        <f>IF(BK9 = 0, " ", IF((BC9+BE9)*AB9 &lt;0,(BC9+BE9)*AB9,0))</f>
        <v xml:space="preserve"> </v>
      </c>
      <c r="BP9" s="274" t="str">
        <f>IF(BK9 = 0, " ",IF((BC9+BE9)*AB9 &gt;0,(BC9+BE9)*AB9,0))</f>
        <v xml:space="preserve"> </v>
      </c>
      <c r="BQ9" s="200"/>
      <c r="BR9" s="200"/>
      <c r="BS9" s="200"/>
      <c r="BT9" s="200"/>
      <c r="BU9" s="200"/>
      <c r="BV9" s="200"/>
      <c r="BW9" s="200"/>
      <c r="BX9" s="200"/>
      <c r="BY9" s="200"/>
      <c r="BZ9" s="200"/>
      <c r="CA9" s="200"/>
      <c r="CB9" s="200"/>
      <c r="CC9" s="200"/>
      <c r="CD9" s="200"/>
      <c r="CE9" s="200"/>
      <c r="CF9" s="200"/>
      <c r="CG9" s="200"/>
      <c r="CH9" s="200"/>
    </row>
    <row r="10" spans="1:86" s="98" customFormat="1" ht="15.6" x14ac:dyDescent="0.3">
      <c r="A10" s="200"/>
      <c r="B10" s="200"/>
      <c r="C10" s="207"/>
      <c r="D10" s="200"/>
      <c r="E10" s="207"/>
      <c r="F10" s="207"/>
      <c r="G10" s="207"/>
      <c r="H10" s="207"/>
      <c r="I10" s="207"/>
      <c r="J10" s="207"/>
      <c r="K10" s="207"/>
      <c r="L10" s="207"/>
      <c r="M10" s="207"/>
      <c r="N10" s="202"/>
      <c r="O10" s="200"/>
      <c r="P10" s="208"/>
      <c r="Q10" s="200"/>
      <c r="R10" s="105"/>
      <c r="S10" s="101"/>
      <c r="T10" s="101"/>
      <c r="U10" s="101"/>
      <c r="V10" s="84"/>
      <c r="W10" s="106"/>
      <c r="X10" s="103" t="s">
        <v>41</v>
      </c>
      <c r="Y10" s="209"/>
      <c r="Z10" s="276"/>
      <c r="AA10" s="206"/>
      <c r="AB10" s="200"/>
      <c r="AD10" s="6"/>
      <c r="AE10" s="6"/>
      <c r="AF10" s="6"/>
      <c r="AG10" s="6"/>
      <c r="AH10" s="6"/>
      <c r="AI10"/>
      <c r="AJ10" s="210"/>
      <c r="AK10" s="200"/>
      <c r="AL10" s="206"/>
      <c r="AM10" s="211"/>
      <c r="AN10" s="206"/>
      <c r="AO10" s="211"/>
      <c r="AP10" s="211"/>
      <c r="AQ10" s="211"/>
      <c r="AR10" s="211"/>
      <c r="AS10" s="211"/>
      <c r="AT10" s="211"/>
      <c r="AU10" s="211"/>
      <c r="AV10" s="212"/>
      <c r="AW10" s="211"/>
      <c r="AX10" s="211"/>
      <c r="AY10" s="211"/>
      <c r="AZ10" s="211"/>
      <c r="BA10" s="211"/>
      <c r="BB10" s="211"/>
      <c r="BC10" s="211"/>
      <c r="BD10" s="212"/>
      <c r="BE10" s="212"/>
      <c r="BF10" s="212"/>
      <c r="BG10" s="211"/>
      <c r="BH10" s="6"/>
      <c r="BI10" s="6"/>
      <c r="BJ10" s="211"/>
      <c r="BK10" s="211"/>
      <c r="BL10" s="211"/>
      <c r="BM10" s="200"/>
      <c r="BN10" s="200"/>
      <c r="BO10" s="206"/>
      <c r="BP10" s="206"/>
      <c r="BQ10" s="200"/>
      <c r="BR10" s="200"/>
      <c r="BS10" s="200"/>
      <c r="BT10" s="200"/>
      <c r="BU10" s="200"/>
      <c r="BV10" s="200"/>
      <c r="BW10" s="200"/>
      <c r="BX10" s="200"/>
      <c r="BY10" s="200"/>
      <c r="BZ10" s="200"/>
      <c r="CA10" s="200"/>
      <c r="CB10" s="200"/>
      <c r="CC10" s="200"/>
      <c r="CD10" s="200"/>
      <c r="CE10" s="200"/>
      <c r="CF10" s="200"/>
      <c r="CG10" s="200"/>
      <c r="CH10" s="200"/>
    </row>
    <row r="11" spans="1:86" s="108" customFormat="1" x14ac:dyDescent="0.25">
      <c r="A11" s="207"/>
      <c r="B11" s="207"/>
      <c r="C11" s="207"/>
      <c r="D11" s="207"/>
      <c r="E11" s="207"/>
      <c r="F11" s="207"/>
      <c r="G11" s="207"/>
      <c r="H11" s="207"/>
      <c r="I11" s="207"/>
      <c r="J11" s="207"/>
      <c r="K11" s="207"/>
      <c r="L11" s="207"/>
      <c r="M11" s="207"/>
      <c r="N11" s="202"/>
      <c r="O11" s="209"/>
      <c r="P11" s="208"/>
      <c r="Q11" s="209"/>
      <c r="R11" s="226">
        <v>0</v>
      </c>
      <c r="S11" s="86"/>
      <c r="T11" s="86"/>
      <c r="U11" s="86"/>
      <c r="V11" s="87"/>
      <c r="W11" s="107">
        <f>_xlfn.IFNA(PRODUCT(R11:U11,(1+X11)),0)</f>
        <v>0</v>
      </c>
      <c r="X11" s="84">
        <v>0</v>
      </c>
      <c r="Y11" s="209"/>
      <c r="Z11" s="276"/>
      <c r="AA11" s="206"/>
      <c r="AB11" s="209"/>
      <c r="AD11" s="200"/>
      <c r="AE11" s="200"/>
      <c r="AF11" s="200"/>
      <c r="AG11" s="200"/>
      <c r="AH11" s="200"/>
      <c r="AI11" s="200"/>
      <c r="AJ11" s="210"/>
      <c r="AK11" s="200"/>
      <c r="AL11" s="206"/>
      <c r="AM11" s="211"/>
      <c r="AN11" s="206"/>
      <c r="AO11" s="211"/>
      <c r="AP11" s="211"/>
      <c r="AQ11" s="211"/>
      <c r="AR11" s="211"/>
      <c r="AS11" s="211"/>
      <c r="AT11" s="211"/>
      <c r="AU11" s="211"/>
      <c r="AV11" s="212"/>
      <c r="AW11" s="211"/>
      <c r="AX11" s="211"/>
      <c r="AY11" s="211"/>
      <c r="AZ11" s="211"/>
      <c r="BA11" s="211"/>
      <c r="BB11" s="211"/>
      <c r="BC11" s="211"/>
      <c r="BD11" s="212"/>
      <c r="BE11" s="212"/>
      <c r="BF11" s="212"/>
      <c r="BG11" s="211"/>
      <c r="BH11" s="6"/>
      <c r="BI11" s="6"/>
      <c r="BJ11" s="211"/>
      <c r="BK11" s="211"/>
      <c r="BL11" s="211"/>
      <c r="BM11" s="200"/>
      <c r="BN11" s="200"/>
      <c r="BO11" s="206"/>
      <c r="BP11" s="206"/>
      <c r="BQ11" s="200"/>
      <c r="BR11" s="200"/>
      <c r="BS11" s="200"/>
      <c r="BT11" s="200"/>
      <c r="BU11" s="200"/>
      <c r="BV11" s="200"/>
      <c r="BW11" s="200"/>
      <c r="BX11" s="200"/>
      <c r="BY11" s="200"/>
      <c r="BZ11" s="200"/>
      <c r="CA11" s="200"/>
      <c r="CB11" s="200"/>
      <c r="CC11" s="200"/>
      <c r="CD11" s="200"/>
      <c r="CE11" s="200"/>
      <c r="CF11" s="200"/>
      <c r="CG11" s="200"/>
      <c r="CH11" s="200"/>
    </row>
    <row r="12" spans="1:86" s="108" customFormat="1" x14ac:dyDescent="0.25">
      <c r="A12" s="207"/>
      <c r="B12" s="207"/>
      <c r="C12" s="207"/>
      <c r="D12" s="207"/>
      <c r="E12" s="207"/>
      <c r="F12" s="207"/>
      <c r="G12" s="207"/>
      <c r="H12" s="207"/>
      <c r="I12" s="207"/>
      <c r="J12" s="207"/>
      <c r="K12" s="207"/>
      <c r="L12" s="207"/>
      <c r="M12" s="207"/>
      <c r="N12" s="202"/>
      <c r="O12" s="209"/>
      <c r="P12" s="208"/>
      <c r="Q12" s="209"/>
      <c r="R12" s="226">
        <v>0</v>
      </c>
      <c r="S12" s="86"/>
      <c r="T12" s="86"/>
      <c r="U12" s="86"/>
      <c r="V12" s="87"/>
      <c r="W12" s="107">
        <f t="shared" ref="W12:W14" si="0">_xlfn.IFNA(PRODUCT(R12:U12,(1+X12)),0)</f>
        <v>0</v>
      </c>
      <c r="X12" s="84">
        <v>0</v>
      </c>
      <c r="Y12" s="209"/>
      <c r="Z12" s="276"/>
      <c r="AA12" s="206"/>
      <c r="AB12" s="209"/>
      <c r="AD12" s="200"/>
      <c r="AE12" s="200"/>
      <c r="AF12" s="200"/>
      <c r="AG12" s="200"/>
      <c r="AH12" s="200"/>
      <c r="AI12" s="200"/>
      <c r="AJ12" s="210"/>
      <c r="AK12" s="200"/>
      <c r="AL12" s="206"/>
      <c r="AM12" s="211"/>
      <c r="AN12" s="206"/>
      <c r="AO12" s="211"/>
      <c r="AP12" s="211"/>
      <c r="AQ12" s="211"/>
      <c r="AR12" s="211"/>
      <c r="AS12" s="211"/>
      <c r="AT12" s="211"/>
      <c r="AU12" s="211"/>
      <c r="AV12" s="212"/>
      <c r="AW12" s="211"/>
      <c r="AX12" s="211"/>
      <c r="AY12" s="211"/>
      <c r="AZ12" s="211"/>
      <c r="BA12" s="211"/>
      <c r="BB12" s="211"/>
      <c r="BC12" s="211"/>
      <c r="BD12" s="212"/>
      <c r="BE12" s="212"/>
      <c r="BF12" s="212"/>
      <c r="BG12" s="211"/>
      <c r="BH12" s="6"/>
      <c r="BI12" s="6"/>
      <c r="BJ12" s="211"/>
      <c r="BK12" s="211"/>
      <c r="BL12" s="211"/>
      <c r="BM12" s="200"/>
      <c r="BN12" s="200"/>
      <c r="BO12" s="206"/>
      <c r="BP12" s="206"/>
      <c r="BQ12" s="200"/>
      <c r="BR12" s="200"/>
      <c r="BS12" s="200"/>
      <c r="BT12" s="200"/>
      <c r="BU12" s="200"/>
      <c r="BV12" s="200"/>
      <c r="BW12" s="200"/>
      <c r="BX12" s="200"/>
      <c r="BY12" s="200"/>
      <c r="BZ12" s="200"/>
      <c r="CA12" s="200"/>
      <c r="CB12" s="200"/>
      <c r="CC12" s="200"/>
      <c r="CD12" s="200"/>
      <c r="CE12" s="200"/>
      <c r="CF12" s="200"/>
      <c r="CG12" s="200"/>
      <c r="CH12" s="200"/>
    </row>
    <row r="13" spans="1:86" s="108" customFormat="1" x14ac:dyDescent="0.25">
      <c r="A13" s="207"/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2"/>
      <c r="O13" s="209"/>
      <c r="P13" s="208"/>
      <c r="Q13" s="209"/>
      <c r="R13" s="226">
        <v>0</v>
      </c>
      <c r="S13" s="86"/>
      <c r="T13" s="86"/>
      <c r="U13" s="86"/>
      <c r="V13" s="87"/>
      <c r="W13" s="107">
        <f t="shared" si="0"/>
        <v>0</v>
      </c>
      <c r="X13" s="84">
        <v>0</v>
      </c>
      <c r="Y13" s="209"/>
      <c r="Z13" s="276"/>
      <c r="AA13" s="206"/>
      <c r="AB13" s="209"/>
      <c r="AD13" s="200"/>
      <c r="AE13" s="200"/>
      <c r="AF13" s="200"/>
      <c r="AG13" s="200"/>
      <c r="AH13" s="200"/>
      <c r="AI13" s="200"/>
      <c r="AJ13" s="210"/>
      <c r="AK13" s="200"/>
      <c r="AL13" s="206"/>
      <c r="AM13" s="211"/>
      <c r="AN13" s="206"/>
      <c r="AO13" s="211"/>
      <c r="AP13" s="211"/>
      <c r="AQ13" s="211"/>
      <c r="AR13" s="211"/>
      <c r="AS13" s="211"/>
      <c r="AT13" s="211"/>
      <c r="AU13" s="211"/>
      <c r="AV13" s="212"/>
      <c r="AW13" s="211"/>
      <c r="AX13" s="211"/>
      <c r="AY13" s="211"/>
      <c r="AZ13" s="211"/>
      <c r="BA13" s="211"/>
      <c r="BB13" s="211"/>
      <c r="BC13" s="211"/>
      <c r="BD13" s="212"/>
      <c r="BE13" s="212"/>
      <c r="BF13" s="212"/>
      <c r="BG13" s="211"/>
      <c r="BH13" s="6"/>
      <c r="BI13" s="6"/>
      <c r="BJ13" s="211"/>
      <c r="BK13" s="211"/>
      <c r="BL13" s="211"/>
      <c r="BM13" s="200"/>
      <c r="BN13" s="200"/>
      <c r="BO13" s="206"/>
      <c r="BP13" s="206"/>
      <c r="BQ13" s="200"/>
      <c r="BR13" s="200"/>
      <c r="BS13" s="200"/>
      <c r="BT13" s="200"/>
      <c r="BU13" s="200"/>
      <c r="BV13" s="200"/>
      <c r="BW13" s="200"/>
      <c r="BX13" s="200"/>
      <c r="BY13" s="200"/>
      <c r="BZ13" s="200"/>
      <c r="CA13" s="200"/>
      <c r="CB13" s="200"/>
      <c r="CC13" s="200"/>
      <c r="CD13" s="200"/>
      <c r="CE13" s="200"/>
      <c r="CF13" s="200"/>
      <c r="CG13" s="200"/>
      <c r="CH13" s="200"/>
    </row>
    <row r="14" spans="1:86" s="108" customFormat="1" x14ac:dyDescent="0.25">
      <c r="A14" s="207"/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2"/>
      <c r="O14" s="209"/>
      <c r="P14" s="208"/>
      <c r="Q14" s="209"/>
      <c r="R14" s="226">
        <v>0</v>
      </c>
      <c r="S14" s="86"/>
      <c r="T14" s="86"/>
      <c r="U14" s="86"/>
      <c r="V14" s="87"/>
      <c r="W14" s="107">
        <f t="shared" si="0"/>
        <v>0</v>
      </c>
      <c r="X14" s="84">
        <v>0</v>
      </c>
      <c r="Y14" s="209"/>
      <c r="Z14" s="276"/>
      <c r="AA14" s="206"/>
      <c r="AB14" s="209"/>
      <c r="AD14" s="6"/>
      <c r="AE14" s="6"/>
      <c r="AF14" s="6"/>
      <c r="AG14" s="6"/>
      <c r="AH14" s="6"/>
      <c r="AI14"/>
      <c r="AJ14" s="210"/>
      <c r="AK14" s="200"/>
      <c r="AL14" s="206"/>
      <c r="AM14" s="211"/>
      <c r="AN14" s="206"/>
      <c r="AO14" s="211"/>
      <c r="AP14" s="211"/>
      <c r="AQ14" s="211"/>
      <c r="AR14" s="211"/>
      <c r="AS14" s="211"/>
      <c r="AT14" s="211"/>
      <c r="AU14" s="211"/>
      <c r="AV14" s="212"/>
      <c r="AW14" s="211"/>
      <c r="AX14" s="211"/>
      <c r="AY14" s="211"/>
      <c r="AZ14" s="211"/>
      <c r="BA14" s="211"/>
      <c r="BB14" s="211"/>
      <c r="BC14" s="211"/>
      <c r="BD14" s="212"/>
      <c r="BE14" s="212"/>
      <c r="BF14" s="212"/>
      <c r="BG14" s="211"/>
      <c r="BH14" s="6"/>
      <c r="BI14" s="6"/>
      <c r="BJ14" s="200"/>
      <c r="BK14" s="200"/>
      <c r="BL14" s="200"/>
      <c r="BM14" s="200"/>
      <c r="BN14" s="200"/>
      <c r="BO14" s="206"/>
      <c r="BP14" s="206"/>
      <c r="BQ14" s="200"/>
      <c r="BR14" s="200"/>
      <c r="BS14" s="200"/>
      <c r="BT14" s="200"/>
      <c r="BU14" s="200"/>
      <c r="BV14" s="200"/>
      <c r="BW14" s="200"/>
      <c r="BX14" s="200"/>
      <c r="BY14" s="200"/>
      <c r="BZ14" s="200"/>
      <c r="CA14" s="200"/>
      <c r="CB14" s="200"/>
      <c r="CC14" s="200"/>
      <c r="CD14" s="200"/>
      <c r="CE14" s="200"/>
      <c r="CF14" s="200"/>
      <c r="CG14" s="200"/>
      <c r="CH14" s="200"/>
    </row>
    <row r="15" spans="1:86" s="108" customFormat="1" x14ac:dyDescent="0.25">
      <c r="A15" s="207"/>
      <c r="B15" s="207"/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2"/>
      <c r="O15" s="209"/>
      <c r="P15" s="208"/>
      <c r="Q15" s="209"/>
      <c r="R15" s="109"/>
      <c r="S15" s="109"/>
      <c r="T15" s="109"/>
      <c r="U15" s="109"/>
      <c r="V15" s="109"/>
      <c r="W15" s="109"/>
      <c r="X15" s="109"/>
      <c r="Y15" s="209"/>
      <c r="Z15" s="276"/>
      <c r="AA15" s="206"/>
      <c r="AB15" s="209"/>
      <c r="AD15" s="6"/>
      <c r="AE15" s="6"/>
      <c r="AF15" s="6"/>
      <c r="AG15" s="6"/>
      <c r="AH15" s="6"/>
      <c r="AI15"/>
      <c r="AJ15" s="210"/>
      <c r="AK15" s="200"/>
      <c r="AL15" s="206"/>
      <c r="AM15" s="211"/>
      <c r="AN15" s="206"/>
      <c r="AO15" s="211"/>
      <c r="AP15" s="211"/>
      <c r="AQ15" s="211"/>
      <c r="AR15" s="211"/>
      <c r="AS15" s="211"/>
      <c r="AT15" s="211"/>
      <c r="AU15" s="211"/>
      <c r="AV15" s="212"/>
      <c r="AW15" s="211"/>
      <c r="AX15" s="211"/>
      <c r="AY15" s="211"/>
      <c r="AZ15" s="211"/>
      <c r="BA15" s="211"/>
      <c r="BB15" s="211"/>
      <c r="BC15" s="211"/>
      <c r="BD15" s="212"/>
      <c r="BE15" s="212"/>
      <c r="BF15" s="212"/>
      <c r="BG15" s="211"/>
      <c r="BH15" s="6"/>
      <c r="BI15" s="6"/>
      <c r="BJ15" s="200"/>
      <c r="BK15" s="200"/>
      <c r="BL15" s="200"/>
      <c r="BM15" s="200"/>
      <c r="BN15" s="200"/>
      <c r="BO15" s="206"/>
      <c r="BP15" s="206"/>
      <c r="BQ15" s="200"/>
      <c r="BR15" s="200"/>
      <c r="BS15" s="200"/>
      <c r="BT15" s="200"/>
      <c r="BU15" s="200"/>
      <c r="BV15" s="200"/>
      <c r="BW15" s="200"/>
      <c r="BX15" s="200"/>
      <c r="BY15" s="200"/>
      <c r="BZ15" s="200"/>
      <c r="CA15" s="200"/>
      <c r="CB15" s="200"/>
      <c r="CC15" s="200"/>
      <c r="CD15" s="200"/>
      <c r="CE15" s="200"/>
      <c r="CF15" s="200"/>
      <c r="CG15" s="200"/>
      <c r="CH15" s="200"/>
    </row>
    <row r="16" spans="1:86" s="98" customFormat="1" ht="15.6" x14ac:dyDescent="0.3">
      <c r="A16" s="200"/>
      <c r="B16" s="200"/>
      <c r="C16" s="207"/>
      <c r="D16" s="200"/>
      <c r="E16" s="207"/>
      <c r="F16" s="207"/>
      <c r="G16" s="207"/>
      <c r="H16" s="207"/>
      <c r="I16" s="207"/>
      <c r="J16" s="207"/>
      <c r="K16" s="207"/>
      <c r="L16" s="207"/>
      <c r="M16" s="207"/>
      <c r="N16" s="202"/>
      <c r="O16" s="200"/>
      <c r="P16" s="208"/>
      <c r="Q16" s="200"/>
      <c r="R16" s="105"/>
      <c r="S16" s="101"/>
      <c r="T16" s="101"/>
      <c r="U16" s="101"/>
      <c r="V16" s="84"/>
      <c r="W16" s="106"/>
      <c r="X16" s="103" t="s">
        <v>41</v>
      </c>
      <c r="Y16" s="209"/>
      <c r="Z16" s="276"/>
      <c r="AA16" s="206"/>
      <c r="AB16" s="200"/>
      <c r="AD16" s="6"/>
      <c r="AE16" s="6"/>
      <c r="AF16" s="6"/>
      <c r="AG16" s="6"/>
      <c r="AH16" s="6"/>
      <c r="AI16"/>
      <c r="AJ16" s="210"/>
      <c r="AK16" s="200"/>
      <c r="AL16" s="206"/>
      <c r="AM16" s="211"/>
      <c r="AN16" s="206"/>
      <c r="AO16" s="211"/>
      <c r="AP16" s="211"/>
      <c r="AQ16" s="211"/>
      <c r="AR16" s="211"/>
      <c r="AS16" s="211"/>
      <c r="AT16" s="211"/>
      <c r="AU16" s="211"/>
      <c r="AV16" s="212"/>
      <c r="AW16" s="211"/>
      <c r="AX16" s="211"/>
      <c r="AY16" s="211"/>
      <c r="AZ16" s="211"/>
      <c r="BA16" s="211"/>
      <c r="BB16" s="211"/>
      <c r="BC16" s="211"/>
      <c r="BD16" s="212"/>
      <c r="BE16" s="212"/>
      <c r="BF16" s="212"/>
      <c r="BG16" s="211"/>
      <c r="BH16" s="6"/>
      <c r="BI16" s="6"/>
      <c r="BJ16" s="211"/>
      <c r="BK16" s="211"/>
      <c r="BL16" s="211"/>
      <c r="BM16" s="200"/>
      <c r="BN16" s="200"/>
      <c r="BO16" s="206"/>
      <c r="BP16" s="206"/>
      <c r="BQ16" s="200"/>
      <c r="BR16" s="200"/>
      <c r="BS16" s="200"/>
      <c r="BT16" s="200"/>
      <c r="BU16" s="200"/>
      <c r="BV16" s="200"/>
      <c r="BW16" s="200"/>
      <c r="BX16" s="200"/>
      <c r="BY16" s="200"/>
      <c r="BZ16" s="200"/>
      <c r="CA16" s="200"/>
      <c r="CB16" s="200"/>
      <c r="CC16" s="200"/>
      <c r="CD16" s="200"/>
      <c r="CE16" s="200"/>
      <c r="CF16" s="200"/>
      <c r="CG16" s="200"/>
      <c r="CH16" s="200"/>
    </row>
    <row r="17" spans="1:86" s="108" customFormat="1" x14ac:dyDescent="0.25">
      <c r="A17" s="207"/>
      <c r="B17" s="207"/>
      <c r="C17" s="207"/>
      <c r="D17" s="207"/>
      <c r="E17" s="207"/>
      <c r="F17" s="207"/>
      <c r="G17" s="207"/>
      <c r="H17" s="207"/>
      <c r="I17" s="207"/>
      <c r="J17" s="207"/>
      <c r="K17" s="207"/>
      <c r="L17" s="207"/>
      <c r="M17" s="207"/>
      <c r="N17" s="202"/>
      <c r="O17" s="209"/>
      <c r="P17" s="208"/>
      <c r="Q17" s="209"/>
      <c r="R17" s="226">
        <v>0</v>
      </c>
      <c r="S17" s="86"/>
      <c r="T17" s="86"/>
      <c r="U17" s="86"/>
      <c r="V17" s="87"/>
      <c r="W17" s="107">
        <f>_xlfn.IFNA(PRODUCT(R17:U17,(1+X17)),0)</f>
        <v>0</v>
      </c>
      <c r="X17" s="84">
        <v>0</v>
      </c>
      <c r="Y17" s="209"/>
      <c r="Z17" s="276"/>
      <c r="AA17" s="206"/>
      <c r="AB17" s="209"/>
      <c r="AD17" s="200"/>
      <c r="AE17" s="200"/>
      <c r="AF17" s="200"/>
      <c r="AG17" s="200"/>
      <c r="AH17" s="200"/>
      <c r="AI17" s="200"/>
      <c r="AJ17" s="210"/>
      <c r="AK17" s="200"/>
      <c r="AL17" s="206"/>
      <c r="AM17" s="211"/>
      <c r="AN17" s="206"/>
      <c r="AO17" s="211"/>
      <c r="AP17" s="211"/>
      <c r="AQ17" s="211"/>
      <c r="AR17" s="211"/>
      <c r="AS17" s="211"/>
      <c r="AT17" s="211"/>
      <c r="AU17" s="211"/>
      <c r="AV17" s="212"/>
      <c r="AW17" s="211"/>
      <c r="AX17" s="211"/>
      <c r="AY17" s="211"/>
      <c r="AZ17" s="211"/>
      <c r="BA17" s="211"/>
      <c r="BB17" s="211"/>
      <c r="BC17" s="211"/>
      <c r="BD17" s="212"/>
      <c r="BE17" s="212"/>
      <c r="BF17" s="212"/>
      <c r="BG17" s="211"/>
      <c r="BH17" s="6"/>
      <c r="BI17" s="6"/>
      <c r="BJ17" s="211"/>
      <c r="BK17" s="211"/>
      <c r="BL17" s="211"/>
      <c r="BM17" s="200"/>
      <c r="BN17" s="200"/>
      <c r="BO17" s="206"/>
      <c r="BP17" s="206"/>
      <c r="BQ17" s="200"/>
      <c r="BR17" s="200"/>
      <c r="BS17" s="200"/>
      <c r="BT17" s="200"/>
      <c r="BU17" s="200"/>
      <c r="BV17" s="200"/>
      <c r="BW17" s="200"/>
      <c r="BX17" s="200"/>
      <c r="BY17" s="200"/>
      <c r="BZ17" s="200"/>
      <c r="CA17" s="200"/>
      <c r="CB17" s="200"/>
      <c r="CC17" s="200"/>
      <c r="CD17" s="200"/>
      <c r="CE17" s="200"/>
      <c r="CF17" s="200"/>
      <c r="CG17" s="200"/>
      <c r="CH17" s="200"/>
    </row>
    <row r="18" spans="1:86" s="108" customFormat="1" x14ac:dyDescent="0.25">
      <c r="A18" s="207"/>
      <c r="B18" s="207"/>
      <c r="C18" s="207"/>
      <c r="D18" s="207"/>
      <c r="E18" s="207"/>
      <c r="F18" s="207"/>
      <c r="G18" s="207"/>
      <c r="H18" s="207"/>
      <c r="I18" s="207"/>
      <c r="J18" s="207"/>
      <c r="K18" s="207"/>
      <c r="L18" s="207"/>
      <c r="M18" s="207"/>
      <c r="N18" s="202"/>
      <c r="O18" s="209"/>
      <c r="P18" s="208"/>
      <c r="Q18" s="209"/>
      <c r="R18" s="226">
        <v>0</v>
      </c>
      <c r="S18" s="86"/>
      <c r="T18" s="86"/>
      <c r="U18" s="86"/>
      <c r="V18" s="87"/>
      <c r="W18" s="107">
        <f t="shared" ref="W18:W20" si="1">_xlfn.IFNA(PRODUCT(R18:U18,(1+X18)),0)</f>
        <v>0</v>
      </c>
      <c r="X18" s="84">
        <v>0</v>
      </c>
      <c r="Y18" s="209"/>
      <c r="Z18" s="276"/>
      <c r="AA18" s="206"/>
      <c r="AB18" s="209"/>
      <c r="AD18" s="200"/>
      <c r="AE18" s="200"/>
      <c r="AF18" s="200"/>
      <c r="AG18" s="200"/>
      <c r="AH18" s="200"/>
      <c r="AI18" s="200"/>
      <c r="AJ18" s="210"/>
      <c r="AK18" s="200"/>
      <c r="AL18" s="206"/>
      <c r="AM18" s="211"/>
      <c r="AN18" s="206"/>
      <c r="AO18" s="211"/>
      <c r="AP18" s="211"/>
      <c r="AQ18" s="211"/>
      <c r="AR18" s="211"/>
      <c r="AS18" s="211"/>
      <c r="AT18" s="211"/>
      <c r="AU18" s="211"/>
      <c r="AV18" s="212"/>
      <c r="AW18" s="211"/>
      <c r="AX18" s="211"/>
      <c r="AY18" s="211"/>
      <c r="AZ18" s="211"/>
      <c r="BA18" s="211"/>
      <c r="BB18" s="211"/>
      <c r="BC18" s="211"/>
      <c r="BD18" s="212"/>
      <c r="BE18" s="212"/>
      <c r="BF18" s="212"/>
      <c r="BG18" s="211"/>
      <c r="BH18" s="6"/>
      <c r="BI18" s="6"/>
      <c r="BJ18" s="211"/>
      <c r="BK18" s="211"/>
      <c r="BL18" s="211"/>
      <c r="BM18" s="200"/>
      <c r="BN18" s="200"/>
      <c r="BO18" s="206"/>
      <c r="BP18" s="206"/>
      <c r="BQ18" s="200"/>
      <c r="BR18" s="200"/>
      <c r="BS18" s="200"/>
      <c r="BT18" s="200"/>
      <c r="BU18" s="200"/>
      <c r="BV18" s="200"/>
      <c r="BW18" s="200"/>
      <c r="BX18" s="200"/>
      <c r="BY18" s="200"/>
      <c r="BZ18" s="200"/>
      <c r="CA18" s="200"/>
      <c r="CB18" s="200"/>
      <c r="CC18" s="200"/>
      <c r="CD18" s="200"/>
      <c r="CE18" s="200"/>
      <c r="CF18" s="200"/>
      <c r="CG18" s="200"/>
      <c r="CH18" s="200"/>
    </row>
    <row r="19" spans="1:86" s="108" customFormat="1" x14ac:dyDescent="0.25">
      <c r="A19" s="207"/>
      <c r="B19" s="207"/>
      <c r="C19" s="207"/>
      <c r="D19" s="207"/>
      <c r="E19" s="207"/>
      <c r="F19" s="207"/>
      <c r="G19" s="207"/>
      <c r="H19" s="207"/>
      <c r="I19" s="207"/>
      <c r="J19" s="207"/>
      <c r="K19" s="207"/>
      <c r="L19" s="207"/>
      <c r="M19" s="207"/>
      <c r="N19" s="202"/>
      <c r="O19" s="209"/>
      <c r="P19" s="208"/>
      <c r="Q19" s="209"/>
      <c r="R19" s="226">
        <v>0</v>
      </c>
      <c r="S19" s="86"/>
      <c r="T19" s="86"/>
      <c r="U19" s="86"/>
      <c r="V19" s="87"/>
      <c r="W19" s="107">
        <f t="shared" si="1"/>
        <v>0</v>
      </c>
      <c r="X19" s="84">
        <v>0</v>
      </c>
      <c r="Y19" s="209"/>
      <c r="Z19" s="276"/>
      <c r="AA19" s="206"/>
      <c r="AB19" s="209"/>
      <c r="AD19" s="200"/>
      <c r="AE19" s="200"/>
      <c r="AF19" s="200"/>
      <c r="AG19" s="200"/>
      <c r="AH19" s="200"/>
      <c r="AI19" s="200"/>
      <c r="AJ19" s="210"/>
      <c r="AK19" s="200"/>
      <c r="AL19" s="206"/>
      <c r="AM19" s="211"/>
      <c r="AN19" s="206"/>
      <c r="AO19" s="211"/>
      <c r="AP19" s="211"/>
      <c r="AQ19" s="211"/>
      <c r="AR19" s="211"/>
      <c r="AS19" s="211"/>
      <c r="AT19" s="211"/>
      <c r="AU19" s="211"/>
      <c r="AV19" s="212"/>
      <c r="AW19" s="211"/>
      <c r="AX19" s="211"/>
      <c r="AY19" s="211"/>
      <c r="AZ19" s="211"/>
      <c r="BA19" s="211"/>
      <c r="BB19" s="211"/>
      <c r="BC19" s="211"/>
      <c r="BD19" s="212"/>
      <c r="BE19" s="212"/>
      <c r="BF19" s="212"/>
      <c r="BG19" s="211"/>
      <c r="BH19" s="6"/>
      <c r="BI19" s="6"/>
      <c r="BJ19" s="211"/>
      <c r="BK19" s="211"/>
      <c r="BL19" s="211"/>
      <c r="BM19" s="200"/>
      <c r="BN19" s="200"/>
      <c r="BO19" s="206"/>
      <c r="BP19" s="206"/>
      <c r="BQ19" s="200"/>
      <c r="BR19" s="200"/>
      <c r="BS19" s="200"/>
      <c r="BT19" s="200"/>
      <c r="BU19" s="200"/>
      <c r="BV19" s="200"/>
      <c r="BW19" s="200"/>
      <c r="BX19" s="200"/>
      <c r="BY19" s="200"/>
      <c r="BZ19" s="200"/>
      <c r="CA19" s="200"/>
      <c r="CB19" s="200"/>
      <c r="CC19" s="200"/>
      <c r="CD19" s="200"/>
      <c r="CE19" s="200"/>
      <c r="CF19" s="200"/>
      <c r="CG19" s="200"/>
      <c r="CH19" s="200"/>
    </row>
    <row r="20" spans="1:86" s="108" customFormat="1" x14ac:dyDescent="0.25">
      <c r="A20" s="207"/>
      <c r="B20" s="207"/>
      <c r="C20" s="207"/>
      <c r="D20" s="207"/>
      <c r="E20" s="207"/>
      <c r="F20" s="207"/>
      <c r="G20" s="207"/>
      <c r="H20" s="207"/>
      <c r="I20" s="207"/>
      <c r="J20" s="207"/>
      <c r="K20" s="207"/>
      <c r="L20" s="207"/>
      <c r="M20" s="207"/>
      <c r="N20" s="202"/>
      <c r="O20" s="209"/>
      <c r="P20" s="208"/>
      <c r="Q20" s="209"/>
      <c r="R20" s="226">
        <v>0</v>
      </c>
      <c r="S20" s="86"/>
      <c r="T20" s="86"/>
      <c r="U20" s="86"/>
      <c r="V20" s="87"/>
      <c r="W20" s="107">
        <f t="shared" si="1"/>
        <v>0</v>
      </c>
      <c r="X20" s="84">
        <v>0</v>
      </c>
      <c r="Y20" s="209"/>
      <c r="Z20" s="276"/>
      <c r="AA20" s="206"/>
      <c r="AB20" s="209"/>
      <c r="AD20" s="6"/>
      <c r="AE20" s="6"/>
      <c r="AF20" s="6"/>
      <c r="AG20" s="6"/>
      <c r="AH20" s="6"/>
      <c r="AI20"/>
      <c r="AJ20" s="210"/>
      <c r="AK20" s="200"/>
      <c r="AL20" s="206"/>
      <c r="AM20" s="211"/>
      <c r="AN20" s="206"/>
      <c r="AO20" s="211"/>
      <c r="AP20" s="211"/>
      <c r="AQ20" s="211"/>
      <c r="AR20" s="211"/>
      <c r="AS20" s="211"/>
      <c r="AT20" s="211"/>
      <c r="AU20" s="211"/>
      <c r="AV20" s="212"/>
      <c r="AW20" s="211"/>
      <c r="AX20" s="211"/>
      <c r="AY20" s="211"/>
      <c r="AZ20" s="211"/>
      <c r="BA20" s="211"/>
      <c r="BB20" s="211"/>
      <c r="BC20" s="211"/>
      <c r="BD20" s="212"/>
      <c r="BE20" s="212"/>
      <c r="BF20" s="212"/>
      <c r="BG20" s="211"/>
      <c r="BH20" s="6"/>
      <c r="BI20" s="6"/>
      <c r="BJ20" s="200"/>
      <c r="BK20" s="200"/>
      <c r="BL20" s="200"/>
      <c r="BM20" s="200"/>
      <c r="BN20" s="200"/>
      <c r="BO20" s="206"/>
      <c r="BP20" s="206"/>
      <c r="BQ20" s="200"/>
      <c r="BR20" s="200"/>
      <c r="BS20" s="200"/>
      <c r="BT20" s="200"/>
      <c r="BU20" s="200"/>
      <c r="BV20" s="200"/>
      <c r="BW20" s="200"/>
      <c r="BX20" s="200"/>
      <c r="BY20" s="200"/>
      <c r="BZ20" s="200"/>
      <c r="CA20" s="200"/>
      <c r="CB20" s="200"/>
      <c r="CC20" s="200"/>
      <c r="CD20" s="200"/>
      <c r="CE20" s="200"/>
      <c r="CF20" s="200"/>
      <c r="CG20" s="200"/>
      <c r="CH20" s="200"/>
    </row>
    <row r="21" spans="1:86" s="108" customFormat="1" ht="15.6" thickBot="1" x14ac:dyDescent="0.3">
      <c r="A21" s="207"/>
      <c r="B21" s="207"/>
      <c r="C21" s="207"/>
      <c r="D21" s="207"/>
      <c r="E21" s="207"/>
      <c r="F21" s="207"/>
      <c r="G21" s="207"/>
      <c r="H21" s="207"/>
      <c r="I21" s="207"/>
      <c r="J21" s="207"/>
      <c r="K21" s="207"/>
      <c r="L21" s="207"/>
      <c r="M21" s="207"/>
      <c r="N21" s="202"/>
      <c r="O21" s="209"/>
      <c r="P21" s="208"/>
      <c r="Q21" s="209"/>
      <c r="R21" s="109"/>
      <c r="S21" s="109"/>
      <c r="T21" s="109"/>
      <c r="U21" s="109"/>
      <c r="V21" s="109"/>
      <c r="W21" s="109"/>
      <c r="X21" s="109"/>
      <c r="Y21" s="209"/>
      <c r="Z21" s="276"/>
      <c r="AA21" s="206"/>
      <c r="AB21" s="209"/>
      <c r="AD21" s="6"/>
      <c r="AE21" s="6"/>
      <c r="AF21" s="6"/>
      <c r="AG21" s="6"/>
      <c r="AH21" s="6"/>
      <c r="AI21"/>
      <c r="AJ21" s="210"/>
      <c r="AK21" s="200"/>
      <c r="AL21" s="206"/>
      <c r="AM21" s="211"/>
      <c r="AN21" s="206"/>
      <c r="AO21" s="211"/>
      <c r="AP21" s="211"/>
      <c r="AQ21" s="211"/>
      <c r="AR21" s="211"/>
      <c r="AS21" s="211"/>
      <c r="AT21" s="211"/>
      <c r="AU21" s="211"/>
      <c r="AV21" s="212"/>
      <c r="AW21" s="211"/>
      <c r="AX21" s="211"/>
      <c r="AY21" s="211"/>
      <c r="AZ21" s="211"/>
      <c r="BA21" s="211"/>
      <c r="BB21" s="211"/>
      <c r="BC21" s="211"/>
      <c r="BD21" s="212"/>
      <c r="BE21" s="212"/>
      <c r="BF21" s="212"/>
      <c r="BG21" s="211"/>
      <c r="BH21" s="6"/>
      <c r="BI21" s="6"/>
      <c r="BJ21" s="200"/>
      <c r="BK21" s="200"/>
      <c r="BL21" s="200"/>
      <c r="BM21" s="200"/>
      <c r="BN21" s="200"/>
      <c r="BO21" s="206"/>
      <c r="BP21" s="206"/>
      <c r="BQ21" s="200"/>
      <c r="BR21" s="200"/>
      <c r="BS21" s="200"/>
      <c r="BT21" s="200"/>
      <c r="BU21" s="200"/>
      <c r="BV21" s="200"/>
      <c r="BW21" s="200"/>
      <c r="BX21" s="200"/>
      <c r="BY21" s="200"/>
      <c r="BZ21" s="200"/>
      <c r="CA21" s="200"/>
      <c r="CB21" s="200"/>
      <c r="CC21" s="200"/>
      <c r="CD21" s="200"/>
      <c r="CE21" s="200"/>
      <c r="CF21" s="200"/>
      <c r="CG21" s="200"/>
      <c r="CH21" s="200"/>
    </row>
    <row r="22" spans="1:86" ht="16.2" thickTop="1" x14ac:dyDescent="0.25">
      <c r="A22" s="454"/>
      <c r="B22" s="322"/>
      <c r="C22" s="322"/>
      <c r="D22" s="322"/>
      <c r="E22" s="322"/>
      <c r="F22" s="322"/>
      <c r="G22" s="322"/>
      <c r="H22" s="322"/>
      <c r="I22" s="322"/>
      <c r="J22" s="322"/>
      <c r="K22" s="322"/>
      <c r="L22" s="323"/>
      <c r="M22" s="323"/>
      <c r="N22" s="323" t="s">
        <v>52</v>
      </c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406"/>
      <c r="AA22" s="406"/>
      <c r="AB22" s="406"/>
      <c r="AC22" s="557"/>
      <c r="AD22" s="323"/>
      <c r="AE22" s="323"/>
      <c r="AF22" s="323"/>
      <c r="AG22" s="323"/>
      <c r="AH22" s="323"/>
      <c r="AI22" s="323"/>
      <c r="AJ22" s="324"/>
      <c r="AK22" s="323"/>
      <c r="AL22" s="324"/>
      <c r="AM22" s="323"/>
      <c r="AN22" s="324"/>
      <c r="AO22" s="323"/>
      <c r="AP22" s="323"/>
      <c r="AQ22" s="323"/>
      <c r="AR22" s="323"/>
      <c r="AS22" s="323"/>
      <c r="AT22" s="323"/>
      <c r="AU22" s="323"/>
      <c r="AV22" s="323"/>
      <c r="AW22" s="323"/>
      <c r="AX22" s="323"/>
      <c r="AY22" s="323"/>
      <c r="AZ22" s="323"/>
      <c r="BA22" s="323"/>
      <c r="BB22" s="323"/>
      <c r="BC22" s="323"/>
      <c r="BD22" s="323"/>
      <c r="BE22" s="323"/>
      <c r="BF22" s="323"/>
      <c r="BG22" s="323"/>
      <c r="BH22" s="323"/>
      <c r="BI22" s="323"/>
      <c r="BK22" s="322"/>
      <c r="BL22" s="322"/>
      <c r="BM22" s="322"/>
      <c r="BN22" s="322"/>
      <c r="BO22" s="322"/>
      <c r="BP22" s="322"/>
      <c r="BT22" s="281"/>
      <c r="BU22" s="281"/>
    </row>
    <row r="23" spans="1:86" ht="15.6" x14ac:dyDescent="0.25">
      <c r="A23" s="281"/>
      <c r="C23" s="325"/>
      <c r="E23" s="325"/>
      <c r="F23" s="325"/>
      <c r="G23" s="325"/>
      <c r="H23" s="325"/>
      <c r="I23" s="325"/>
      <c r="J23" s="325"/>
      <c r="K23" s="325"/>
      <c r="L23" s="325"/>
      <c r="M23" s="325"/>
      <c r="N23" s="281" t="s">
        <v>52</v>
      </c>
      <c r="O23" s="416" t="s">
        <v>170</v>
      </c>
      <c r="P23" s="417" t="s">
        <v>80</v>
      </c>
      <c r="R23" s="403"/>
      <c r="S23" s="404"/>
      <c r="T23" s="404"/>
      <c r="U23" s="404"/>
      <c r="V23" s="404"/>
      <c r="W23" s="404"/>
      <c r="X23" s="404"/>
      <c r="Y23" s="405"/>
      <c r="Z23" s="407"/>
      <c r="AB23" s="408"/>
      <c r="AJ23" s="280"/>
      <c r="AK23" s="280"/>
      <c r="AL23" s="280"/>
      <c r="AM23" s="327"/>
      <c r="AN23" s="280"/>
      <c r="AO23" s="327"/>
      <c r="AP23" s="327"/>
      <c r="AQ23" s="327"/>
      <c r="AR23" s="327"/>
      <c r="AS23" s="327"/>
      <c r="AT23" s="327"/>
      <c r="AU23" s="327"/>
      <c r="AV23" s="328"/>
      <c r="AW23" s="327"/>
      <c r="AX23" s="327"/>
      <c r="AY23" s="327"/>
      <c r="AZ23" s="327"/>
      <c r="BA23" s="327"/>
      <c r="BB23" s="327"/>
      <c r="BC23" s="327"/>
      <c r="BD23" s="328"/>
      <c r="BE23" s="328"/>
      <c r="BF23" s="328"/>
      <c r="BG23" s="327"/>
      <c r="BT23" s="281"/>
      <c r="BU23" s="281"/>
    </row>
    <row r="24" spans="1:86" ht="15.6" x14ac:dyDescent="0.25">
      <c r="A24" s="329"/>
      <c r="B24" s="329">
        <f>SUM(AI23:AI24)</f>
        <v>0</v>
      </c>
      <c r="C24" s="329">
        <f>SUM(AK23:AK24)</f>
        <v>0</v>
      </c>
      <c r="D24" s="329">
        <f>SUM(AK23:AK24)</f>
        <v>0</v>
      </c>
      <c r="E24" s="329">
        <f>SUM(AO23:AO24)</f>
        <v>0</v>
      </c>
      <c r="F24" s="329">
        <f>SUM(BE23:BE24, BG23:BG24,BC23:BC24)</f>
        <v>0</v>
      </c>
      <c r="G24" s="329"/>
      <c r="H24" s="329">
        <f>SUM(AQ23:AQ24)+SUM(AR23:AR24)</f>
        <v>0</v>
      </c>
      <c r="I24" s="329">
        <f>SUM(AT23:AT24)+SUM(AP23:AP24)</f>
        <v>0</v>
      </c>
      <c r="J24" s="329"/>
      <c r="K24" s="329">
        <f>SUM(AX23:AX24)+SUM(AZ23:AZ24)+SUM(BB23:BB24)+SUM(AV23:AV24)</f>
        <v>0</v>
      </c>
      <c r="M24" s="329"/>
      <c r="P24" s="330" t="str">
        <f>"Subtotal of Costs for "&amp;P23</f>
        <v xml:space="preserve">Subtotal of Costs for Subcontractor Net Costs </v>
      </c>
      <c r="R24" s="280"/>
      <c r="S24" s="280"/>
      <c r="T24" s="280"/>
      <c r="U24" s="280"/>
      <c r="V24" s="280"/>
      <c r="W24" s="280"/>
      <c r="X24" s="280"/>
      <c r="Z24" s="409">
        <f>SUM(AA23:AA24)</f>
        <v>0</v>
      </c>
      <c r="AB24" s="408"/>
      <c r="AJ24" s="332"/>
      <c r="AK24" s="332"/>
      <c r="AL24" s="332"/>
      <c r="AN24" s="332"/>
      <c r="AY24" s="327"/>
      <c r="AZ24" s="327"/>
      <c r="BT24" s="281"/>
      <c r="BU24" s="281"/>
    </row>
    <row r="25" spans="1:86" ht="15.6" x14ac:dyDescent="0.25">
      <c r="A25" s="329"/>
      <c r="B25" s="329"/>
      <c r="C25" s="329"/>
      <c r="D25" s="329"/>
      <c r="E25" s="329"/>
      <c r="F25" s="329"/>
      <c r="G25" s="329"/>
      <c r="H25" s="329"/>
      <c r="I25" s="329"/>
      <c r="J25" s="329"/>
      <c r="K25" s="329"/>
      <c r="M25" s="329"/>
      <c r="N25" s="281" t="s">
        <v>52</v>
      </c>
      <c r="P25" s="330"/>
      <c r="R25" s="280"/>
      <c r="S25" s="280"/>
      <c r="T25" s="280"/>
      <c r="U25" s="280"/>
      <c r="V25" s="280"/>
      <c r="W25" s="280"/>
      <c r="X25" s="280"/>
      <c r="Y25" s="331"/>
      <c r="Z25" s="409"/>
      <c r="AB25" s="408"/>
      <c r="AJ25" s="332"/>
      <c r="AK25" s="332"/>
      <c r="AL25" s="332"/>
      <c r="AN25" s="332"/>
      <c r="AY25" s="327"/>
      <c r="AZ25" s="327"/>
      <c r="BT25" s="281"/>
      <c r="BU25" s="281"/>
    </row>
    <row r="26" spans="1:86" ht="15.6" x14ac:dyDescent="0.25">
      <c r="A26" s="281"/>
      <c r="C26" s="325"/>
      <c r="E26" s="325"/>
      <c r="F26" s="325"/>
      <c r="G26" s="325"/>
      <c r="H26" s="325"/>
      <c r="I26" s="325"/>
      <c r="J26" s="325"/>
      <c r="K26" s="325"/>
      <c r="L26" s="325"/>
      <c r="M26" s="325"/>
      <c r="N26" s="281" t="s">
        <v>52</v>
      </c>
      <c r="P26" s="417" t="s">
        <v>81</v>
      </c>
      <c r="R26" s="403"/>
      <c r="S26" s="404"/>
      <c r="T26" s="404"/>
      <c r="U26" s="404"/>
      <c r="V26" s="404"/>
      <c r="W26" s="404"/>
      <c r="X26" s="404"/>
      <c r="Y26" s="405"/>
      <c r="Z26" s="407"/>
      <c r="AB26" s="408"/>
      <c r="AJ26" s="280"/>
      <c r="AK26" s="280"/>
      <c r="AL26" s="280"/>
      <c r="AM26" s="327"/>
      <c r="AN26" s="280"/>
      <c r="AO26" s="327"/>
      <c r="AP26" s="327"/>
      <c r="AQ26" s="327"/>
      <c r="AR26" s="327"/>
      <c r="AS26" s="327"/>
      <c r="AT26" s="327"/>
      <c r="AU26" s="327"/>
      <c r="AV26" s="328"/>
      <c r="AW26" s="327"/>
      <c r="AX26" s="327"/>
      <c r="AY26" s="327"/>
      <c r="AZ26" s="327"/>
      <c r="BA26" s="327"/>
      <c r="BB26" s="327"/>
      <c r="BC26" s="327"/>
      <c r="BD26" s="328"/>
      <c r="BE26" s="328"/>
      <c r="BF26" s="328"/>
      <c r="BG26" s="327"/>
      <c r="BH26" s="327"/>
      <c r="BI26" s="327"/>
      <c r="BT26" s="281"/>
      <c r="BU26" s="281"/>
    </row>
    <row r="27" spans="1:86" ht="15.6" x14ac:dyDescent="0.3">
      <c r="A27" s="329"/>
      <c r="B27" s="329">
        <f>SUM(AI26:AI27)</f>
        <v>0</v>
      </c>
      <c r="C27" s="329">
        <f>SUM(AK26:AK27)</f>
        <v>0</v>
      </c>
      <c r="D27" s="329">
        <f>SUM(AK26:AK27)</f>
        <v>0</v>
      </c>
      <c r="E27" s="329">
        <f>SUM(AO26:AO27)</f>
        <v>0</v>
      </c>
      <c r="F27" s="329">
        <f>SUM(BE26:BE27, BG26:BG27,BC26:BC27)</f>
        <v>0</v>
      </c>
      <c r="G27" s="329"/>
      <c r="H27" s="329">
        <f>SUM(AQ26:AQ27)+SUM(AR26:AR27)</f>
        <v>0</v>
      </c>
      <c r="I27" s="329">
        <f>SUM(AT26:AT27)+SUM(AP26:AP27)</f>
        <v>0</v>
      </c>
      <c r="J27" s="329"/>
      <c r="K27" s="329">
        <f>SUM(AX26:AX27)+SUM(AZ26:AZ27)+SUM(BB26:BB27)+SUM(AV26:AV27)</f>
        <v>0</v>
      </c>
      <c r="M27" s="329"/>
      <c r="P27" s="330" t="str">
        <f>"Subtotal of Costs for "&amp;P26</f>
        <v>Subtotal of Costs for Materials Net Cost</v>
      </c>
      <c r="R27" s="280"/>
      <c r="S27" s="280"/>
      <c r="T27" s="280"/>
      <c r="U27" s="280"/>
      <c r="V27" s="280"/>
      <c r="W27" s="280"/>
      <c r="X27" s="280"/>
      <c r="Z27" s="192">
        <f>SUM(AA26:AA27)</f>
        <v>0</v>
      </c>
      <c r="AB27" s="408"/>
      <c r="AJ27" s="332"/>
      <c r="AK27" s="332"/>
      <c r="AL27" s="332"/>
      <c r="AN27" s="332"/>
      <c r="AY27" s="327"/>
      <c r="AZ27" s="327"/>
      <c r="BT27" s="281"/>
      <c r="BU27" s="281"/>
    </row>
    <row r="28" spans="1:86" ht="15.6" x14ac:dyDescent="0.25">
      <c r="A28" s="329"/>
      <c r="B28" s="329"/>
      <c r="C28" s="329"/>
      <c r="D28" s="329"/>
      <c r="E28" s="329"/>
      <c r="F28" s="329"/>
      <c r="G28" s="329"/>
      <c r="H28" s="329"/>
      <c r="I28" s="329"/>
      <c r="J28" s="329"/>
      <c r="K28" s="329"/>
      <c r="M28" s="329"/>
      <c r="N28" s="281" t="s">
        <v>52</v>
      </c>
      <c r="P28" s="330"/>
      <c r="R28" s="280"/>
      <c r="S28" s="280"/>
      <c r="T28" s="280"/>
      <c r="U28" s="280"/>
      <c r="V28" s="280"/>
      <c r="W28" s="280"/>
      <c r="X28" s="280"/>
      <c r="Y28" s="331"/>
      <c r="Z28" s="409"/>
      <c r="AB28" s="408"/>
      <c r="AJ28" s="332"/>
      <c r="AK28" s="332"/>
      <c r="AL28" s="332"/>
      <c r="AN28" s="332"/>
      <c r="AY28" s="327"/>
      <c r="AZ28" s="327"/>
      <c r="BT28" s="281"/>
      <c r="BU28" s="281"/>
    </row>
    <row r="29" spans="1:86" ht="15.6" x14ac:dyDescent="0.25">
      <c r="A29" s="281"/>
      <c r="C29" s="325"/>
      <c r="E29" s="325"/>
      <c r="F29" s="325"/>
      <c r="G29" s="325"/>
      <c r="H29" s="325"/>
      <c r="I29" s="325"/>
      <c r="J29" s="325"/>
      <c r="K29" s="325"/>
      <c r="L29" s="325"/>
      <c r="M29" s="325"/>
      <c r="N29" s="281" t="s">
        <v>52</v>
      </c>
      <c r="P29" s="417" t="s">
        <v>82</v>
      </c>
      <c r="R29" s="403"/>
      <c r="S29" s="404"/>
      <c r="T29" s="404"/>
      <c r="U29" s="404"/>
      <c r="V29" s="404"/>
      <c r="W29" s="404"/>
      <c r="X29" s="404"/>
      <c r="Y29" s="405"/>
      <c r="Z29" s="407"/>
      <c r="AB29" s="408"/>
      <c r="AJ29" s="280"/>
      <c r="AK29" s="280"/>
      <c r="AL29" s="280"/>
      <c r="AM29" s="327"/>
      <c r="AN29" s="280"/>
      <c r="AO29" s="327"/>
      <c r="AP29" s="327"/>
      <c r="AQ29" s="327"/>
      <c r="AR29" s="327"/>
      <c r="AS29" s="327"/>
      <c r="AT29" s="327"/>
      <c r="AU29" s="327"/>
      <c r="AV29" s="328"/>
      <c r="AW29" s="327"/>
      <c r="AX29" s="327"/>
      <c r="AY29" s="327"/>
      <c r="AZ29" s="327"/>
      <c r="BA29" s="327"/>
      <c r="BB29" s="327"/>
      <c r="BC29" s="327"/>
      <c r="BD29" s="328"/>
      <c r="BE29" s="328"/>
      <c r="BF29" s="328"/>
      <c r="BG29" s="327"/>
      <c r="BH29" s="327"/>
      <c r="BI29" s="327"/>
      <c r="BT29" s="281"/>
      <c r="BU29" s="281"/>
    </row>
    <row r="30" spans="1:86" ht="15.6" x14ac:dyDescent="0.25">
      <c r="A30" s="329"/>
      <c r="B30" s="329">
        <f>SUM(AI29:AI30)</f>
        <v>0</v>
      </c>
      <c r="C30" s="329">
        <f>SUM(AK29:AK30)</f>
        <v>0</v>
      </c>
      <c r="D30" s="329">
        <f>SUM(AK29:AK30)</f>
        <v>0</v>
      </c>
      <c r="E30" s="329">
        <f>SUM(AO29:AO30)</f>
        <v>0</v>
      </c>
      <c r="F30" s="329">
        <f>SUM(BE29:BE30, BG29:BG30,BC29:BC30)</f>
        <v>0</v>
      </c>
      <c r="G30" s="329"/>
      <c r="H30" s="329">
        <f>SUM(AQ29:AQ30)+SUM(AR29:AR30)</f>
        <v>0</v>
      </c>
      <c r="I30" s="329">
        <f>SUM(AT29:AT30)+SUM(AP29:AP30)</f>
        <v>0</v>
      </c>
      <c r="J30" s="329"/>
      <c r="K30" s="329">
        <f>SUM(AX29:AX30)+SUM(AZ29:AZ30)+SUM(BB29:BB30)+SUM(AV29:AV30)</f>
        <v>0</v>
      </c>
      <c r="M30" s="329"/>
      <c r="P30" s="330" t="str">
        <f>"Subtotal of Costs for "&amp;P29</f>
        <v xml:space="preserve">Subtotal of Costs for Net Plant Costs </v>
      </c>
      <c r="R30" s="280"/>
      <c r="S30" s="280"/>
      <c r="T30" s="280"/>
      <c r="U30" s="280"/>
      <c r="V30" s="280"/>
      <c r="W30" s="280"/>
      <c r="X30" s="280"/>
      <c r="Z30" s="410">
        <f>SUM(AA29:AA30)</f>
        <v>0</v>
      </c>
      <c r="AB30" s="408"/>
      <c r="AJ30" s="332"/>
      <c r="AK30" s="332"/>
      <c r="AL30" s="332"/>
      <c r="AN30" s="332"/>
      <c r="AY30" s="327"/>
      <c r="AZ30" s="327"/>
      <c r="BM30" s="333"/>
      <c r="BT30" s="281"/>
      <c r="BU30" s="281"/>
    </row>
    <row r="31" spans="1:86" ht="15.6" x14ac:dyDescent="0.25">
      <c r="A31" s="329"/>
      <c r="B31" s="329"/>
      <c r="C31" s="329"/>
      <c r="D31" s="329"/>
      <c r="E31" s="329"/>
      <c r="F31" s="329"/>
      <c r="G31" s="329"/>
      <c r="H31" s="329"/>
      <c r="I31" s="329"/>
      <c r="J31" s="329"/>
      <c r="K31" s="329"/>
      <c r="M31" s="329"/>
      <c r="N31" s="281" t="s">
        <v>52</v>
      </c>
      <c r="P31" s="330"/>
      <c r="R31" s="280"/>
      <c r="S31" s="280"/>
      <c r="T31" s="280"/>
      <c r="U31" s="280"/>
      <c r="V31" s="280"/>
      <c r="W31" s="280"/>
      <c r="X31" s="280"/>
      <c r="Y31" s="331"/>
      <c r="Z31" s="409"/>
      <c r="AB31" s="408"/>
      <c r="AJ31" s="332"/>
      <c r="AK31" s="332"/>
      <c r="AL31" s="332"/>
      <c r="AN31" s="332"/>
      <c r="AY31" s="327"/>
      <c r="AZ31" s="327"/>
      <c r="BT31" s="281"/>
      <c r="BU31" s="281"/>
    </row>
    <row r="32" spans="1:86" ht="15.6" x14ac:dyDescent="0.25">
      <c r="A32" s="281"/>
      <c r="C32" s="325"/>
      <c r="E32" s="325"/>
      <c r="F32" s="325"/>
      <c r="G32" s="325"/>
      <c r="H32" s="325"/>
      <c r="I32" s="325"/>
      <c r="J32" s="325"/>
      <c r="K32" s="325"/>
      <c r="L32" s="325"/>
      <c r="M32" s="325"/>
      <c r="N32" s="281" t="s">
        <v>52</v>
      </c>
      <c r="P32" s="417" t="s">
        <v>83</v>
      </c>
      <c r="R32" s="403"/>
      <c r="S32" s="404"/>
      <c r="T32" s="404"/>
      <c r="U32" s="404"/>
      <c r="V32" s="404"/>
      <c r="W32" s="404"/>
      <c r="X32" s="404"/>
      <c r="Y32" s="405"/>
      <c r="AB32" s="408"/>
      <c r="AJ32" s="280"/>
      <c r="AK32" s="280"/>
      <c r="AL32" s="280"/>
      <c r="AM32" s="327"/>
      <c r="AN32" s="280"/>
      <c r="AO32" s="327"/>
      <c r="AP32" s="327"/>
      <c r="AQ32" s="327"/>
      <c r="AR32" s="327"/>
      <c r="AS32" s="327"/>
      <c r="AT32" s="327"/>
      <c r="AU32" s="327"/>
      <c r="AV32" s="328"/>
      <c r="AW32" s="327"/>
      <c r="AX32" s="327"/>
      <c r="AY32" s="327"/>
      <c r="AZ32" s="327"/>
      <c r="BA32" s="327"/>
      <c r="BB32" s="327"/>
      <c r="BC32" s="327"/>
      <c r="BD32" s="328"/>
      <c r="BE32" s="328"/>
      <c r="BF32" s="328"/>
      <c r="BG32" s="327"/>
      <c r="BH32" s="327"/>
      <c r="BI32" s="327"/>
      <c r="BJ32" s="327"/>
      <c r="BK32" s="327"/>
      <c r="BL32" s="327"/>
      <c r="BT32" s="281"/>
      <c r="BU32" s="281"/>
    </row>
    <row r="33" spans="1:73" ht="15.6" x14ac:dyDescent="0.25">
      <c r="A33" s="329"/>
      <c r="B33" s="329">
        <f>SUM(AI32:AI33)</f>
        <v>0</v>
      </c>
      <c r="C33" s="329">
        <f>SUM(AK32:AK33)</f>
        <v>0</v>
      </c>
      <c r="D33" s="329">
        <f>SUM(AK32:AK33)</f>
        <v>0</v>
      </c>
      <c r="E33" s="329">
        <f>SUM(AO32:AO33)</f>
        <v>0</v>
      </c>
      <c r="F33" s="329">
        <f>SUM(BE32:BE33, BG32:BG33,BC32:BC33)</f>
        <v>0</v>
      </c>
      <c r="G33" s="329"/>
      <c r="H33" s="329">
        <f>SUM(AQ32:AQ33)+SUM(AR32:AR33)</f>
        <v>0</v>
      </c>
      <c r="I33" s="329">
        <f>SUM(AT32:AT33)+SUM(AP32:AP33)</f>
        <v>0</v>
      </c>
      <c r="J33" s="329"/>
      <c r="K33" s="329">
        <f>SUM(AX32:AX33)+SUM(AZ32:AZ33)+SUM(BB32:BB33)+SUM(AV32:AV33)</f>
        <v>0</v>
      </c>
      <c r="M33" s="329"/>
      <c r="P33" s="330" t="str">
        <f>"Subtotal of Costs for "&amp;P32</f>
        <v>Subtotal of Costs for Net Labour Costs</v>
      </c>
      <c r="R33" s="280"/>
      <c r="S33" s="280"/>
      <c r="T33" s="280"/>
      <c r="U33" s="280"/>
      <c r="V33" s="280"/>
      <c r="W33" s="280"/>
      <c r="X33" s="280"/>
      <c r="Z33" s="410">
        <f>SUM(AA32:AA33)</f>
        <v>0</v>
      </c>
      <c r="AB33" s="408"/>
      <c r="AJ33" s="332"/>
      <c r="AK33" s="332"/>
      <c r="AL33" s="332"/>
      <c r="AN33" s="332"/>
      <c r="AY33" s="327"/>
      <c r="AZ33" s="327"/>
      <c r="BT33" s="281"/>
      <c r="BU33" s="281"/>
    </row>
    <row r="34" spans="1:73" ht="15.6" x14ac:dyDescent="0.25">
      <c r="A34" s="329"/>
      <c r="B34" s="329"/>
      <c r="C34" s="329"/>
      <c r="D34" s="329"/>
      <c r="E34" s="329"/>
      <c r="F34" s="329"/>
      <c r="G34" s="329"/>
      <c r="H34" s="329"/>
      <c r="I34" s="329"/>
      <c r="J34" s="329"/>
      <c r="K34" s="329"/>
      <c r="M34" s="329"/>
      <c r="N34" s="281" t="s">
        <v>52</v>
      </c>
      <c r="P34" s="330"/>
      <c r="R34" s="280"/>
      <c r="S34" s="280"/>
      <c r="T34" s="280"/>
      <c r="U34" s="280"/>
      <c r="V34" s="280"/>
      <c r="W34" s="280"/>
      <c r="X34" s="280"/>
      <c r="Y34" s="331"/>
      <c r="Z34" s="409"/>
      <c r="AB34" s="408"/>
      <c r="AJ34" s="332"/>
      <c r="AK34" s="332"/>
      <c r="AL34" s="332"/>
      <c r="AN34" s="332"/>
      <c r="AY34" s="327"/>
      <c r="AZ34" s="327"/>
      <c r="BT34" s="281"/>
      <c r="BU34" s="281"/>
    </row>
    <row r="35" spans="1:73" ht="15.6" x14ac:dyDescent="0.25">
      <c r="A35" s="329"/>
      <c r="B35" s="329"/>
      <c r="C35" s="329"/>
      <c r="D35" s="329"/>
      <c r="E35" s="329"/>
      <c r="F35" s="329"/>
      <c r="G35" s="329"/>
      <c r="H35" s="329"/>
      <c r="I35" s="329"/>
      <c r="J35" s="329"/>
      <c r="K35" s="329"/>
      <c r="M35" s="329"/>
      <c r="N35" s="281" t="s">
        <v>52</v>
      </c>
      <c r="P35" s="330" t="s">
        <v>187</v>
      </c>
      <c r="R35" s="280"/>
      <c r="S35" s="280"/>
      <c r="T35" s="280"/>
      <c r="U35" s="280"/>
      <c r="V35" s="280"/>
      <c r="W35" s="280"/>
      <c r="X35" s="280"/>
      <c r="Y35" s="331"/>
      <c r="AA35" s="409">
        <f>-SUMIF(AA22:AA34, "&lt;0")</f>
        <v>0</v>
      </c>
      <c r="AC35" s="559">
        <f>-SUMIF(AC23:AC33, "&lt;0")</f>
        <v>0</v>
      </c>
      <c r="AJ35" s="332"/>
      <c r="AK35" s="332"/>
      <c r="AL35" s="332"/>
      <c r="AN35" s="332"/>
      <c r="AY35" s="327"/>
      <c r="AZ35" s="327"/>
      <c r="BT35" s="281"/>
      <c r="BU35" s="281"/>
    </row>
    <row r="36" spans="1:73" ht="16.2" thickBot="1" x14ac:dyDescent="0.3">
      <c r="A36" s="329"/>
      <c r="B36" s="329"/>
      <c r="C36" s="329"/>
      <c r="D36" s="329"/>
      <c r="E36" s="329"/>
      <c r="F36" s="329"/>
      <c r="G36" s="329"/>
      <c r="H36" s="329"/>
      <c r="I36" s="329"/>
      <c r="J36" s="329"/>
      <c r="K36" s="329"/>
      <c r="M36" s="329"/>
      <c r="N36" s="281" t="s">
        <v>52</v>
      </c>
      <c r="P36" s="330" t="s">
        <v>188</v>
      </c>
      <c r="R36" s="280"/>
      <c r="S36" s="280"/>
      <c r="T36" s="280"/>
      <c r="U36" s="280"/>
      <c r="V36" s="280"/>
      <c r="W36" s="280"/>
      <c r="X36" s="280"/>
      <c r="Y36" s="331"/>
      <c r="AA36" s="409">
        <f>SUMIF(AA22:AA34, "&gt;0")</f>
        <v>0</v>
      </c>
      <c r="AB36" s="326"/>
      <c r="AC36" s="559">
        <f>SUMIF(AC23:AC33, "&gt;0")</f>
        <v>0</v>
      </c>
      <c r="AJ36" s="332"/>
      <c r="AK36" s="332"/>
      <c r="AL36" s="332"/>
      <c r="AN36" s="332"/>
      <c r="AY36" s="327"/>
      <c r="AZ36" s="327"/>
      <c r="BT36" s="281"/>
      <c r="BU36" s="281"/>
    </row>
    <row r="37" spans="1:73" ht="16.2" thickBot="1" x14ac:dyDescent="0.3">
      <c r="A37" s="329"/>
      <c r="B37" s="329"/>
      <c r="C37" s="329"/>
      <c r="D37" s="329"/>
      <c r="E37" s="329"/>
      <c r="F37" s="329"/>
      <c r="G37" s="329"/>
      <c r="H37" s="329"/>
      <c r="I37" s="329"/>
      <c r="J37" s="329"/>
      <c r="K37" s="329"/>
      <c r="M37" s="329"/>
      <c r="N37" s="281" t="s">
        <v>52</v>
      </c>
      <c r="O37" s="334" t="s">
        <v>189</v>
      </c>
      <c r="P37" s="214" t="s">
        <v>190</v>
      </c>
      <c r="Q37" s="335"/>
      <c r="R37" s="336"/>
      <c r="S37" s="336"/>
      <c r="T37" s="336"/>
      <c r="U37" s="336"/>
      <c r="V37" s="336"/>
      <c r="W37" s="336"/>
      <c r="X37" s="336"/>
      <c r="Y37" s="337"/>
      <c r="Z37" s="642"/>
      <c r="AA37" s="450">
        <f>-AA35+AA36</f>
        <v>0</v>
      </c>
      <c r="AC37" s="560">
        <f>-AC35+AC36</f>
        <v>0</v>
      </c>
      <c r="AJ37" s="332"/>
      <c r="AK37" s="332"/>
      <c r="AL37" s="332"/>
      <c r="AN37" s="332"/>
      <c r="AY37" s="327"/>
      <c r="AZ37" s="327"/>
      <c r="BS37" s="443"/>
      <c r="BT37" s="281"/>
      <c r="BU37" s="281"/>
    </row>
    <row r="38" spans="1:73" ht="16.2" thickBot="1" x14ac:dyDescent="0.3">
      <c r="A38" s="329"/>
      <c r="B38" s="329"/>
      <c r="C38" s="329"/>
      <c r="D38" s="329"/>
      <c r="E38" s="329"/>
      <c r="F38" s="329"/>
      <c r="G38" s="329"/>
      <c r="H38" s="329"/>
      <c r="I38" s="329"/>
      <c r="J38" s="329"/>
      <c r="K38" s="329"/>
      <c r="M38" s="329"/>
      <c r="O38" s="339"/>
      <c r="P38" s="240"/>
      <c r="Q38" s="339"/>
      <c r="R38" s="340"/>
      <c r="S38" s="340"/>
      <c r="T38" s="340"/>
      <c r="U38" s="340"/>
      <c r="V38" s="340"/>
      <c r="W38" s="340"/>
      <c r="X38" s="340"/>
      <c r="Y38" s="341"/>
      <c r="AA38" s="411"/>
      <c r="AB38" s="339"/>
      <c r="AJ38" s="332"/>
      <c r="AK38" s="332"/>
      <c r="AL38" s="332"/>
      <c r="AN38" s="332"/>
      <c r="AY38" s="327"/>
      <c r="AZ38" s="327"/>
      <c r="BT38" s="281"/>
      <c r="BU38" s="281"/>
    </row>
    <row r="39" spans="1:73" ht="15.6" x14ac:dyDescent="0.25">
      <c r="A39" s="281"/>
      <c r="C39" s="325"/>
      <c r="E39" s="325"/>
      <c r="F39" s="325"/>
      <c r="G39" s="325"/>
      <c r="H39" s="325"/>
      <c r="I39" s="325"/>
      <c r="J39" s="325"/>
      <c r="K39" s="325"/>
      <c r="L39" s="325"/>
      <c r="M39" s="325"/>
      <c r="N39" s="281" t="s">
        <v>52</v>
      </c>
      <c r="O39" s="342" t="s">
        <v>175</v>
      </c>
      <c r="P39" s="343" t="s">
        <v>173</v>
      </c>
      <c r="Q39" s="344">
        <f>IF(O41=1,On_Site,0)</f>
        <v>0.05</v>
      </c>
      <c r="R39" s="345"/>
      <c r="S39" s="346"/>
      <c r="T39" s="346"/>
      <c r="U39" s="346"/>
      <c r="V39" s="346"/>
      <c r="W39" s="346"/>
      <c r="X39" s="346"/>
      <c r="Y39" s="339"/>
      <c r="Z39" s="643"/>
      <c r="AA39" s="441">
        <f>IF(AA37&lt;=0,0,(+AA37*Q39))</f>
        <v>0</v>
      </c>
      <c r="AB39" s="449"/>
      <c r="AC39" s="561">
        <f>IF(AC37&lt;=0,0,(+AC37*Q39))</f>
        <v>0</v>
      </c>
      <c r="AI39" s="347">
        <f>AC39</f>
        <v>0</v>
      </c>
      <c r="AJ39" s="280"/>
      <c r="AK39" s="280"/>
      <c r="AL39" s="280"/>
      <c r="AM39" s="327"/>
      <c r="AN39" s="280"/>
      <c r="AO39" s="327"/>
      <c r="AP39" s="327"/>
      <c r="AQ39" s="327"/>
      <c r="AR39" s="327"/>
      <c r="AS39" s="327"/>
      <c r="AT39" s="327"/>
      <c r="AU39" s="327"/>
      <c r="AV39" s="328"/>
      <c r="AW39" s="327"/>
      <c r="AX39" s="327"/>
      <c r="AY39" s="327"/>
      <c r="AZ39" s="327"/>
      <c r="BA39" s="327"/>
      <c r="BB39" s="327"/>
      <c r="BC39" s="327"/>
      <c r="BD39" s="328"/>
      <c r="BE39" s="328"/>
      <c r="BF39" s="328"/>
      <c r="BG39" s="327"/>
      <c r="BH39" s="327"/>
      <c r="BI39" s="348">
        <f>AA39</f>
        <v>0</v>
      </c>
      <c r="BJ39" s="327"/>
      <c r="BK39" s="327"/>
      <c r="BL39" s="327"/>
      <c r="BT39" s="281"/>
      <c r="BU39" s="281"/>
    </row>
    <row r="40" spans="1:73" ht="16.2" thickBot="1" x14ac:dyDescent="0.3">
      <c r="A40" s="329"/>
      <c r="B40" s="329">
        <f>SUM(AI39:AI40)</f>
        <v>0</v>
      </c>
      <c r="C40" s="329">
        <f>SUM(AK39:AK40)</f>
        <v>0</v>
      </c>
      <c r="D40" s="329">
        <f>SUM(AK39:AK40)</f>
        <v>0</v>
      </c>
      <c r="E40" s="329">
        <f>SUM(AO39:AO40)</f>
        <v>0</v>
      </c>
      <c r="F40" s="329">
        <f>SUM(BE39:BE40, BG39:BG40,BC39:BC40)</f>
        <v>0</v>
      </c>
      <c r="G40" s="329"/>
      <c r="H40" s="329">
        <f>SUM(AQ39:AQ40)+SUM(AR39:AR40)</f>
        <v>0</v>
      </c>
      <c r="I40" s="329">
        <f>SUM(AT39:AT40)+SUM(AP39:AP40)</f>
        <v>0</v>
      </c>
      <c r="J40" s="329"/>
      <c r="K40" s="329">
        <f>SUM(AX39:AX40)+SUM(AZ39:AZ40)+SUM(BB39:BB40)+SUM(AV39:AV40)</f>
        <v>0</v>
      </c>
      <c r="M40" s="329"/>
      <c r="O40" s="349"/>
      <c r="P40" s="220" t="str">
        <f>"Subtotal of Costs for "&amp;P39</f>
        <v>Subtotal of Costs for Nominated On-site overheads (9.3.9)</v>
      </c>
      <c r="Q40" s="326"/>
      <c r="R40" s="350"/>
      <c r="S40" s="350"/>
      <c r="T40" s="350"/>
      <c r="U40" s="350"/>
      <c r="V40" s="350"/>
      <c r="W40" s="350"/>
      <c r="X40" s="350"/>
      <c r="Y40" s="326"/>
      <c r="Z40" s="644"/>
      <c r="AA40" s="645">
        <f>AA37+AA39</f>
        <v>0</v>
      </c>
      <c r="AC40" s="562">
        <f>AC37+AC39</f>
        <v>0</v>
      </c>
      <c r="AJ40" s="332"/>
      <c r="AK40" s="332"/>
      <c r="AL40" s="332"/>
      <c r="AN40" s="332"/>
      <c r="AY40" s="327"/>
      <c r="AZ40" s="327"/>
      <c r="BT40" s="281"/>
      <c r="BU40" s="281"/>
    </row>
    <row r="41" spans="1:73" ht="15.6" x14ac:dyDescent="0.25">
      <c r="A41" s="329"/>
      <c r="B41" s="329"/>
      <c r="C41" s="329"/>
      <c r="D41" s="329"/>
      <c r="E41" s="329"/>
      <c r="F41" s="329"/>
      <c r="G41" s="329"/>
      <c r="H41" s="329"/>
      <c r="I41" s="329"/>
      <c r="J41" s="329"/>
      <c r="K41" s="329"/>
      <c r="M41" s="329"/>
      <c r="O41" s="552">
        <v>1</v>
      </c>
      <c r="P41" s="417" t="s">
        <v>226</v>
      </c>
      <c r="R41" s="280"/>
      <c r="S41" s="280"/>
      <c r="T41" s="280"/>
      <c r="U41" s="280"/>
      <c r="V41" s="280"/>
      <c r="W41" s="280"/>
      <c r="X41" s="280"/>
      <c r="AA41" s="633"/>
      <c r="AB41" s="339"/>
      <c r="AC41" s="563"/>
      <c r="AJ41" s="332"/>
      <c r="AK41" s="332"/>
      <c r="AL41" s="332"/>
      <c r="AN41" s="332"/>
      <c r="AY41" s="327"/>
      <c r="AZ41" s="327"/>
      <c r="BT41" s="281"/>
      <c r="BU41" s="281"/>
    </row>
    <row r="42" spans="1:73" ht="16.2" thickBot="1" x14ac:dyDescent="0.3">
      <c r="A42" s="329"/>
      <c r="B42" s="329"/>
      <c r="C42" s="329"/>
      <c r="D42" s="329"/>
      <c r="E42" s="329"/>
      <c r="F42" s="329"/>
      <c r="G42" s="329"/>
      <c r="H42" s="329"/>
      <c r="I42" s="329"/>
      <c r="J42" s="329"/>
      <c r="K42" s="329"/>
      <c r="M42" s="329"/>
      <c r="P42" s="330"/>
      <c r="R42" s="280"/>
      <c r="S42" s="280"/>
      <c r="T42" s="280"/>
      <c r="U42" s="280"/>
      <c r="V42" s="280"/>
      <c r="W42" s="280"/>
      <c r="X42" s="280"/>
      <c r="Y42" s="331"/>
      <c r="AA42" s="409"/>
      <c r="AJ42" s="332"/>
      <c r="AK42" s="332"/>
      <c r="AL42" s="332"/>
      <c r="AN42" s="332"/>
      <c r="AY42" s="327"/>
      <c r="AZ42" s="327"/>
      <c r="BT42" s="281"/>
      <c r="BU42" s="281"/>
    </row>
    <row r="43" spans="1:73" ht="15.6" x14ac:dyDescent="0.25">
      <c r="A43" s="281"/>
      <c r="C43" s="325"/>
      <c r="E43" s="325"/>
      <c r="F43" s="325"/>
      <c r="G43" s="325"/>
      <c r="H43" s="325"/>
      <c r="I43" s="325"/>
      <c r="J43" s="325"/>
      <c r="K43" s="325"/>
      <c r="L43" s="325"/>
      <c r="M43" s="325"/>
      <c r="N43" s="281" t="s">
        <v>52</v>
      </c>
      <c r="O43" s="342" t="s">
        <v>176</v>
      </c>
      <c r="P43" s="343" t="s">
        <v>174</v>
      </c>
      <c r="Q43" s="344">
        <f>IF(O45=1,Off_Site,0)</f>
        <v>0.05</v>
      </c>
      <c r="R43" s="345"/>
      <c r="S43" s="346"/>
      <c r="T43" s="346"/>
      <c r="U43" s="346"/>
      <c r="V43" s="346"/>
      <c r="W43" s="346"/>
      <c r="X43" s="346"/>
      <c r="Y43" s="339"/>
      <c r="Z43" s="643"/>
      <c r="AA43" s="441">
        <f>IF(AA37&lt;=0,0,(+AA40*Q43))</f>
        <v>0</v>
      </c>
      <c r="AB43" s="449"/>
      <c r="AC43" s="561">
        <f>IF(AC37&lt;=0,0,(+AC40*Q43))</f>
        <v>0</v>
      </c>
      <c r="AI43" s="347">
        <f>AC43</f>
        <v>0</v>
      </c>
      <c r="AJ43" s="280"/>
      <c r="AK43" s="280"/>
      <c r="AL43" s="280"/>
      <c r="AM43" s="327"/>
      <c r="AN43" s="280"/>
      <c r="AO43" s="327"/>
      <c r="AP43" s="327"/>
      <c r="AQ43" s="327"/>
      <c r="AR43" s="327"/>
      <c r="AS43" s="327"/>
      <c r="AT43" s="327"/>
      <c r="AU43" s="327"/>
      <c r="AV43" s="328"/>
      <c r="AW43" s="327"/>
      <c r="AX43" s="327"/>
      <c r="AY43" s="327"/>
      <c r="AZ43" s="327"/>
      <c r="BA43" s="327"/>
      <c r="BB43" s="327"/>
      <c r="BC43" s="327"/>
      <c r="BD43" s="328"/>
      <c r="BE43" s="328"/>
      <c r="BF43" s="328"/>
      <c r="BG43" s="327"/>
      <c r="BH43" s="327"/>
      <c r="BI43" s="348">
        <f>AA43</f>
        <v>0</v>
      </c>
      <c r="BJ43" s="327"/>
      <c r="BK43" s="327"/>
      <c r="BL43" s="327"/>
      <c r="BT43" s="281"/>
      <c r="BU43" s="281"/>
    </row>
    <row r="44" spans="1:73" ht="16.2" thickBot="1" x14ac:dyDescent="0.3">
      <c r="A44" s="329"/>
      <c r="B44" s="329">
        <f>SUM(AI43:AI44)</f>
        <v>0</v>
      </c>
      <c r="C44" s="329">
        <f>SUM(AK43:AK44)</f>
        <v>0</v>
      </c>
      <c r="D44" s="329">
        <f>SUM(AK43:AK44)</f>
        <v>0</v>
      </c>
      <c r="E44" s="329">
        <f>SUM(AO43:AO44)</f>
        <v>0</v>
      </c>
      <c r="F44" s="329">
        <f>SUM(BE43:BE44, BG43:BG44,BC43:BC44)</f>
        <v>0</v>
      </c>
      <c r="G44" s="329"/>
      <c r="H44" s="329">
        <f>SUM(AQ43:AQ44)+SUM(AR43:AR44)</f>
        <v>0</v>
      </c>
      <c r="I44" s="329">
        <f>SUM(AT43:AT44)+SUM(AP43:AP44)</f>
        <v>0</v>
      </c>
      <c r="J44" s="329"/>
      <c r="K44" s="329">
        <f>SUM(AX43:AX44)+SUM(AZ43:AZ44)+SUM(BB43:BB44)+SUM(AV43:AV44)</f>
        <v>0</v>
      </c>
      <c r="M44" s="329"/>
      <c r="O44" s="349"/>
      <c r="P44" s="220" t="str">
        <f>"Subtotal of Costs for "&amp;P43</f>
        <v>Subtotal of Costs for Nominated Off-site overheads (9.3.10)</v>
      </c>
      <c r="Q44" s="326"/>
      <c r="R44" s="350"/>
      <c r="S44" s="350"/>
      <c r="T44" s="350"/>
      <c r="U44" s="350"/>
      <c r="V44" s="350"/>
      <c r="W44" s="350"/>
      <c r="X44" s="350"/>
      <c r="Y44" s="326"/>
      <c r="Z44" s="644"/>
      <c r="AA44" s="645">
        <f>AA40+AA43</f>
        <v>0</v>
      </c>
      <c r="AC44" s="562">
        <f>AC40+AC43</f>
        <v>0</v>
      </c>
      <c r="AJ44" s="332"/>
      <c r="AK44" s="332"/>
      <c r="AL44" s="332"/>
      <c r="AN44" s="332"/>
      <c r="AY44" s="327"/>
      <c r="AZ44" s="327"/>
      <c r="BT44" s="281"/>
      <c r="BU44" s="281"/>
    </row>
    <row r="45" spans="1:73" ht="15.6" x14ac:dyDescent="0.25">
      <c r="A45" s="329"/>
      <c r="B45" s="329"/>
      <c r="C45" s="329"/>
      <c r="D45" s="329"/>
      <c r="E45" s="329"/>
      <c r="F45" s="329"/>
      <c r="G45" s="329"/>
      <c r="H45" s="329"/>
      <c r="I45" s="329"/>
      <c r="J45" s="329"/>
      <c r="K45" s="329"/>
      <c r="M45" s="329"/>
      <c r="O45" s="552">
        <v>1</v>
      </c>
      <c r="P45" s="417" t="s">
        <v>226</v>
      </c>
      <c r="R45" s="280"/>
      <c r="S45" s="280"/>
      <c r="T45" s="280"/>
      <c r="U45" s="280"/>
      <c r="V45" s="280"/>
      <c r="W45" s="280"/>
      <c r="X45" s="280"/>
      <c r="AA45" s="633"/>
      <c r="AB45" s="339"/>
      <c r="AC45" s="563"/>
      <c r="AJ45" s="332"/>
      <c r="AK45" s="332"/>
      <c r="AL45" s="332"/>
      <c r="AN45" s="332"/>
      <c r="AY45" s="327"/>
      <c r="AZ45" s="327"/>
      <c r="BT45" s="281"/>
      <c r="BU45" s="281"/>
    </row>
    <row r="46" spans="1:73" ht="16.2" thickBot="1" x14ac:dyDescent="0.3">
      <c r="A46" s="329"/>
      <c r="B46" s="329"/>
      <c r="C46" s="329"/>
      <c r="D46" s="329"/>
      <c r="E46" s="329"/>
      <c r="F46" s="329"/>
      <c r="G46" s="329"/>
      <c r="H46" s="329"/>
      <c r="I46" s="329"/>
      <c r="J46" s="329"/>
      <c r="K46" s="329"/>
      <c r="M46" s="329"/>
      <c r="P46" s="330"/>
      <c r="R46" s="280"/>
      <c r="S46" s="280"/>
      <c r="T46" s="280"/>
      <c r="U46" s="280"/>
      <c r="V46" s="280"/>
      <c r="W46" s="280"/>
      <c r="X46" s="280"/>
      <c r="Y46" s="331"/>
      <c r="AA46" s="409"/>
      <c r="AJ46" s="332"/>
      <c r="AK46" s="332"/>
      <c r="AL46" s="332"/>
      <c r="AN46" s="332"/>
      <c r="AY46" s="327"/>
      <c r="AZ46" s="327"/>
      <c r="BT46" s="281"/>
      <c r="BU46" s="281"/>
    </row>
    <row r="47" spans="1:73" ht="16.2" thickBot="1" x14ac:dyDescent="0.3">
      <c r="A47" s="329"/>
      <c r="B47" s="329"/>
      <c r="C47" s="329"/>
      <c r="D47" s="329"/>
      <c r="E47" s="329"/>
      <c r="F47" s="329"/>
      <c r="G47" s="329"/>
      <c r="H47" s="329"/>
      <c r="I47" s="329"/>
      <c r="J47" s="329"/>
      <c r="K47" s="329"/>
      <c r="M47" s="329"/>
      <c r="O47" s="334" t="s">
        <v>182</v>
      </c>
      <c r="P47" s="338" t="s">
        <v>183</v>
      </c>
      <c r="Q47" s="256">
        <f>O59</f>
        <v>0</v>
      </c>
      <c r="R47" s="335"/>
      <c r="S47" s="335"/>
      <c r="T47" s="335"/>
      <c r="U47" s="338"/>
      <c r="V47" s="336"/>
      <c r="W47" s="336"/>
      <c r="X47" s="336"/>
      <c r="Y47" s="338">
        <f>Q59</f>
        <v>0</v>
      </c>
      <c r="Z47" s="642"/>
      <c r="AA47" s="442">
        <f>Y47*Q47</f>
        <v>0</v>
      </c>
      <c r="AB47" s="449"/>
      <c r="AC47" s="560">
        <f>AA47</f>
        <v>0</v>
      </c>
      <c r="AJ47" s="332"/>
      <c r="AK47" s="332"/>
      <c r="AL47" s="332"/>
      <c r="AN47" s="332"/>
      <c r="AY47" s="327"/>
      <c r="AZ47" s="327"/>
      <c r="BI47" s="294"/>
      <c r="BT47" s="281"/>
      <c r="BU47" s="281"/>
    </row>
    <row r="48" spans="1:73" ht="15.6" x14ac:dyDescent="0.25">
      <c r="A48" s="329"/>
      <c r="B48" s="329"/>
      <c r="C48" s="329"/>
      <c r="D48" s="329"/>
      <c r="E48" s="329"/>
      <c r="F48" s="329"/>
      <c r="G48" s="329"/>
      <c r="H48" s="329"/>
      <c r="I48" s="329"/>
      <c r="J48" s="329"/>
      <c r="K48" s="329"/>
      <c r="M48" s="329"/>
      <c r="O48" s="255" t="s">
        <v>184</v>
      </c>
      <c r="P48" s="332"/>
      <c r="Q48" s="351"/>
      <c r="U48" s="332"/>
      <c r="V48" s="280"/>
      <c r="W48" s="280"/>
      <c r="X48" s="280"/>
      <c r="Y48" s="280">
        <f>AA39+AA43</f>
        <v>0</v>
      </c>
      <c r="AA48" s="409"/>
      <c r="AB48" s="339"/>
      <c r="AJ48" s="332"/>
      <c r="AK48" s="332"/>
      <c r="AL48" s="332"/>
      <c r="AN48" s="332"/>
      <c r="AY48" s="327"/>
      <c r="AZ48" s="327"/>
      <c r="BT48" s="281"/>
      <c r="BU48" s="281"/>
    </row>
    <row r="49" spans="1:74" ht="15.6" x14ac:dyDescent="0.25">
      <c r="A49" s="329"/>
      <c r="B49" s="329"/>
      <c r="C49" s="329"/>
      <c r="D49" s="329"/>
      <c r="E49" s="329"/>
      <c r="F49" s="329"/>
      <c r="G49" s="329"/>
      <c r="H49" s="329"/>
      <c r="I49" s="329"/>
      <c r="J49" s="329"/>
      <c r="K49" s="329"/>
      <c r="M49" s="329"/>
      <c r="O49" s="255" t="s">
        <v>185</v>
      </c>
      <c r="P49" s="332"/>
      <c r="Q49" s="351"/>
      <c r="U49" s="332"/>
      <c r="V49" s="280"/>
      <c r="W49" s="280"/>
      <c r="X49" s="280"/>
      <c r="Y49" s="280">
        <f>AA47-Y48</f>
        <v>0</v>
      </c>
      <c r="AA49" s="412">
        <f>IF(Y49&gt;0,Y49,0)</f>
        <v>0</v>
      </c>
      <c r="AC49" s="564">
        <f>IF(Y49&gt;0,Y49,0)</f>
        <v>0</v>
      </c>
      <c r="AJ49" s="332"/>
      <c r="AK49" s="332"/>
      <c r="AL49" s="332"/>
      <c r="AN49" s="332"/>
      <c r="AY49" s="327"/>
      <c r="AZ49" s="327"/>
      <c r="BH49" s="294">
        <f>AA49</f>
        <v>0</v>
      </c>
      <c r="BT49" s="281"/>
      <c r="BU49" s="281"/>
    </row>
    <row r="50" spans="1:74" ht="15.6" x14ac:dyDescent="0.25">
      <c r="A50" s="329"/>
      <c r="B50" s="329"/>
      <c r="C50" s="329"/>
      <c r="D50" s="329"/>
      <c r="E50" s="329"/>
      <c r="F50" s="329"/>
      <c r="G50" s="329"/>
      <c r="H50" s="329"/>
      <c r="I50" s="329"/>
      <c r="J50" s="329"/>
      <c r="K50" s="329"/>
      <c r="M50" s="329"/>
      <c r="P50" s="254" t="s">
        <v>186</v>
      </c>
      <c r="Q50" s="351"/>
      <c r="U50" s="332"/>
      <c r="V50" s="280"/>
      <c r="W50" s="280"/>
      <c r="X50" s="280"/>
      <c r="Y50" s="332"/>
      <c r="AA50" s="409">
        <f>AA49+AA44</f>
        <v>0</v>
      </c>
      <c r="AC50" s="559">
        <f>AC49+AC44</f>
        <v>0</v>
      </c>
      <c r="AJ50" s="332"/>
      <c r="AK50" s="332"/>
      <c r="AL50" s="332"/>
      <c r="AN50" s="332"/>
      <c r="AY50" s="327"/>
      <c r="AZ50" s="327"/>
      <c r="BT50" s="281"/>
      <c r="BU50" s="281"/>
    </row>
    <row r="51" spans="1:74" ht="15.6" x14ac:dyDescent="0.25">
      <c r="A51" s="329"/>
      <c r="B51" s="329"/>
      <c r="C51" s="329"/>
      <c r="D51" s="329"/>
      <c r="E51" s="329"/>
      <c r="F51" s="329"/>
      <c r="G51" s="329"/>
      <c r="H51" s="329"/>
      <c r="I51" s="329"/>
      <c r="J51" s="329"/>
      <c r="K51" s="329"/>
      <c r="M51" s="329"/>
      <c r="O51" s="255" t="s">
        <v>192</v>
      </c>
      <c r="P51" s="332"/>
      <c r="Q51" s="351"/>
      <c r="U51" s="332"/>
      <c r="V51" s="280"/>
      <c r="W51" s="280"/>
      <c r="X51" s="280"/>
      <c r="Y51" s="332"/>
      <c r="AA51" s="409"/>
      <c r="AJ51" s="332"/>
      <c r="AK51" s="332"/>
      <c r="AL51" s="332"/>
      <c r="AN51" s="332"/>
      <c r="AY51" s="327"/>
      <c r="AZ51" s="327"/>
      <c r="BT51" s="281"/>
      <c r="BU51" s="281"/>
    </row>
    <row r="52" spans="1:74" ht="15.6" x14ac:dyDescent="0.25">
      <c r="A52" s="329"/>
      <c r="B52" s="329"/>
      <c r="C52" s="329"/>
      <c r="D52" s="329"/>
      <c r="E52" s="329"/>
      <c r="F52" s="329"/>
      <c r="G52" s="329"/>
      <c r="H52" s="329"/>
      <c r="I52" s="329"/>
      <c r="J52" s="329"/>
      <c r="K52" s="329"/>
      <c r="M52" s="329"/>
      <c r="P52" s="121" t="s">
        <v>191</v>
      </c>
      <c r="R52" s="280"/>
      <c r="S52" s="280"/>
      <c r="T52" s="280"/>
      <c r="U52" s="280"/>
      <c r="V52" s="280"/>
      <c r="W52" s="280"/>
      <c r="X52" s="280"/>
      <c r="Y52" s="331">
        <f>(AA35+AA36)</f>
        <v>0</v>
      </c>
      <c r="AA52" s="409"/>
      <c r="AC52" s="558">
        <f>(AC35+AC36)</f>
        <v>0</v>
      </c>
      <c r="AJ52" s="332"/>
      <c r="AK52" s="332"/>
      <c r="AL52" s="332"/>
      <c r="AN52" s="332"/>
      <c r="AY52" s="327"/>
      <c r="AZ52" s="327"/>
      <c r="BT52" s="281"/>
      <c r="BU52" s="281"/>
    </row>
    <row r="53" spans="1:74" ht="16.2" thickBot="1" x14ac:dyDescent="0.3">
      <c r="A53" s="329"/>
      <c r="B53" s="329"/>
      <c r="C53" s="329"/>
      <c r="D53" s="329"/>
      <c r="E53" s="329"/>
      <c r="F53" s="329"/>
      <c r="G53" s="329"/>
      <c r="H53" s="329"/>
      <c r="I53" s="329"/>
      <c r="J53" s="329"/>
      <c r="K53" s="329"/>
      <c r="M53" s="329"/>
      <c r="P53" s="121"/>
      <c r="R53" s="280"/>
      <c r="S53" s="280"/>
      <c r="T53" s="280"/>
      <c r="U53" s="280"/>
      <c r="V53" s="280"/>
      <c r="W53" s="280"/>
      <c r="X53" s="280"/>
      <c r="Y53" s="331"/>
      <c r="AA53" s="409"/>
      <c r="AC53" s="565"/>
      <c r="AJ53" s="332"/>
      <c r="AK53" s="332"/>
      <c r="AL53" s="332"/>
      <c r="AN53" s="332"/>
      <c r="AY53" s="327"/>
      <c r="AZ53" s="327"/>
      <c r="BT53" s="281"/>
      <c r="BU53" s="281"/>
    </row>
    <row r="54" spans="1:74" ht="16.2" thickBot="1" x14ac:dyDescent="0.3">
      <c r="A54" s="281"/>
      <c r="C54" s="325"/>
      <c r="E54" s="325"/>
      <c r="F54" s="325"/>
      <c r="G54" s="325"/>
      <c r="H54" s="325"/>
      <c r="I54" s="325"/>
      <c r="J54" s="325"/>
      <c r="K54" s="325"/>
      <c r="L54" s="325"/>
      <c r="M54" s="325"/>
      <c r="N54" s="281" t="s">
        <v>52</v>
      </c>
      <c r="O54" s="352" t="s">
        <v>178</v>
      </c>
      <c r="P54" s="353" t="s">
        <v>171</v>
      </c>
      <c r="Q54" s="354">
        <f>IF(O55=1,Processing,0)</f>
        <v>0.03</v>
      </c>
      <c r="R54" s="355"/>
      <c r="S54" s="356"/>
      <c r="T54" s="356"/>
      <c r="U54" s="356"/>
      <c r="V54" s="356"/>
      <c r="W54" s="356"/>
      <c r="X54" s="356"/>
      <c r="Y54" s="357"/>
      <c r="Z54" s="642"/>
      <c r="AA54" s="442">
        <f>IF(Q54=0,0,IF(Y52*Q54&lt;Processing_fee,Processing_fee,Y52*Q54))</f>
        <v>25</v>
      </c>
      <c r="AB54" s="553"/>
      <c r="AC54" s="566">
        <f>IF(Q54=0,0,IF(AC52*Q54&lt;Processing_fee,Processing_fee,AC52*Q54))</f>
        <v>25</v>
      </c>
      <c r="AD54" s="443"/>
      <c r="AE54" s="443"/>
      <c r="AI54" s="347">
        <f>IF(SUM(AE64:AH64)&lt;=0,0,AC54)</f>
        <v>0</v>
      </c>
      <c r="AJ54" s="280"/>
      <c r="AK54" s="280"/>
      <c r="AL54" s="280"/>
      <c r="AM54" s="327"/>
      <c r="AN54" s="280"/>
      <c r="AO54" s="327"/>
      <c r="AP54" s="327"/>
      <c r="AQ54" s="327"/>
      <c r="AR54" s="327"/>
      <c r="AS54" s="327"/>
      <c r="AT54" s="327"/>
      <c r="AU54" s="327"/>
      <c r="AV54" s="328"/>
      <c r="AW54" s="327"/>
      <c r="AX54" s="327"/>
      <c r="AY54" s="327"/>
      <c r="AZ54" s="327"/>
      <c r="BA54" s="327"/>
      <c r="BB54" s="327"/>
      <c r="BC54" s="327"/>
      <c r="BD54" s="328"/>
      <c r="BE54" s="328"/>
      <c r="BF54" s="328"/>
      <c r="BG54" s="327"/>
      <c r="BH54" s="327"/>
      <c r="BI54" s="327"/>
      <c r="BJ54" s="327"/>
      <c r="BK54" s="327"/>
      <c r="BL54" s="327"/>
      <c r="BT54" s="281"/>
      <c r="BU54" s="281"/>
      <c r="BV54" s="443"/>
    </row>
    <row r="55" spans="1:74" ht="15.6" x14ac:dyDescent="0.25">
      <c r="A55" s="281"/>
      <c r="C55" s="325"/>
      <c r="E55" s="325"/>
      <c r="F55" s="325"/>
      <c r="G55" s="325"/>
      <c r="H55" s="325"/>
      <c r="I55" s="325"/>
      <c r="J55" s="325"/>
      <c r="K55" s="325"/>
      <c r="L55" s="325"/>
      <c r="M55" s="325"/>
      <c r="O55" s="552">
        <v>1</v>
      </c>
      <c r="P55" s="417" t="s">
        <v>225</v>
      </c>
      <c r="Q55" s="551"/>
      <c r="R55" s="403"/>
      <c r="S55" s="404"/>
      <c r="T55" s="404"/>
      <c r="U55" s="404"/>
      <c r="V55" s="404"/>
      <c r="W55" s="404"/>
      <c r="X55" s="404"/>
      <c r="Y55" s="405"/>
      <c r="AA55" s="410"/>
      <c r="AC55" s="567"/>
      <c r="AI55" s="347"/>
      <c r="AJ55" s="280"/>
      <c r="AK55" s="280"/>
      <c r="AL55" s="280"/>
      <c r="AM55" s="327"/>
      <c r="AN55" s="280"/>
      <c r="AO55" s="327"/>
      <c r="AP55" s="327"/>
      <c r="AQ55" s="327"/>
      <c r="AR55" s="327"/>
      <c r="AS55" s="327"/>
      <c r="AT55" s="327"/>
      <c r="AU55" s="327"/>
      <c r="AV55" s="328"/>
      <c r="AW55" s="327"/>
      <c r="AX55" s="327"/>
      <c r="AY55" s="327"/>
      <c r="AZ55" s="327"/>
      <c r="BA55" s="327"/>
      <c r="BB55" s="327"/>
      <c r="BC55" s="327"/>
      <c r="BD55" s="328"/>
      <c r="BE55" s="328"/>
      <c r="BF55" s="328"/>
      <c r="BG55" s="327"/>
      <c r="BH55" s="327"/>
      <c r="BI55" s="327"/>
      <c r="BJ55" s="327"/>
      <c r="BK55" s="327"/>
      <c r="BL55" s="327"/>
      <c r="BT55" s="281"/>
      <c r="BU55" s="281"/>
    </row>
    <row r="56" spans="1:74" ht="15.6" x14ac:dyDescent="0.25">
      <c r="A56" s="329"/>
      <c r="B56" s="329">
        <f>SUM(AI54:AI56)</f>
        <v>0</v>
      </c>
      <c r="C56" s="329">
        <f>SUM(AK54:AK56)</f>
        <v>0</v>
      </c>
      <c r="D56" s="329">
        <f>SUM(AK54:AK56)</f>
        <v>0</v>
      </c>
      <c r="E56" s="329">
        <f>SUM(AO54:AO56)</f>
        <v>0</v>
      </c>
      <c r="F56" s="329">
        <f>SUM(BE54:BE56, BG54:BG56,BC54:BC56)</f>
        <v>0</v>
      </c>
      <c r="G56" s="329"/>
      <c r="H56" s="329">
        <f>SUM(AQ54:AQ56)+SUM(AR54:AR56)</f>
        <v>0</v>
      </c>
      <c r="I56" s="329">
        <f>SUM(AT54:AT56)+SUM(AP54:AP56)</f>
        <v>0</v>
      </c>
      <c r="J56" s="329"/>
      <c r="K56" s="329">
        <f>SUM(AX54:AX56)+SUM(AZ54:AZ56)+SUM(BB54:BB56)+SUM(AV54:AV56)</f>
        <v>0</v>
      </c>
      <c r="M56" s="329"/>
      <c r="N56" s="281" t="s">
        <v>52</v>
      </c>
      <c r="P56" s="278"/>
      <c r="R56" s="280"/>
      <c r="S56" s="280"/>
      <c r="T56" s="280"/>
      <c r="U56" s="280"/>
      <c r="V56" s="280"/>
      <c r="W56" s="280"/>
      <c r="X56" s="280"/>
      <c r="AJ56" s="332"/>
      <c r="AK56" s="332"/>
      <c r="AL56" s="332"/>
      <c r="AN56" s="332"/>
      <c r="AY56" s="327"/>
      <c r="AZ56" s="327"/>
      <c r="BI56" s="294">
        <f>AA54</f>
        <v>25</v>
      </c>
      <c r="BT56" s="281"/>
      <c r="BU56" s="281"/>
    </row>
    <row r="57" spans="1:74" ht="16.2" thickBot="1" x14ac:dyDescent="0.3">
      <c r="A57" s="329"/>
      <c r="B57" s="329"/>
      <c r="C57" s="329"/>
      <c r="D57" s="329"/>
      <c r="E57" s="329"/>
      <c r="F57" s="329"/>
      <c r="G57" s="329"/>
      <c r="H57" s="329"/>
      <c r="I57" s="329"/>
      <c r="J57" s="329"/>
      <c r="K57" s="329"/>
      <c r="M57" s="329"/>
      <c r="P57" s="330"/>
      <c r="R57" s="280"/>
      <c r="S57" s="280"/>
      <c r="T57" s="280"/>
      <c r="U57" s="280"/>
      <c r="V57" s="280"/>
      <c r="W57" s="280"/>
      <c r="X57" s="280"/>
      <c r="Y57" s="331"/>
      <c r="Z57" s="409"/>
      <c r="AJ57" s="332"/>
      <c r="AK57" s="332"/>
      <c r="AL57" s="332"/>
      <c r="AN57" s="332"/>
      <c r="AY57" s="327"/>
      <c r="AZ57" s="327"/>
      <c r="BT57" s="281"/>
      <c r="BU57" s="281"/>
    </row>
    <row r="58" spans="1:74" ht="15.6" x14ac:dyDescent="0.25">
      <c r="A58" s="329"/>
      <c r="B58" s="329"/>
      <c r="C58" s="329"/>
      <c r="D58" s="329"/>
      <c r="E58" s="329"/>
      <c r="F58" s="329"/>
      <c r="G58" s="329"/>
      <c r="H58" s="329"/>
      <c r="I58" s="329"/>
      <c r="J58" s="329"/>
      <c r="K58" s="329"/>
      <c r="M58" s="329"/>
      <c r="O58" s="358" t="s">
        <v>177</v>
      </c>
      <c r="P58" s="250" t="s">
        <v>179</v>
      </c>
      <c r="Q58" s="339"/>
      <c r="R58" s="340"/>
      <c r="S58" s="340"/>
      <c r="T58" s="340"/>
      <c r="U58" s="340"/>
      <c r="V58" s="340"/>
      <c r="W58" s="340"/>
      <c r="X58" s="340"/>
      <c r="Y58" s="341"/>
      <c r="Z58" s="413"/>
      <c r="AJ58" s="332"/>
      <c r="AK58" s="332"/>
      <c r="AL58" s="332"/>
      <c r="AN58" s="332"/>
      <c r="AY58" s="327"/>
      <c r="AZ58" s="327"/>
      <c r="BT58" s="281"/>
      <c r="BU58" s="281"/>
    </row>
    <row r="59" spans="1:74" ht="16.2" thickBot="1" x14ac:dyDescent="0.3">
      <c r="A59" s="329"/>
      <c r="B59" s="329"/>
      <c r="C59" s="329"/>
      <c r="D59" s="329"/>
      <c r="E59" s="329"/>
      <c r="F59" s="329"/>
      <c r="G59" s="329"/>
      <c r="H59" s="329"/>
      <c r="I59" s="329"/>
      <c r="J59" s="329"/>
      <c r="K59" s="329"/>
      <c r="M59" s="329"/>
      <c r="O59" s="251">
        <v>0</v>
      </c>
      <c r="P59" s="359" t="s">
        <v>180</v>
      </c>
      <c r="Q59" s="360">
        <v>0</v>
      </c>
      <c r="R59" s="326"/>
      <c r="S59" s="326"/>
      <c r="T59" s="326"/>
      <c r="U59" s="359"/>
      <c r="V59" s="350"/>
      <c r="W59" s="350"/>
      <c r="X59" s="350"/>
      <c r="Y59" s="359" t="s">
        <v>181</v>
      </c>
      <c r="Z59" s="414"/>
      <c r="AJ59" s="332"/>
      <c r="AK59" s="332"/>
      <c r="AL59" s="332"/>
      <c r="AN59" s="332"/>
      <c r="AY59" s="327"/>
      <c r="AZ59" s="327"/>
      <c r="BT59" s="281"/>
      <c r="BU59" s="281"/>
    </row>
    <row r="60" spans="1:74" ht="15.6" x14ac:dyDescent="0.25">
      <c r="A60" s="329"/>
      <c r="B60" s="329"/>
      <c r="C60" s="329"/>
      <c r="D60" s="329"/>
      <c r="E60" s="329"/>
      <c r="F60" s="329"/>
      <c r="G60" s="329"/>
      <c r="H60" s="329"/>
      <c r="I60" s="329"/>
      <c r="J60" s="329"/>
      <c r="K60" s="329"/>
      <c r="M60" s="329"/>
      <c r="P60" s="330"/>
      <c r="R60" s="280"/>
      <c r="S60" s="280"/>
      <c r="T60" s="280"/>
      <c r="U60" s="280"/>
      <c r="V60" s="280"/>
      <c r="W60" s="280"/>
      <c r="X60" s="280"/>
      <c r="Y60" s="331"/>
      <c r="Z60" s="409"/>
      <c r="AJ60" s="332"/>
      <c r="AK60" s="332"/>
      <c r="AL60" s="332"/>
      <c r="AN60" s="332"/>
      <c r="AY60" s="327"/>
      <c r="AZ60" s="327"/>
      <c r="BT60" s="281"/>
      <c r="BU60" s="281"/>
    </row>
    <row r="61" spans="1:74" ht="15.6" x14ac:dyDescent="0.25">
      <c r="A61" s="329"/>
      <c r="B61" s="329"/>
      <c r="C61" s="329"/>
      <c r="D61" s="329"/>
      <c r="E61" s="329"/>
      <c r="F61" s="329"/>
      <c r="G61" s="329"/>
      <c r="H61" s="329"/>
      <c r="I61" s="329"/>
      <c r="J61" s="329"/>
      <c r="K61" s="329"/>
      <c r="M61" s="329"/>
      <c r="P61" s="330"/>
      <c r="R61" s="280"/>
      <c r="S61" s="280"/>
      <c r="T61" s="280"/>
      <c r="U61" s="280"/>
      <c r="V61" s="280"/>
      <c r="W61" s="280"/>
      <c r="X61" s="280"/>
      <c r="Y61" s="331"/>
      <c r="Z61" s="409"/>
      <c r="AJ61" s="332"/>
      <c r="AK61" s="332"/>
      <c r="AL61" s="332"/>
      <c r="AN61" s="332"/>
      <c r="AY61" s="327"/>
      <c r="AZ61" s="327"/>
      <c r="BT61" s="281"/>
      <c r="BU61" s="281"/>
    </row>
    <row r="62" spans="1:74" ht="16.2" thickBot="1" x14ac:dyDescent="0.3">
      <c r="A62" s="361"/>
      <c r="B62" s="361"/>
      <c r="C62" s="362"/>
      <c r="D62" s="361"/>
      <c r="E62" s="362"/>
      <c r="F62" s="362"/>
      <c r="G62" s="362"/>
      <c r="H62" s="362"/>
      <c r="I62" s="362"/>
      <c r="J62" s="362"/>
      <c r="K62" s="362"/>
      <c r="L62" s="362"/>
      <c r="M62" s="362"/>
      <c r="N62" s="361" t="s">
        <v>52</v>
      </c>
      <c r="O62" s="361"/>
      <c r="P62" s="363"/>
      <c r="Q62" s="361"/>
      <c r="R62" s="364"/>
      <c r="S62" s="364"/>
      <c r="T62" s="364"/>
      <c r="U62" s="364"/>
      <c r="V62" s="364"/>
      <c r="W62" s="364"/>
      <c r="X62" s="364"/>
      <c r="Y62" s="364"/>
      <c r="Z62" s="415"/>
      <c r="AA62" s="415"/>
      <c r="AC62" s="568"/>
      <c r="AL62" s="280"/>
      <c r="AN62" s="280"/>
      <c r="BJ62" s="293"/>
      <c r="BK62" s="293"/>
      <c r="BL62" s="293"/>
      <c r="BM62" s="293"/>
      <c r="BN62" s="293"/>
      <c r="BO62" s="293"/>
      <c r="BP62" s="293"/>
      <c r="BQ62" s="361"/>
      <c r="BR62" s="361"/>
      <c r="BS62" s="361"/>
      <c r="BT62" s="361"/>
      <c r="BU62" s="361"/>
    </row>
    <row r="63" spans="1:74" ht="16.2" thickTop="1" x14ac:dyDescent="0.25">
      <c r="A63" s="453"/>
      <c r="B63" s="700"/>
      <c r="C63" s="701"/>
      <c r="D63" s="365"/>
      <c r="E63" s="366"/>
      <c r="F63" s="367"/>
      <c r="G63" s="367"/>
      <c r="H63" s="368"/>
      <c r="I63" s="369"/>
      <c r="J63" s="369"/>
      <c r="K63" s="370"/>
      <c r="L63" s="371"/>
      <c r="M63" s="371"/>
      <c r="N63" s="150" t="s">
        <v>52</v>
      </c>
      <c r="O63" s="630"/>
      <c r="P63" s="630"/>
      <c r="Q63" s="630"/>
      <c r="R63" s="372"/>
      <c r="S63" s="372"/>
      <c r="T63" s="372"/>
      <c r="U63" s="372"/>
      <c r="V63" s="372"/>
      <c r="W63" s="372"/>
      <c r="X63" s="372"/>
      <c r="Y63" s="630"/>
      <c r="Z63" s="631"/>
      <c r="AA63" s="631"/>
      <c r="AB63" s="322"/>
      <c r="AC63" s="569"/>
      <c r="AD63" s="704"/>
      <c r="AE63" s="373"/>
      <c r="AF63" s="374"/>
      <c r="AG63" s="375"/>
      <c r="AH63" s="376"/>
      <c r="AI63" s="377"/>
      <c r="AJ63" s="377"/>
      <c r="AK63" s="377"/>
      <c r="AL63" s="704"/>
      <c r="AM63" s="706"/>
      <c r="AN63" s="373"/>
      <c r="AO63" s="378"/>
      <c r="AP63" s="379"/>
      <c r="AQ63" s="379"/>
      <c r="AR63" s="379"/>
      <c r="AS63" s="379"/>
      <c r="AT63" s="379"/>
      <c r="AU63" s="379"/>
      <c r="AV63" s="380"/>
      <c r="AW63" s="380"/>
      <c r="AX63" s="380"/>
      <c r="AY63" s="380"/>
      <c r="AZ63" s="380"/>
      <c r="BA63" s="381"/>
      <c r="BB63" s="381"/>
      <c r="BC63" s="382"/>
      <c r="BD63" s="382"/>
      <c r="BE63" s="382"/>
      <c r="BF63" s="381"/>
      <c r="BG63" s="381"/>
      <c r="BH63" s="383"/>
      <c r="BI63" s="383"/>
      <c r="BJ63" s="384"/>
      <c r="BK63" s="384"/>
      <c r="BL63" s="384"/>
      <c r="BM63" s="384"/>
      <c r="BN63" s="384"/>
      <c r="BO63" s="385"/>
      <c r="BP63" s="384"/>
      <c r="BQ63" s="767" t="s">
        <v>204</v>
      </c>
      <c r="BR63" s="767"/>
      <c r="BS63" s="767"/>
      <c r="BT63" s="767"/>
      <c r="BU63" s="767"/>
    </row>
    <row r="64" spans="1:74" ht="15.6" x14ac:dyDescent="0.25">
      <c r="A64" s="386">
        <f>Z43+Z39</f>
        <v>0</v>
      </c>
      <c r="B64" s="702">
        <f>+AI64</f>
        <v>0</v>
      </c>
      <c r="C64" s="702">
        <f>+AK64</f>
        <v>0</v>
      </c>
      <c r="D64" s="387">
        <f>+AK64</f>
        <v>0</v>
      </c>
      <c r="E64" s="388">
        <f>+AO64</f>
        <v>0</v>
      </c>
      <c r="F64" s="389">
        <f>+BE64+BG64+BC64</f>
        <v>0</v>
      </c>
      <c r="G64" s="389"/>
      <c r="H64" s="390">
        <f>+AQ64+AR64</f>
        <v>0</v>
      </c>
      <c r="I64" s="391">
        <f>+AT64+AP64</f>
        <v>0</v>
      </c>
      <c r="J64" s="391"/>
      <c r="K64" s="392">
        <f>+AX64+AZ64+BB64+AV64</f>
        <v>0</v>
      </c>
      <c r="L64" s="393"/>
      <c r="M64" s="394"/>
      <c r="N64" s="281" t="s">
        <v>52</v>
      </c>
      <c r="O64" s="632" t="s">
        <v>100</v>
      </c>
      <c r="Q64" s="416"/>
      <c r="R64" s="290"/>
      <c r="S64" s="290"/>
      <c r="T64" s="290"/>
      <c r="U64" s="290"/>
      <c r="V64" s="290"/>
      <c r="W64" s="290"/>
      <c r="X64" s="290"/>
      <c r="Y64" s="416"/>
      <c r="AA64" s="633">
        <f>SUM(AA50:AA54)</f>
        <v>25</v>
      </c>
      <c r="AC64" s="563">
        <f>AC50+AC54</f>
        <v>25</v>
      </c>
      <c r="AD64" s="702">
        <f>SUM(AD22:AD63)</f>
        <v>0</v>
      </c>
      <c r="AE64" s="388">
        <f>SUM(AE22:AE63)</f>
        <v>0</v>
      </c>
      <c r="AF64" s="391">
        <f>SUM(AF22:AF63)</f>
        <v>0</v>
      </c>
      <c r="AG64" s="395">
        <f>SUM(AG22:AG63)</f>
        <v>0</v>
      </c>
      <c r="AH64" s="389">
        <f>SUM(AH22:AH63)</f>
        <v>0</v>
      </c>
      <c r="AI64" s="387">
        <f>SUM(AI7:AI63)</f>
        <v>0</v>
      </c>
      <c r="AJ64" s="396"/>
      <c r="AK64" s="387">
        <f>SUM(AK22:AK63)</f>
        <v>0</v>
      </c>
      <c r="AL64" s="707"/>
      <c r="AM64" s="702">
        <f>SUM(AM22:AM63)</f>
        <v>0</v>
      </c>
      <c r="AN64" s="397"/>
      <c r="AO64" s="388">
        <f>SUM(AO22:AO63)</f>
        <v>0</v>
      </c>
      <c r="AP64" s="391">
        <f>SUM(AP22:AP63)</f>
        <v>0</v>
      </c>
      <c r="AQ64" s="391">
        <f>SUM(AQ22:AQ63)</f>
        <v>0</v>
      </c>
      <c r="AR64" s="391">
        <f>SUM(AR22:AR63)</f>
        <v>0</v>
      </c>
      <c r="AS64" s="391"/>
      <c r="AT64" s="391">
        <f>SUM(AT22:AT63)</f>
        <v>0</v>
      </c>
      <c r="AU64" s="391"/>
      <c r="AV64" s="395">
        <f>SUM(AV22:AV63)</f>
        <v>0</v>
      </c>
      <c r="AW64" s="395"/>
      <c r="AX64" s="395">
        <f>SUM(AX22:AX63)</f>
        <v>0</v>
      </c>
      <c r="AY64" s="395"/>
      <c r="AZ64" s="395">
        <f>SUM(AZ22:AZ63)</f>
        <v>0</v>
      </c>
      <c r="BA64" s="387"/>
      <c r="BB64" s="387">
        <f>SUM(BB22:BB63)</f>
        <v>0</v>
      </c>
      <c r="BC64" s="389">
        <f>SUM(BC22:BC63)</f>
        <v>0</v>
      </c>
      <c r="BD64" s="389"/>
      <c r="BE64" s="389">
        <f>SUM(BE22:BE63)</f>
        <v>0</v>
      </c>
      <c r="BF64" s="387"/>
      <c r="BG64" s="387">
        <f>SUM(BG22:BG63)</f>
        <v>0</v>
      </c>
      <c r="BH64" s="398">
        <f>SUM(BH22:BH63)</f>
        <v>0</v>
      </c>
      <c r="BI64" s="398">
        <f>SUM(BI22:BI63)</f>
        <v>25</v>
      </c>
      <c r="BJ64" s="399"/>
      <c r="BK64" s="399"/>
      <c r="BL64" s="399"/>
      <c r="BM64" s="399"/>
      <c r="BN64" s="399"/>
      <c r="BO64" s="399"/>
      <c r="BP64" s="399"/>
      <c r="BQ64" s="457" t="s">
        <v>165</v>
      </c>
      <c r="BR64" s="458" t="s">
        <v>200</v>
      </c>
      <c r="BS64" s="458" t="s">
        <v>201</v>
      </c>
      <c r="BT64" s="458" t="s">
        <v>202</v>
      </c>
      <c r="BU64" s="458" t="s">
        <v>203</v>
      </c>
    </row>
    <row r="65" spans="1:69" x14ac:dyDescent="0.25">
      <c r="A65" s="281"/>
      <c r="F65" s="281"/>
      <c r="G65" s="281"/>
      <c r="AI65" s="281"/>
      <c r="BJ65" s="327"/>
      <c r="BK65" s="327"/>
      <c r="BL65" s="327"/>
      <c r="BM65" s="333"/>
      <c r="BQ65" s="456"/>
    </row>
    <row r="66" spans="1:69" x14ac:dyDescent="0.25">
      <c r="A66" s="281"/>
      <c r="F66" s="281"/>
      <c r="G66" s="281"/>
      <c r="AI66" s="281"/>
      <c r="BJ66" s="400"/>
      <c r="BK66" s="400"/>
      <c r="BL66" s="400"/>
      <c r="BM66" s="333"/>
      <c r="BN66" s="401"/>
      <c r="BO66" s="401"/>
      <c r="BP66" s="401"/>
      <c r="BQ66" s="456"/>
    </row>
    <row r="67" spans="1:69" x14ac:dyDescent="0.25">
      <c r="AI67" s="281"/>
      <c r="BJ67" s="402"/>
      <c r="BK67" s="402"/>
      <c r="BL67" s="402"/>
      <c r="BM67" s="333"/>
      <c r="BN67" s="401"/>
      <c r="BO67" s="401"/>
      <c r="BP67" s="401"/>
    </row>
    <row r="68" spans="1:69" x14ac:dyDescent="0.25">
      <c r="AI68" s="281"/>
      <c r="BJ68" s="402"/>
      <c r="BK68" s="402"/>
      <c r="BL68" s="402"/>
      <c r="BM68" s="333"/>
      <c r="BN68" s="401"/>
      <c r="BO68" s="401"/>
      <c r="BP68" s="401"/>
    </row>
    <row r="69" spans="1:69" x14ac:dyDescent="0.25">
      <c r="AI69" s="281"/>
      <c r="BJ69" s="402"/>
      <c r="BK69" s="402"/>
      <c r="BL69" s="402"/>
      <c r="BM69" s="333"/>
      <c r="BN69" s="401"/>
      <c r="BO69" s="401"/>
      <c r="BP69" s="401"/>
    </row>
    <row r="70" spans="1:69" x14ac:dyDescent="0.25">
      <c r="AI70" s="281"/>
      <c r="BJ70" s="402"/>
      <c r="BK70" s="402"/>
      <c r="BL70" s="402"/>
      <c r="BM70" s="333"/>
      <c r="BN70" s="401"/>
      <c r="BO70" s="401"/>
      <c r="BP70" s="401"/>
    </row>
    <row r="71" spans="1:69" x14ac:dyDescent="0.25">
      <c r="AI71" s="281"/>
      <c r="BJ71" s="402"/>
      <c r="BK71" s="402"/>
      <c r="BL71" s="402"/>
      <c r="BM71" s="333"/>
      <c r="BN71" s="401"/>
      <c r="BO71" s="401"/>
      <c r="BP71" s="401"/>
    </row>
    <row r="72" spans="1:69" x14ac:dyDescent="0.25">
      <c r="AI72" s="281"/>
      <c r="BJ72" s="402"/>
      <c r="BK72" s="402"/>
      <c r="BL72" s="402"/>
      <c r="BM72" s="333"/>
      <c r="BN72" s="401"/>
      <c r="BO72" s="401"/>
      <c r="BP72" s="401"/>
    </row>
    <row r="73" spans="1:69" x14ac:dyDescent="0.25">
      <c r="AI73" s="281"/>
      <c r="BM73" s="333"/>
    </row>
    <row r="74" spans="1:69" x14ac:dyDescent="0.25">
      <c r="AI74" s="281"/>
      <c r="BM74" s="333"/>
    </row>
    <row r="75" spans="1:69" x14ac:dyDescent="0.25">
      <c r="AI75" s="281"/>
      <c r="BJ75" s="327"/>
      <c r="BK75" s="327"/>
      <c r="BL75" s="327"/>
      <c r="BM75" s="333"/>
    </row>
    <row r="76" spans="1:69" x14ac:dyDescent="0.25">
      <c r="AI76" s="281"/>
      <c r="BJ76" s="400"/>
      <c r="BK76" s="400"/>
      <c r="BL76" s="400"/>
      <c r="BM76" s="333"/>
      <c r="BN76" s="401"/>
      <c r="BO76" s="401"/>
      <c r="BP76" s="401"/>
    </row>
    <row r="77" spans="1:69" x14ac:dyDescent="0.25">
      <c r="AI77" s="281"/>
      <c r="BJ77" s="402"/>
      <c r="BK77" s="402"/>
      <c r="BL77" s="402"/>
      <c r="BM77" s="333"/>
      <c r="BN77" s="401"/>
      <c r="BO77" s="401"/>
      <c r="BP77" s="401"/>
    </row>
    <row r="78" spans="1:69" x14ac:dyDescent="0.25">
      <c r="AI78" s="281"/>
      <c r="BJ78" s="402"/>
      <c r="BK78" s="402"/>
      <c r="BL78" s="402"/>
      <c r="BM78" s="333"/>
      <c r="BN78" s="401"/>
      <c r="BO78" s="401"/>
      <c r="BP78" s="401"/>
    </row>
    <row r="79" spans="1:69" x14ac:dyDescent="0.25">
      <c r="AI79" s="281"/>
      <c r="BJ79" s="402"/>
      <c r="BK79" s="402"/>
      <c r="BL79" s="402"/>
      <c r="BM79" s="333"/>
      <c r="BN79" s="401"/>
      <c r="BO79" s="401"/>
      <c r="BP79" s="401"/>
    </row>
    <row r="80" spans="1:69" x14ac:dyDescent="0.25">
      <c r="AI80" s="281"/>
      <c r="BJ80" s="402"/>
      <c r="BK80" s="402"/>
      <c r="BL80" s="402"/>
      <c r="BM80" s="333"/>
      <c r="BN80" s="401"/>
      <c r="BO80" s="401"/>
      <c r="BP80" s="401"/>
    </row>
    <row r="81" spans="62:68" x14ac:dyDescent="0.25">
      <c r="BJ81" s="402"/>
      <c r="BK81" s="402"/>
      <c r="BL81" s="402"/>
      <c r="BM81" s="333"/>
      <c r="BN81" s="401"/>
      <c r="BO81" s="401"/>
      <c r="BP81" s="401"/>
    </row>
    <row r="82" spans="62:68" x14ac:dyDescent="0.25">
      <c r="BJ82" s="402"/>
      <c r="BK82" s="402"/>
      <c r="BL82" s="402"/>
      <c r="BM82" s="333"/>
      <c r="BN82" s="401"/>
      <c r="BO82" s="401"/>
      <c r="BP82" s="401"/>
    </row>
    <row r="97" spans="26:35" x14ac:dyDescent="0.25">
      <c r="Z97" s="281"/>
      <c r="AA97" s="281"/>
      <c r="AI97" s="281"/>
    </row>
    <row r="98" spans="26:35" x14ac:dyDescent="0.25">
      <c r="Z98" s="281"/>
      <c r="AA98" s="281"/>
      <c r="AI98" s="281"/>
    </row>
    <row r="99" spans="26:35" x14ac:dyDescent="0.25">
      <c r="Z99" s="281"/>
      <c r="AA99" s="281"/>
      <c r="AI99" s="281"/>
    </row>
    <row r="100" spans="26:35" x14ac:dyDescent="0.25">
      <c r="Z100" s="281"/>
      <c r="AA100" s="281"/>
      <c r="AI100" s="281"/>
    </row>
    <row r="101" spans="26:35" x14ac:dyDescent="0.25">
      <c r="Z101" s="281"/>
      <c r="AA101" s="281"/>
      <c r="AI101" s="281"/>
    </row>
    <row r="102" spans="26:35" x14ac:dyDescent="0.25">
      <c r="Z102" s="281"/>
      <c r="AA102" s="281"/>
      <c r="AI102" s="281"/>
    </row>
    <row r="103" spans="26:35" x14ac:dyDescent="0.25">
      <c r="Z103" s="281"/>
      <c r="AA103" s="281"/>
      <c r="AI103" s="281"/>
    </row>
    <row r="104" spans="26:35" x14ac:dyDescent="0.25">
      <c r="Z104" s="281"/>
      <c r="AA104" s="281"/>
      <c r="AI104" s="281"/>
    </row>
    <row r="105" spans="26:35" x14ac:dyDescent="0.25">
      <c r="Z105" s="281"/>
      <c r="AA105" s="281"/>
      <c r="AI105" s="281"/>
    </row>
    <row r="106" spans="26:35" x14ac:dyDescent="0.25">
      <c r="Z106" s="281"/>
      <c r="AA106" s="281"/>
      <c r="AI106" s="281"/>
    </row>
    <row r="107" spans="26:35" x14ac:dyDescent="0.25">
      <c r="Z107" s="281"/>
      <c r="AA107" s="281"/>
      <c r="AI107" s="281"/>
    </row>
    <row r="108" spans="26:35" x14ac:dyDescent="0.25">
      <c r="Z108" s="281"/>
      <c r="AA108" s="281"/>
      <c r="AI108" s="281"/>
    </row>
    <row r="109" spans="26:35" x14ac:dyDescent="0.25">
      <c r="Z109" s="281"/>
      <c r="AA109" s="281"/>
      <c r="AI109" s="281"/>
    </row>
  </sheetData>
  <protectedRanges>
    <protectedRange sqref="O3:O4" name="Range1_4"/>
  </protectedRanges>
  <autoFilter ref="N1:N109" xr:uid="{00000000-0009-0000-0000-000005000000}"/>
  <mergeCells count="17">
    <mergeCell ref="B6:C6"/>
    <mergeCell ref="AD5:AI5"/>
    <mergeCell ref="AL6:AM6"/>
    <mergeCell ref="O1:Q1"/>
    <mergeCell ref="O3:Q3"/>
    <mergeCell ref="O4:P7"/>
    <mergeCell ref="G2:K3"/>
    <mergeCell ref="O2:Q2"/>
    <mergeCell ref="AN6:AO6"/>
    <mergeCell ref="BQ63:BU63"/>
    <mergeCell ref="R5:X5"/>
    <mergeCell ref="V6:V7"/>
    <mergeCell ref="W6:W7"/>
    <mergeCell ref="X6:X7"/>
    <mergeCell ref="AP6:AU6"/>
    <mergeCell ref="AV6:BB6"/>
    <mergeCell ref="BC6:BG6"/>
  </mergeCells>
  <phoneticPr fontId="3" type="noConversion"/>
  <dataValidations count="2">
    <dataValidation allowBlank="1" showInputMessage="1" showErrorMessage="1" sqref="Q59 O59 O3:Q3 B22:B1048576 F3 Q55:AC55 O55 P80 O41:P41 O45:P45 Z4 O1:Q1 AI64 AI54 C1:C5 AD22:AD1048576 C29:C1048576 AE54:AE55 AL22:AM1048576 BJ22:BJ1048576 BJ1:BJ7 AL1:AM7 AD1:AD7 B1:B7 O4:P7 A8:B21 C7:C27 D8:XFD21" xr:uid="{00000000-0002-0000-0500-000000000000}"/>
    <dataValidation type="custom" allowBlank="1" showInputMessage="1" showErrorMessage="1" error="Data entry in this cell is denied." sqref="Q60:Q1048576 Q56:Q58 O60:O1048576 AA40:AA53 F1:F2 AA54:AC54 O56:O58 AI65:AI1048576 O22:P40 O46:O54 AB41 O42:P44 AB43:AB45 O2:Q2 AC40:AC53 AI22:AI53 Z1:Z3 AE22:AE53 AE56:AE1048576 AB47:AB53 Q22:Z54 AI55:AI63 A22:A1048576 C28 AA22:AC39 P46:P79 P81:P1048576 AF22:AH1048576 AJ22:AK1048576 AE1:AI4 R56:AC1048576 AN22:BI1048576 BK22:XFD1048576 BK1:XFD7 AN1:BI7 AJ1:AK7 AA1:AC7 A1:A7 Q4:Q7 AE6:AI7 R1:Y7 D1:E7 Z5:Z7 G1:N7 F4:F7 D22:N1048576" xr:uid="{00000000-0002-0000-0500-000001000000}">
      <formula1>"&lt;&gt;ActiveCell"</formula1>
    </dataValidation>
  </dataValidations>
  <printOptions horizontalCentered="1"/>
  <pageMargins left="0.35433070866141736" right="0.35433070866141736" top="1.1811023622047245" bottom="0.98425196850393704" header="0" footer="0.51181102362204722"/>
  <pageSetup paperSize="9" scale="38" fitToHeight="52" orientation="portrait" r:id="rId1"/>
  <headerFooter scaleWithDoc="0">
    <oddHeader>&amp;L&amp;G</oddHead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pageSetUpPr autoPageBreaks="0" fitToPage="1"/>
  </sheetPr>
  <dimension ref="A1:BB122"/>
  <sheetViews>
    <sheetView tabSelected="1" showOutlineSymbols="0" topLeftCell="C1" zoomScale="50" zoomScaleNormal="50" workbookViewId="0">
      <pane ySplit="7" topLeftCell="A8" activePane="bottomLeft" state="frozen"/>
      <selection activeCell="B1" sqref="B1"/>
      <selection pane="bottomLeft" activeCell="C9" sqref="C9"/>
    </sheetView>
  </sheetViews>
  <sheetFormatPr defaultColWidth="8.81640625" defaultRowHeight="15" x14ac:dyDescent="0.25"/>
  <cols>
    <col min="1" max="2" width="10.08984375" style="20" bestFit="1" customWidth="1"/>
    <col min="3" max="3" width="21.36328125" style="466" bestFit="1" customWidth="1"/>
    <col min="4" max="4" width="9.453125" style="466" bestFit="1" customWidth="1"/>
    <col min="5" max="5" width="65.36328125" style="20" bestFit="1" customWidth="1"/>
    <col min="6" max="6" width="13.1796875" style="20" bestFit="1" customWidth="1"/>
    <col min="7" max="7" width="36.453125" style="20" bestFit="1" customWidth="1"/>
    <col min="8" max="8" width="62.08984375" style="20" bestFit="1" customWidth="1"/>
    <col min="9" max="9" width="26.6328125" style="20" bestFit="1" customWidth="1"/>
    <col min="10" max="10" width="18.26953125" style="20" bestFit="1" customWidth="1"/>
    <col min="11" max="11" width="31.54296875" style="20" bestFit="1" customWidth="1"/>
    <col min="12" max="13" width="25.453125" style="20" bestFit="1" customWidth="1"/>
    <col min="14" max="14" width="19.81640625" style="20" customWidth="1"/>
    <col min="15" max="15" width="11.1796875" style="20" customWidth="1"/>
    <col min="16" max="16" width="16.81640625" style="20" customWidth="1"/>
    <col min="17" max="17" width="9.81640625" style="20" customWidth="1"/>
    <col min="18" max="18" width="10.453125" style="20" customWidth="1"/>
    <col min="19" max="19" width="9.81640625" style="20" customWidth="1"/>
    <col min="20" max="20" width="12.1796875" style="20" bestFit="1" customWidth="1"/>
    <col min="21" max="23" width="10.81640625" style="20" customWidth="1"/>
    <col min="24" max="24" width="11.7265625" style="20" bestFit="1" customWidth="1"/>
    <col min="25" max="25" width="10.26953125" style="20" bestFit="1" customWidth="1"/>
    <col min="26" max="26" width="8.453125" style="20" bestFit="1" customWidth="1"/>
    <col min="27" max="27" width="10.26953125" style="20" bestFit="1" customWidth="1"/>
    <col min="28" max="28" width="11.1796875" style="20" bestFit="1" customWidth="1"/>
    <col min="29" max="29" width="12.08984375" style="20" bestFit="1" customWidth="1"/>
    <col min="30" max="30" width="9.54296875" style="20" bestFit="1" customWidth="1"/>
    <col min="31" max="31" width="18.26953125" style="20" bestFit="1" customWidth="1"/>
    <col min="32" max="32" width="7.1796875" style="20" bestFit="1" customWidth="1"/>
    <col min="33" max="33" width="8.81640625" style="20" bestFit="1" customWidth="1"/>
    <col min="34" max="34" width="10.08984375" style="20" bestFit="1" customWidth="1"/>
    <col min="35" max="35" width="7.1796875" style="20" bestFit="1" customWidth="1"/>
    <col min="36" max="36" width="7.7265625" style="20" bestFit="1" customWidth="1"/>
    <col min="37" max="37" width="8.453125" style="20" bestFit="1" customWidth="1"/>
    <col min="38" max="38" width="6.08984375" style="20" bestFit="1" customWidth="1"/>
    <col min="39" max="39" width="10.26953125" style="575" bestFit="1" customWidth="1"/>
    <col min="40" max="40" width="10.81640625" style="575" customWidth="1"/>
    <col min="41" max="41" width="5.54296875" style="575" bestFit="1" customWidth="1"/>
    <col min="42" max="42" width="10.81640625" style="575" hidden="1" customWidth="1"/>
    <col min="43" max="52" width="8.81640625" style="575"/>
    <col min="53" max="53" width="0" style="575" hidden="1" customWidth="1"/>
    <col min="54" max="55" width="2.6328125" style="20" bestFit="1" customWidth="1"/>
    <col min="56" max="62" width="8.81640625" style="20"/>
    <col min="63" max="63" width="6.26953125" style="20" bestFit="1" customWidth="1"/>
    <col min="64" max="64" width="7.7265625" style="20" bestFit="1" customWidth="1"/>
    <col min="65" max="65" width="13" style="20" bestFit="1" customWidth="1"/>
    <col min="66" max="66" width="8.81640625" style="20"/>
    <col min="67" max="67" width="13" style="20" bestFit="1" customWidth="1"/>
    <col min="68" max="16384" width="8.81640625" style="20"/>
  </cols>
  <sheetData>
    <row r="1" spans="1:53" s="122" customFormat="1" ht="16.2" thickTop="1" x14ac:dyDescent="0.25">
      <c r="E1" s="152" t="s">
        <v>132</v>
      </c>
      <c r="F1" s="152"/>
      <c r="N1" s="519" t="s">
        <v>84</v>
      </c>
      <c r="O1" s="238">
        <v>0.05</v>
      </c>
      <c r="Q1" s="472"/>
      <c r="R1" s="473"/>
      <c r="S1" s="121"/>
      <c r="T1" s="121"/>
      <c r="U1" s="150"/>
      <c r="V1" s="121"/>
      <c r="W1" s="121"/>
      <c r="AB1" s="151"/>
      <c r="AC1" s="151"/>
      <c r="AD1" s="151"/>
      <c r="AE1" s="151"/>
      <c r="AF1" s="152"/>
      <c r="AG1" s="152"/>
      <c r="AH1" s="121"/>
      <c r="AI1" s="121"/>
      <c r="AJ1" s="121"/>
      <c r="AK1" s="121"/>
      <c r="AL1" s="121"/>
      <c r="AM1" s="572"/>
      <c r="AN1" s="572"/>
      <c r="AO1" s="572"/>
      <c r="AP1" s="572"/>
      <c r="AQ1" s="573"/>
      <c r="AR1" s="573"/>
      <c r="AS1" s="573"/>
      <c r="AT1" s="573"/>
      <c r="AU1" s="573"/>
      <c r="AV1" s="573"/>
      <c r="AW1" s="573"/>
      <c r="AX1" s="573"/>
      <c r="AY1" s="573"/>
      <c r="AZ1" s="573"/>
      <c r="BA1" s="573"/>
    </row>
    <row r="2" spans="1:53" s="122" customFormat="1" ht="33" x14ac:dyDescent="0.3">
      <c r="E2" s="178" t="s">
        <v>1</v>
      </c>
      <c r="F2" s="112" t="s">
        <v>216</v>
      </c>
      <c r="I2" s="474"/>
      <c r="N2" s="520" t="s">
        <v>85</v>
      </c>
      <c r="O2" s="239">
        <v>0.05</v>
      </c>
      <c r="Q2" s="475"/>
      <c r="R2" s="475"/>
      <c r="S2" s="121"/>
      <c r="T2" s="121"/>
      <c r="U2" s="121"/>
      <c r="V2" s="121"/>
      <c r="W2" s="121"/>
      <c r="AB2" s="137" t="s">
        <v>52</v>
      </c>
      <c r="AC2" s="137"/>
      <c r="AD2" s="137"/>
      <c r="AE2" s="137"/>
      <c r="AF2" s="152"/>
      <c r="AG2" s="152"/>
      <c r="AH2" s="121"/>
      <c r="AI2" s="121"/>
      <c r="AJ2" s="121"/>
      <c r="AK2" s="121"/>
      <c r="AL2" s="121"/>
      <c r="AM2" s="572"/>
      <c r="AN2" s="572"/>
      <c r="AO2" s="572"/>
      <c r="AP2" s="572"/>
      <c r="AQ2" s="573"/>
      <c r="AR2" s="573" t="b" cm="1">
        <f t="array" ref="AR2">SUM(ISNA(SUBSTITUTE(#REF!,"@","")*1))=1</f>
        <v>0</v>
      </c>
      <c r="AS2" s="573"/>
      <c r="AT2" s="573"/>
      <c r="AU2" s="573"/>
      <c r="AV2" s="573"/>
      <c r="AW2" s="573"/>
      <c r="AX2" s="573"/>
      <c r="AY2" s="573"/>
      <c r="AZ2" s="573"/>
      <c r="BA2" s="573"/>
    </row>
    <row r="3" spans="1:53" ht="15.6" x14ac:dyDescent="0.3">
      <c r="E3" s="178" t="s">
        <v>267</v>
      </c>
      <c r="F3" s="112">
        <v>1</v>
      </c>
      <c r="I3" s="122"/>
      <c r="N3" s="521" t="s">
        <v>76</v>
      </c>
      <c r="O3" s="181">
        <v>70</v>
      </c>
      <c r="Q3" s="476"/>
      <c r="S3" s="126"/>
      <c r="T3" s="470"/>
      <c r="U3" s="470"/>
      <c r="V3" s="470"/>
      <c r="W3" s="470"/>
      <c r="AB3" s="137" t="s">
        <v>52</v>
      </c>
      <c r="AC3" s="137"/>
      <c r="AD3" s="137"/>
      <c r="AE3" s="137"/>
      <c r="AF3" s="126"/>
      <c r="AG3" s="126"/>
      <c r="AH3" s="126"/>
      <c r="AI3" s="126"/>
      <c r="AJ3" s="126"/>
      <c r="AK3" s="126"/>
      <c r="AL3" s="126"/>
      <c r="AM3" s="574"/>
      <c r="AN3" s="574"/>
      <c r="AO3" s="574"/>
      <c r="AP3" s="574"/>
    </row>
    <row r="4" spans="1:53" s="122" customFormat="1" ht="15.6" x14ac:dyDescent="0.3">
      <c r="E4" s="178" t="s">
        <v>2</v>
      </c>
      <c r="F4" s="554" t="s">
        <v>268</v>
      </c>
      <c r="I4" s="149"/>
      <c r="N4" s="521" t="s">
        <v>95</v>
      </c>
      <c r="O4" s="182">
        <v>0.03</v>
      </c>
      <c r="P4" s="121"/>
      <c r="Q4" s="477"/>
      <c r="R4" s="478"/>
      <c r="U4" s="121"/>
      <c r="V4" s="121"/>
      <c r="W4" s="121"/>
      <c r="X4" s="122">
        <v>45616</v>
      </c>
      <c r="AB4" s="137" t="s">
        <v>52</v>
      </c>
      <c r="AC4" s="137"/>
      <c r="AD4" s="137"/>
      <c r="AE4" s="137"/>
      <c r="AM4" s="573"/>
      <c r="AN4" s="573"/>
      <c r="AO4" s="573"/>
      <c r="AP4" s="573"/>
      <c r="AQ4" s="573"/>
      <c r="AR4" s="573"/>
      <c r="AS4" s="573"/>
      <c r="AT4" s="573"/>
      <c r="AU4" s="573"/>
      <c r="AV4" s="573"/>
      <c r="AW4" s="573"/>
      <c r="AX4" s="573"/>
      <c r="AY4" s="573"/>
      <c r="AZ4" s="573"/>
      <c r="BA4" s="573"/>
    </row>
    <row r="5" spans="1:53" ht="15.6" x14ac:dyDescent="0.3">
      <c r="E5" s="178" t="s">
        <v>98</v>
      </c>
      <c r="F5" s="112">
        <v>1234</v>
      </c>
      <c r="H5" s="178"/>
      <c r="I5" s="178"/>
      <c r="N5" s="522" t="s">
        <v>96</v>
      </c>
      <c r="O5" s="181">
        <v>25</v>
      </c>
      <c r="AB5" s="137" t="s">
        <v>52</v>
      </c>
      <c r="AC5" s="137"/>
      <c r="AD5" s="137"/>
      <c r="AE5" s="785" t="s">
        <v>4</v>
      </c>
      <c r="AF5" s="785"/>
      <c r="AG5" s="785"/>
      <c r="AH5" s="785"/>
      <c r="AI5" s="785"/>
      <c r="AJ5" s="785"/>
      <c r="AO5" s="782"/>
      <c r="AP5" s="783"/>
    </row>
    <row r="6" spans="1:53" ht="16.2" thickBot="1" x14ac:dyDescent="0.35">
      <c r="N6" s="523" t="s">
        <v>129</v>
      </c>
      <c r="O6" s="479">
        <v>3910</v>
      </c>
      <c r="AB6" s="137" t="s">
        <v>52</v>
      </c>
      <c r="AC6" s="137"/>
      <c r="AD6" s="137"/>
      <c r="AE6" s="680" t="s">
        <v>276</v>
      </c>
      <c r="AF6" s="234" t="s">
        <v>5</v>
      </c>
      <c r="AG6" s="44" t="s">
        <v>6</v>
      </c>
      <c r="AH6" s="31" t="s">
        <v>7</v>
      </c>
      <c r="AI6" s="28" t="s">
        <v>8</v>
      </c>
      <c r="AJ6" s="65" t="s">
        <v>21</v>
      </c>
      <c r="AK6" s="69"/>
      <c r="AL6" s="69"/>
      <c r="AM6" s="576"/>
      <c r="AN6" s="576"/>
      <c r="AO6" s="576"/>
      <c r="AP6" s="576"/>
    </row>
    <row r="7" spans="1:53" s="153" customFormat="1" ht="16.8" thickTop="1" thickBot="1" x14ac:dyDescent="0.3">
      <c r="A7" s="624" t="s">
        <v>269</v>
      </c>
      <c r="B7" s="624" t="s">
        <v>269</v>
      </c>
      <c r="C7" s="480" t="s">
        <v>214</v>
      </c>
      <c r="D7" s="480" t="s">
        <v>161</v>
      </c>
      <c r="E7" s="471" t="s">
        <v>215</v>
      </c>
      <c r="F7" s="471" t="s">
        <v>130</v>
      </c>
      <c r="G7" s="524" t="s">
        <v>15</v>
      </c>
      <c r="H7" s="468" t="s">
        <v>13</v>
      </c>
      <c r="I7" s="629" t="s">
        <v>269</v>
      </c>
      <c r="J7" s="651" t="s">
        <v>93</v>
      </c>
      <c r="K7" s="651" t="s">
        <v>103</v>
      </c>
      <c r="L7" s="652" t="s">
        <v>104</v>
      </c>
      <c r="M7" s="651" t="s">
        <v>105</v>
      </c>
      <c r="N7" s="540" t="s">
        <v>94</v>
      </c>
      <c r="O7" s="184" t="s">
        <v>106</v>
      </c>
      <c r="P7" s="184" t="s">
        <v>107</v>
      </c>
      <c r="Q7" s="651" t="s">
        <v>5</v>
      </c>
      <c r="R7" s="651" t="s">
        <v>205</v>
      </c>
      <c r="S7" s="652" t="s">
        <v>88</v>
      </c>
      <c r="T7" s="652" t="s">
        <v>89</v>
      </c>
      <c r="U7" s="651" t="s">
        <v>6</v>
      </c>
      <c r="V7" s="651" t="s">
        <v>90</v>
      </c>
      <c r="W7" s="651" t="s">
        <v>91</v>
      </c>
      <c r="X7" s="651" t="s">
        <v>92</v>
      </c>
      <c r="Y7" s="651" t="s">
        <v>193</v>
      </c>
      <c r="Z7" s="651" t="s">
        <v>9</v>
      </c>
      <c r="AA7" s="651" t="s">
        <v>275</v>
      </c>
      <c r="AB7" s="184" t="s">
        <v>52</v>
      </c>
      <c r="AC7" s="184"/>
      <c r="AD7" s="184"/>
      <c r="AE7" s="682" t="s">
        <v>9</v>
      </c>
      <c r="AF7" s="525" t="s">
        <v>9</v>
      </c>
      <c r="AG7" s="526" t="s">
        <v>9</v>
      </c>
      <c r="AH7" s="527" t="s">
        <v>9</v>
      </c>
      <c r="AI7" s="528" t="s">
        <v>9</v>
      </c>
      <c r="AJ7" s="529" t="s">
        <v>9</v>
      </c>
      <c r="AK7" s="184" t="s">
        <v>9</v>
      </c>
      <c r="AL7" s="184" t="s">
        <v>275</v>
      </c>
      <c r="AM7" s="577"/>
      <c r="AN7" s="577"/>
      <c r="AO7" s="577"/>
      <c r="AP7" s="577"/>
      <c r="AQ7" s="577"/>
      <c r="AR7" s="577"/>
      <c r="AS7" s="577"/>
      <c r="AT7" s="577"/>
      <c r="AU7" s="577"/>
      <c r="AV7" s="577"/>
      <c r="AW7" s="577"/>
      <c r="AX7" s="577"/>
      <c r="AY7" s="577"/>
      <c r="AZ7" s="577"/>
      <c r="BA7" s="577"/>
    </row>
    <row r="8" spans="1:53" s="153" customFormat="1" ht="16.2" thickTop="1" x14ac:dyDescent="0.25">
      <c r="A8" s="481"/>
      <c r="B8" s="481"/>
      <c r="C8" s="481"/>
      <c r="D8" s="623"/>
      <c r="E8" s="623"/>
      <c r="F8" s="467"/>
      <c r="G8" s="530"/>
      <c r="H8" s="538"/>
      <c r="I8" s="538"/>
      <c r="J8" s="151"/>
      <c r="K8" s="151"/>
      <c r="L8" s="653"/>
      <c r="M8" s="151"/>
      <c r="N8" s="541"/>
      <c r="O8" s="179"/>
      <c r="P8" s="179"/>
      <c r="Q8" s="151"/>
      <c r="R8" s="151"/>
      <c r="S8" s="653"/>
      <c r="T8" s="653"/>
      <c r="U8" s="151"/>
      <c r="V8" s="151"/>
      <c r="W8" s="151"/>
      <c r="X8" s="151"/>
      <c r="Y8" s="151"/>
      <c r="Z8" s="151"/>
      <c r="AA8" s="151"/>
      <c r="AB8" s="179"/>
      <c r="AC8" s="179"/>
      <c r="AD8" s="179"/>
      <c r="AE8" s="179"/>
      <c r="AF8" s="179"/>
      <c r="AG8" s="179"/>
      <c r="AH8" s="179"/>
      <c r="AI8" s="179"/>
      <c r="AJ8" s="179"/>
      <c r="AK8" s="179"/>
      <c r="AL8" s="179"/>
      <c r="AM8" s="577"/>
      <c r="AN8" s="577"/>
      <c r="AO8" s="577"/>
      <c r="AP8" s="577"/>
      <c r="AQ8" s="577"/>
      <c r="AR8" s="577"/>
      <c r="AS8" s="577"/>
      <c r="AT8" s="577"/>
      <c r="AU8" s="577"/>
      <c r="AV8" s="577"/>
      <c r="AW8" s="577"/>
      <c r="AX8" s="577"/>
      <c r="AY8" s="577"/>
      <c r="AZ8" s="577"/>
      <c r="BA8" s="577"/>
    </row>
    <row r="9" spans="1:53" s="153" customFormat="1" ht="15.6" x14ac:dyDescent="0.25">
      <c r="A9" s="481"/>
      <c r="B9" s="481"/>
      <c r="C9" s="481"/>
      <c r="D9" s="623"/>
      <c r="E9" s="623"/>
      <c r="F9" s="467"/>
      <c r="G9" s="787"/>
      <c r="H9" s="538"/>
      <c r="I9" s="538"/>
      <c r="J9" s="151"/>
      <c r="K9" s="151"/>
      <c r="L9" s="786"/>
      <c r="M9" s="151"/>
      <c r="N9" s="541"/>
      <c r="O9" s="179"/>
      <c r="P9" s="179"/>
      <c r="Q9" s="151"/>
      <c r="R9" s="151"/>
      <c r="S9" s="653"/>
      <c r="T9" s="653"/>
      <c r="U9" s="151"/>
      <c r="V9" s="151"/>
      <c r="W9" s="151"/>
      <c r="X9" s="151"/>
      <c r="Y9" s="151"/>
      <c r="Z9" s="151"/>
      <c r="AA9" s="151"/>
      <c r="AB9" s="179"/>
      <c r="AC9" s="179"/>
      <c r="AD9" s="179"/>
      <c r="AE9" s="179"/>
      <c r="AF9" s="179"/>
      <c r="AG9" s="179"/>
      <c r="AH9" s="179"/>
      <c r="AI9" s="179"/>
      <c r="AJ9" s="179"/>
      <c r="AK9" s="179"/>
      <c r="AL9" s="179"/>
      <c r="AM9" s="577"/>
      <c r="AN9" s="577"/>
      <c r="AO9" s="577"/>
      <c r="AP9" s="577"/>
      <c r="AQ9" s="577"/>
      <c r="AR9" s="577"/>
      <c r="AS9" s="577"/>
      <c r="AT9" s="577"/>
      <c r="AU9" s="577"/>
      <c r="AV9" s="577"/>
      <c r="AW9" s="577"/>
      <c r="AX9" s="577"/>
      <c r="AY9" s="577"/>
      <c r="AZ9" s="577"/>
      <c r="BA9" s="577"/>
    </row>
    <row r="10" spans="1:53" ht="16.2" thickBot="1" x14ac:dyDescent="0.35">
      <c r="E10" s="470"/>
      <c r="F10" s="154"/>
      <c r="G10" s="483"/>
      <c r="H10" s="495"/>
      <c r="I10" s="470"/>
      <c r="J10" s="133"/>
      <c r="K10" s="133"/>
      <c r="L10" s="654"/>
      <c r="M10" s="653"/>
      <c r="N10" s="547"/>
      <c r="O10" s="154"/>
      <c r="P10" s="154"/>
      <c r="Q10" s="654"/>
      <c r="R10" s="133"/>
      <c r="S10" s="654"/>
      <c r="T10" s="654"/>
      <c r="U10" s="654"/>
      <c r="V10" s="654"/>
      <c r="W10" s="654"/>
      <c r="X10" s="654"/>
      <c r="Y10" s="654"/>
      <c r="Z10" s="654"/>
      <c r="AA10" s="654"/>
    </row>
    <row r="11" spans="1:53" ht="15.6" thickTop="1" x14ac:dyDescent="0.25">
      <c r="A11" s="484"/>
      <c r="B11" s="484"/>
      <c r="C11" s="484"/>
      <c r="D11" s="484"/>
      <c r="E11" s="485"/>
      <c r="F11" s="485"/>
      <c r="G11" s="485"/>
      <c r="H11" s="485"/>
      <c r="I11" s="485"/>
      <c r="J11" s="655"/>
      <c r="K11" s="655"/>
      <c r="L11" s="655"/>
      <c r="M11" s="655"/>
      <c r="N11" s="543"/>
      <c r="O11" s="486"/>
      <c r="P11" s="487"/>
      <c r="Q11" s="665"/>
      <c r="R11" s="666"/>
      <c r="S11" s="666"/>
      <c r="T11" s="666"/>
      <c r="U11" s="666"/>
      <c r="V11" s="666"/>
      <c r="W11" s="666"/>
      <c r="X11" s="666"/>
      <c r="Y11" s="666"/>
      <c r="Z11" s="666"/>
      <c r="AA11" s="666"/>
      <c r="AB11" s="489" t="s">
        <v>52</v>
      </c>
      <c r="AC11" s="489"/>
      <c r="AD11" s="489"/>
      <c r="AE11" s="683"/>
      <c r="AF11" s="39"/>
      <c r="AG11" s="195"/>
      <c r="AH11" s="196"/>
      <c r="AI11" s="197"/>
      <c r="AJ11" s="67"/>
      <c r="AK11" s="435"/>
      <c r="AL11" s="435"/>
      <c r="AO11" s="573" t="s">
        <v>199</v>
      </c>
    </row>
    <row r="12" spans="1:53" ht="15.6" x14ac:dyDescent="0.3">
      <c r="E12" s="134"/>
      <c r="F12" s="120"/>
      <c r="G12" s="120"/>
      <c r="H12" s="126" t="s">
        <v>112</v>
      </c>
      <c r="I12" s="126"/>
      <c r="J12" s="139"/>
      <c r="K12" s="656"/>
      <c r="L12" s="656">
        <f>_xlfn.AGGREGATE(9,6,L8:L10)</f>
        <v>0</v>
      </c>
      <c r="M12" s="656">
        <f>_xlfn.AGGREGATE(9,6,M8:M10)</f>
        <v>0</v>
      </c>
      <c r="N12" s="544"/>
      <c r="O12" s="126"/>
      <c r="Q12" s="656">
        <f>SUMIF(Q8:Q10, "&lt;&gt;#N/A")</f>
        <v>0</v>
      </c>
      <c r="R12" s="656">
        <f>SUMIF(R8:R10, "&lt;&gt;#N/A")</f>
        <v>0</v>
      </c>
      <c r="S12" s="656">
        <f>SUMIF(S8:S10, "&lt;&gt;#N/A")</f>
        <v>0</v>
      </c>
      <c r="T12" s="656">
        <f>SUMIF(T8:T10, "&lt;&gt;#N/A")</f>
        <v>0</v>
      </c>
      <c r="U12" s="656">
        <f>SUMIF(U8:U10, "&lt;&gt;#N/A")</f>
        <v>0</v>
      </c>
      <c r="V12" s="656">
        <f>SUMIF(V8:V10, "&lt;&gt;#N/A")</f>
        <v>0</v>
      </c>
      <c r="W12" s="656">
        <f>SUMIF(W8:W10, "&lt;&gt;#N/A")</f>
        <v>0</v>
      </c>
      <c r="X12" s="656">
        <f>SUMIF(X8:X10, "&lt;&gt;#N/A")</f>
        <v>0</v>
      </c>
      <c r="Y12" s="656">
        <f>SUMIF(Y8:Y10, "&lt;&gt;#N/A")</f>
        <v>0</v>
      </c>
      <c r="Z12" s="656">
        <f>SUMIF(Z8:Z10, "&lt;&gt;#N/A")</f>
        <v>0</v>
      </c>
      <c r="AA12" s="656"/>
      <c r="AB12" s="137" t="s">
        <v>52</v>
      </c>
      <c r="AC12" s="137"/>
      <c r="AD12" s="137"/>
      <c r="AE12" s="688">
        <f>SUMIF(AE8:AE10,"&lt;&gt;#N/A")</f>
        <v>0</v>
      </c>
      <c r="AF12" s="76">
        <f>SUMIF(AF8:AF10,"&lt;&gt;#N/A")</f>
        <v>0</v>
      </c>
      <c r="AG12" s="625">
        <f>SUMIF(AG8:AG10,"&lt;&gt;#N/A")</f>
        <v>0</v>
      </c>
      <c r="AH12" s="626">
        <f>SUMIF(AH8:AH10,"&lt;&gt;#N/A")</f>
        <v>0</v>
      </c>
      <c r="AI12" s="627">
        <f>SUMIF(AI8:AI10,"&lt;&gt;#N/A")</f>
        <v>0</v>
      </c>
      <c r="AJ12" s="628">
        <f>SUMIF(AJ8:AJ10,"&lt;&gt;#N/A")</f>
        <v>0</v>
      </c>
      <c r="AK12" s="127">
        <f>SUM(AF12:AJ12)</f>
        <v>0</v>
      </c>
      <c r="AL12" s="125"/>
      <c r="AM12" s="579"/>
      <c r="AN12" s="579"/>
      <c r="AO12" s="580">
        <v>3910</v>
      </c>
      <c r="AP12" s="579"/>
    </row>
    <row r="13" spans="1:53" ht="15.6" x14ac:dyDescent="0.3">
      <c r="E13" s="134"/>
      <c r="F13" s="120"/>
      <c r="G13" s="120"/>
      <c r="H13" s="126"/>
      <c r="I13" s="126"/>
      <c r="J13" s="139"/>
      <c r="K13" s="139"/>
      <c r="L13" s="192"/>
      <c r="M13" s="657"/>
      <c r="N13" s="544"/>
      <c r="O13" s="126"/>
      <c r="Q13" s="127"/>
      <c r="R13" s="127"/>
      <c r="S13" s="125"/>
      <c r="W13" s="125"/>
      <c r="X13" s="125"/>
      <c r="Y13" s="125"/>
      <c r="Z13" s="125"/>
      <c r="AA13" s="125"/>
      <c r="AB13" s="125"/>
      <c r="AC13" s="125"/>
      <c r="AD13" s="125"/>
      <c r="AE13" s="684"/>
      <c r="AF13" s="40"/>
      <c r="AG13" s="45"/>
      <c r="AH13" s="32"/>
      <c r="AI13" s="48"/>
      <c r="AJ13" s="68"/>
      <c r="AK13" s="125"/>
      <c r="AL13" s="125"/>
      <c r="AM13" s="579"/>
      <c r="AN13" s="579"/>
      <c r="AO13" s="579"/>
      <c r="AP13" s="579"/>
    </row>
    <row r="14" spans="1:53" ht="15.6" x14ac:dyDescent="0.3">
      <c r="F14" s="120"/>
      <c r="G14" s="126" t="s">
        <v>158</v>
      </c>
      <c r="J14" s="139"/>
      <c r="K14" s="139"/>
      <c r="L14" s="658"/>
      <c r="M14" s="139"/>
      <c r="N14" s="545"/>
      <c r="O14" s="134"/>
      <c r="P14" s="134"/>
      <c r="Q14" s="134"/>
      <c r="R14" s="134"/>
      <c r="T14" s="470" t="s">
        <v>131</v>
      </c>
      <c r="U14" s="490">
        <f>+U12/K$77</f>
        <v>0</v>
      </c>
      <c r="V14" s="490">
        <f>+V12/K$77</f>
        <v>0</v>
      </c>
      <c r="AB14" s="134"/>
      <c r="AC14" s="134"/>
      <c r="AD14" s="134"/>
      <c r="AE14" s="134"/>
      <c r="AF14" s="134"/>
    </row>
    <row r="15" spans="1:53" ht="15.6" x14ac:dyDescent="0.3">
      <c r="E15" s="470"/>
      <c r="F15" s="470"/>
      <c r="G15" s="483"/>
      <c r="H15" s="470"/>
      <c r="I15" s="470"/>
      <c r="J15" s="133"/>
      <c r="K15" s="133"/>
      <c r="L15" s="654"/>
      <c r="M15" s="654"/>
      <c r="N15" s="546"/>
      <c r="O15" s="154"/>
      <c r="P15" s="154"/>
      <c r="Q15" s="154"/>
      <c r="R15" s="180"/>
      <c r="S15" s="470"/>
      <c r="T15" s="470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F15" s="154"/>
    </row>
    <row r="16" spans="1:53" ht="16.2" thickBot="1" x14ac:dyDescent="0.3">
      <c r="A16" s="624" t="s">
        <v>269</v>
      </c>
      <c r="B16" s="624" t="s">
        <v>269</v>
      </c>
      <c r="C16" s="480" t="s">
        <v>214</v>
      </c>
      <c r="D16" s="480" t="s">
        <v>161</v>
      </c>
      <c r="E16" s="471" t="s">
        <v>215</v>
      </c>
      <c r="F16" s="471" t="s">
        <v>130</v>
      </c>
      <c r="G16" s="524" t="s">
        <v>15</v>
      </c>
      <c r="H16" s="468"/>
      <c r="I16" s="468"/>
      <c r="J16" s="651" t="s">
        <v>93</v>
      </c>
      <c r="K16" s="651" t="s">
        <v>103</v>
      </c>
      <c r="L16" s="652" t="s">
        <v>104</v>
      </c>
      <c r="M16" s="651" t="s">
        <v>105</v>
      </c>
      <c r="N16" s="540" t="s">
        <v>94</v>
      </c>
      <c r="O16" s="184" t="s">
        <v>106</v>
      </c>
      <c r="P16" s="184" t="s">
        <v>107</v>
      </c>
      <c r="Q16" s="651" t="s">
        <v>5</v>
      </c>
      <c r="R16" s="651"/>
      <c r="S16" s="651"/>
      <c r="T16" s="651"/>
      <c r="U16" s="651"/>
      <c r="V16" s="651"/>
      <c r="W16" s="651"/>
      <c r="X16" s="651"/>
      <c r="Y16" s="651"/>
      <c r="Z16" s="651"/>
      <c r="AA16" s="651"/>
      <c r="AB16" s="651"/>
      <c r="AC16" s="651"/>
      <c r="AD16" s="651"/>
      <c r="AE16" s="651"/>
      <c r="AF16" s="651"/>
      <c r="AG16" s="179"/>
      <c r="AH16" s="179"/>
      <c r="AI16" s="482"/>
      <c r="AJ16" s="469"/>
      <c r="AK16" s="469"/>
      <c r="AL16" s="179"/>
      <c r="AM16" s="578"/>
      <c r="AN16" s="581"/>
      <c r="AO16" s="578"/>
      <c r="AP16" s="578"/>
    </row>
    <row r="17" spans="1:53" ht="16.2" thickTop="1" x14ac:dyDescent="0.25">
      <c r="A17" s="481"/>
      <c r="B17" s="481"/>
      <c r="C17" s="481"/>
      <c r="D17" s="481"/>
      <c r="E17" s="467"/>
      <c r="F17" s="467"/>
      <c r="G17" s="467"/>
      <c r="H17" s="538"/>
      <c r="I17" s="469"/>
      <c r="J17" s="151"/>
      <c r="K17" s="151"/>
      <c r="L17" s="653"/>
      <c r="M17" s="151"/>
      <c r="N17" s="541"/>
      <c r="O17" s="179"/>
      <c r="P17" s="179"/>
      <c r="Q17" s="151"/>
      <c r="R17" s="151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668"/>
      <c r="AG17" s="179"/>
      <c r="AH17" s="179"/>
      <c r="AI17" s="482"/>
      <c r="AJ17" s="469"/>
      <c r="AK17" s="469"/>
      <c r="AL17" s="179"/>
      <c r="AM17" s="578"/>
      <c r="AN17" s="581"/>
      <c r="AO17" s="578"/>
      <c r="AP17" s="578"/>
    </row>
    <row r="18" spans="1:53" ht="15.6" x14ac:dyDescent="0.3">
      <c r="A18" s="466"/>
      <c r="B18" s="466"/>
      <c r="E18" s="470"/>
      <c r="F18" s="154"/>
      <c r="G18" s="483" t="s">
        <v>109</v>
      </c>
      <c r="H18" s="495"/>
      <c r="I18" s="470"/>
      <c r="J18" s="133"/>
      <c r="K18" s="133"/>
      <c r="L18" s="654"/>
      <c r="M18" s="654"/>
      <c r="N18" s="546"/>
      <c r="O18" s="154"/>
      <c r="P18" s="154"/>
      <c r="Q18" s="654"/>
      <c r="R18" s="654"/>
      <c r="S18" s="654"/>
      <c r="T18" s="654"/>
      <c r="U18" s="654"/>
      <c r="V18" s="654"/>
      <c r="W18" s="654"/>
      <c r="X18" s="654"/>
      <c r="Y18" s="654"/>
      <c r="Z18" s="654"/>
      <c r="AA18" s="654"/>
      <c r="AB18" s="654"/>
      <c r="AC18" s="654"/>
      <c r="AD18" s="654"/>
      <c r="AE18" s="654"/>
      <c r="AF18" s="669"/>
    </row>
    <row r="19" spans="1:53" ht="15.6" x14ac:dyDescent="0.3">
      <c r="E19" s="470"/>
      <c r="F19" s="154"/>
      <c r="G19" s="483"/>
      <c r="H19" s="495"/>
      <c r="I19" s="470"/>
      <c r="J19" s="133"/>
      <c r="K19" s="133"/>
      <c r="L19" s="654"/>
      <c r="M19" s="654"/>
      <c r="N19" s="546"/>
      <c r="O19" s="154"/>
      <c r="P19" s="154"/>
      <c r="Q19" s="654"/>
      <c r="R19" s="180"/>
      <c r="S19" s="154"/>
      <c r="T19" s="154"/>
      <c r="U19" s="154"/>
      <c r="V19" s="154"/>
      <c r="W19" s="154"/>
      <c r="X19" s="154"/>
      <c r="Y19" s="154"/>
      <c r="Z19" s="154"/>
      <c r="AA19" s="154"/>
      <c r="AF19" s="670"/>
    </row>
    <row r="20" spans="1:53" s="69" customFormat="1" ht="15.6" x14ac:dyDescent="0.3">
      <c r="C20" s="537" t="s">
        <v>163</v>
      </c>
      <c r="D20" s="537" t="s">
        <v>162</v>
      </c>
      <c r="E20" s="537" t="s">
        <v>134</v>
      </c>
      <c r="F20" s="531" t="s">
        <v>221</v>
      </c>
      <c r="G20" s="536" t="s">
        <v>220</v>
      </c>
      <c r="H20" s="539"/>
      <c r="I20" s="154"/>
      <c r="J20" s="174">
        <v>0</v>
      </c>
      <c r="K20" s="659">
        <v>0</v>
      </c>
      <c r="L20" s="257">
        <f>K20-J20</f>
        <v>0</v>
      </c>
      <c r="M20" s="660">
        <f>L20</f>
        <v>0</v>
      </c>
      <c r="N20" s="542" t="s">
        <v>77</v>
      </c>
      <c r="O20" s="175" t="s">
        <v>102</v>
      </c>
      <c r="P20" s="175"/>
      <c r="Q20" s="661">
        <f>L20</f>
        <v>0</v>
      </c>
      <c r="R20" s="532"/>
      <c r="S20" s="532"/>
      <c r="T20" s="532"/>
      <c r="U20" s="532"/>
      <c r="V20" s="532"/>
      <c r="W20" s="532"/>
      <c r="X20" s="532"/>
      <c r="Y20" s="532"/>
      <c r="Z20" s="533"/>
      <c r="AA20" s="533"/>
      <c r="AF20" s="671">
        <f>Q20</f>
        <v>0</v>
      </c>
      <c r="AM20" s="576"/>
      <c r="AN20" s="576"/>
      <c r="AO20" s="576"/>
      <c r="AP20" s="576"/>
      <c r="AQ20" s="576"/>
      <c r="AR20" s="576"/>
      <c r="AS20" s="576"/>
      <c r="AT20" s="576"/>
      <c r="AU20" s="576"/>
      <c r="AV20" s="576"/>
      <c r="AW20" s="576"/>
      <c r="AX20" s="576"/>
      <c r="AY20" s="576"/>
      <c r="AZ20" s="576"/>
      <c r="BA20" s="576"/>
    </row>
    <row r="21" spans="1:53" s="69" customFormat="1" ht="15.6" x14ac:dyDescent="0.3">
      <c r="C21" s="537" t="s">
        <v>163</v>
      </c>
      <c r="D21" s="537" t="s">
        <v>162</v>
      </c>
      <c r="E21" s="537" t="s">
        <v>134</v>
      </c>
      <c r="F21" s="531" t="s">
        <v>270</v>
      </c>
      <c r="G21" s="536" t="s">
        <v>220</v>
      </c>
      <c r="H21" s="539"/>
      <c r="I21" s="154"/>
      <c r="J21" s="174">
        <v>0</v>
      </c>
      <c r="K21" s="659">
        <v>0</v>
      </c>
      <c r="L21" s="257">
        <f>K21-J21</f>
        <v>0</v>
      </c>
      <c r="M21" s="660">
        <f>L21</f>
        <v>0</v>
      </c>
      <c r="N21" s="542" t="s">
        <v>77</v>
      </c>
      <c r="O21" s="175" t="s">
        <v>102</v>
      </c>
      <c r="P21" s="175"/>
      <c r="Q21" s="661">
        <f t="shared" ref="Q21:Q36" si="0">L21</f>
        <v>0</v>
      </c>
      <c r="R21" s="532"/>
      <c r="S21" s="532"/>
      <c r="T21" s="532"/>
      <c r="U21" s="532"/>
      <c r="V21" s="532"/>
      <c r="W21" s="532"/>
      <c r="X21" s="532"/>
      <c r="Y21" s="532"/>
      <c r="Z21" s="533"/>
      <c r="AA21" s="533"/>
      <c r="AF21" s="671">
        <f>Q21</f>
        <v>0</v>
      </c>
      <c r="AM21" s="576"/>
      <c r="AN21" s="576"/>
      <c r="AO21" s="576"/>
      <c r="AP21" s="576"/>
      <c r="AQ21" s="576"/>
      <c r="AR21" s="576"/>
      <c r="AS21" s="576"/>
      <c r="AT21" s="576"/>
      <c r="AU21" s="576"/>
      <c r="AV21" s="576"/>
      <c r="AW21" s="576"/>
      <c r="AX21" s="576"/>
      <c r="AY21" s="576"/>
      <c r="AZ21" s="576"/>
      <c r="BA21" s="576"/>
    </row>
    <row r="22" spans="1:53" ht="15.6" x14ac:dyDescent="0.3">
      <c r="E22" s="470"/>
      <c r="F22" s="154"/>
      <c r="G22" s="483"/>
      <c r="H22" s="495" t="s">
        <v>272</v>
      </c>
      <c r="I22" s="470"/>
      <c r="J22" s="133"/>
      <c r="K22" s="133"/>
      <c r="L22" s="654"/>
      <c r="M22" s="653"/>
      <c r="N22" s="547"/>
      <c r="O22" s="154"/>
      <c r="P22" s="154"/>
      <c r="Q22" s="661"/>
      <c r="R22" s="180"/>
      <c r="S22" s="154"/>
      <c r="T22" s="154"/>
      <c r="U22" s="154"/>
      <c r="V22" s="154"/>
      <c r="W22" s="154"/>
      <c r="X22" s="154"/>
      <c r="Y22" s="154"/>
      <c r="Z22" s="154"/>
      <c r="AA22" s="154"/>
      <c r="AF22" s="671"/>
    </row>
    <row r="23" spans="1:53" ht="15.6" x14ac:dyDescent="0.3">
      <c r="E23" s="470"/>
      <c r="F23" s="154"/>
      <c r="G23" s="483" t="s">
        <v>110</v>
      </c>
      <c r="H23" s="495"/>
      <c r="I23" s="470"/>
      <c r="J23" s="133"/>
      <c r="K23" s="133"/>
      <c r="L23" s="654"/>
      <c r="M23" s="653"/>
      <c r="N23" s="547"/>
      <c r="O23" s="154"/>
      <c r="P23" s="154"/>
      <c r="Q23" s="661"/>
      <c r="R23" s="180"/>
      <c r="S23" s="154"/>
      <c r="T23" s="154"/>
      <c r="U23" s="154"/>
      <c r="V23" s="154"/>
      <c r="W23" s="154"/>
      <c r="X23" s="154"/>
      <c r="Y23" s="154"/>
      <c r="Z23" s="154"/>
      <c r="AA23" s="154"/>
      <c r="AF23" s="671"/>
    </row>
    <row r="24" spans="1:53" ht="15.6" x14ac:dyDescent="0.3">
      <c r="E24" s="470"/>
      <c r="F24" s="154"/>
      <c r="G24" s="483"/>
      <c r="H24" s="495"/>
      <c r="I24" s="470"/>
      <c r="J24" s="133"/>
      <c r="K24" s="133"/>
      <c r="L24" s="654"/>
      <c r="M24" s="653"/>
      <c r="N24" s="547"/>
      <c r="O24" s="154"/>
      <c r="P24" s="154"/>
      <c r="Q24" s="661"/>
      <c r="R24" s="180"/>
      <c r="S24" s="154"/>
      <c r="T24" s="154"/>
      <c r="U24" s="154"/>
      <c r="V24" s="154"/>
      <c r="W24" s="154"/>
      <c r="X24" s="154"/>
      <c r="Y24" s="154"/>
      <c r="Z24" s="154"/>
      <c r="AA24" s="154"/>
      <c r="AF24" s="671"/>
    </row>
    <row r="25" spans="1:53" s="69" customFormat="1" ht="15.6" x14ac:dyDescent="0.3">
      <c r="C25" s="537" t="s">
        <v>163</v>
      </c>
      <c r="D25" s="537" t="s">
        <v>162</v>
      </c>
      <c r="E25" s="537" t="s">
        <v>134</v>
      </c>
      <c r="F25" s="531" t="s">
        <v>219</v>
      </c>
      <c r="G25" s="536" t="s">
        <v>220</v>
      </c>
      <c r="H25" s="539"/>
      <c r="I25" s="154"/>
      <c r="J25" s="174">
        <v>0</v>
      </c>
      <c r="K25" s="659">
        <v>0</v>
      </c>
      <c r="L25" s="257">
        <f>K25-J25</f>
        <v>0</v>
      </c>
      <c r="M25" s="660">
        <f>L25</f>
        <v>0</v>
      </c>
      <c r="N25" s="542" t="s">
        <v>77</v>
      </c>
      <c r="O25" s="175" t="s">
        <v>102</v>
      </c>
      <c r="P25" s="175"/>
      <c r="Q25" s="661">
        <f t="shared" si="0"/>
        <v>0</v>
      </c>
      <c r="R25" s="532"/>
      <c r="S25" s="532"/>
      <c r="T25" s="532"/>
      <c r="U25" s="532"/>
      <c r="V25" s="532"/>
      <c r="W25" s="532"/>
      <c r="X25" s="532"/>
      <c r="Y25" s="532"/>
      <c r="Z25" s="533"/>
      <c r="AA25" s="533"/>
      <c r="AF25" s="671">
        <f t="shared" ref="AF25:AF36" si="1">Q25</f>
        <v>0</v>
      </c>
      <c r="AM25" s="576"/>
      <c r="AN25" s="576"/>
      <c r="AO25" s="576"/>
      <c r="AP25" s="576"/>
      <c r="AQ25" s="576"/>
      <c r="AR25" s="576"/>
      <c r="AS25" s="576"/>
      <c r="AT25" s="576"/>
      <c r="AU25" s="576"/>
      <c r="AV25" s="576"/>
      <c r="AW25" s="576"/>
      <c r="AX25" s="576"/>
      <c r="AY25" s="576"/>
      <c r="AZ25" s="576"/>
      <c r="BA25" s="576"/>
    </row>
    <row r="26" spans="1:53" s="69" customFormat="1" ht="15.6" x14ac:dyDescent="0.3">
      <c r="C26" s="537" t="s">
        <v>163</v>
      </c>
      <c r="D26" s="537" t="s">
        <v>162</v>
      </c>
      <c r="E26" s="537" t="s">
        <v>134</v>
      </c>
      <c r="F26" s="531" t="s">
        <v>224</v>
      </c>
      <c r="G26" s="536" t="s">
        <v>220</v>
      </c>
      <c r="H26" s="539"/>
      <c r="I26" s="154"/>
      <c r="J26" s="174">
        <v>0</v>
      </c>
      <c r="K26" s="659">
        <v>0</v>
      </c>
      <c r="L26" s="257">
        <f>K26-J26</f>
        <v>0</v>
      </c>
      <c r="M26" s="660">
        <f>L26</f>
        <v>0</v>
      </c>
      <c r="N26" s="542" t="s">
        <v>77</v>
      </c>
      <c r="O26" s="175" t="s">
        <v>102</v>
      </c>
      <c r="P26" s="175"/>
      <c r="Q26" s="661">
        <f t="shared" si="0"/>
        <v>0</v>
      </c>
      <c r="R26" s="532"/>
      <c r="S26" s="532"/>
      <c r="T26" s="532"/>
      <c r="U26" s="532"/>
      <c r="V26" s="532"/>
      <c r="W26" s="532"/>
      <c r="X26" s="532"/>
      <c r="Y26" s="532"/>
      <c r="Z26" s="533"/>
      <c r="AA26" s="533"/>
      <c r="AF26" s="671">
        <f t="shared" si="1"/>
        <v>0</v>
      </c>
      <c r="AM26" s="576"/>
      <c r="AN26" s="576"/>
      <c r="AO26" s="576"/>
      <c r="AP26" s="576"/>
      <c r="AQ26" s="576"/>
      <c r="AR26" s="576"/>
      <c r="AS26" s="576"/>
      <c r="AT26" s="576"/>
      <c r="AU26" s="576"/>
      <c r="AV26" s="576"/>
      <c r="AW26" s="576"/>
      <c r="AX26" s="576"/>
      <c r="AY26" s="576"/>
      <c r="AZ26" s="576"/>
      <c r="BA26" s="576"/>
    </row>
    <row r="27" spans="1:53" ht="15.6" x14ac:dyDescent="0.3">
      <c r="E27" s="470"/>
      <c r="F27" s="154"/>
      <c r="G27" s="483"/>
      <c r="H27" s="495"/>
      <c r="I27" s="470"/>
      <c r="J27" s="133"/>
      <c r="K27" s="133"/>
      <c r="L27" s="654"/>
      <c r="M27" s="653"/>
      <c r="N27" s="547"/>
      <c r="O27" s="154"/>
      <c r="P27" s="154"/>
      <c r="Q27" s="661"/>
      <c r="R27" s="180"/>
      <c r="S27" s="154"/>
      <c r="T27" s="154"/>
      <c r="U27" s="154"/>
      <c r="V27" s="154"/>
      <c r="W27" s="154"/>
      <c r="X27" s="154"/>
      <c r="Y27" s="154"/>
      <c r="Z27" s="154"/>
      <c r="AA27" s="154"/>
      <c r="AF27" s="671"/>
    </row>
    <row r="28" spans="1:53" ht="15.6" x14ac:dyDescent="0.3">
      <c r="E28" s="470"/>
      <c r="F28" s="154"/>
      <c r="G28" s="483" t="s">
        <v>110</v>
      </c>
      <c r="H28" s="495"/>
      <c r="I28" s="470"/>
      <c r="J28" s="133"/>
      <c r="K28" s="133"/>
      <c r="L28" s="654"/>
      <c r="M28" s="653"/>
      <c r="N28" s="547"/>
      <c r="O28" s="154"/>
      <c r="P28" s="154"/>
      <c r="Q28" s="661"/>
      <c r="R28" s="180"/>
      <c r="S28" s="154"/>
      <c r="T28" s="154"/>
      <c r="U28" s="154"/>
      <c r="V28" s="154"/>
      <c r="W28" s="154"/>
      <c r="X28" s="154"/>
      <c r="Y28" s="154"/>
      <c r="Z28" s="154"/>
      <c r="AA28" s="154"/>
      <c r="AF28" s="671"/>
    </row>
    <row r="29" spans="1:53" ht="15.6" x14ac:dyDescent="0.3">
      <c r="E29" s="470"/>
      <c r="F29" s="154"/>
      <c r="G29" s="483"/>
      <c r="H29" s="495"/>
      <c r="I29" s="470"/>
      <c r="J29" s="133"/>
      <c r="K29" s="133"/>
      <c r="L29" s="654"/>
      <c r="M29" s="653"/>
      <c r="N29" s="547"/>
      <c r="O29" s="154"/>
      <c r="P29" s="154"/>
      <c r="Q29" s="661"/>
      <c r="R29" s="180"/>
      <c r="S29" s="154"/>
      <c r="T29" s="154"/>
      <c r="U29" s="154"/>
      <c r="V29" s="154"/>
      <c r="W29" s="154"/>
      <c r="X29" s="154"/>
      <c r="Y29" s="154"/>
      <c r="Z29" s="154"/>
      <c r="AA29" s="154"/>
      <c r="AF29" s="671"/>
    </row>
    <row r="30" spans="1:53" s="69" customFormat="1" ht="15.6" x14ac:dyDescent="0.3">
      <c r="C30" s="537" t="s">
        <v>163</v>
      </c>
      <c r="D30" s="537" t="s">
        <v>162</v>
      </c>
      <c r="E30" s="537" t="s">
        <v>134</v>
      </c>
      <c r="F30" s="531" t="s">
        <v>222</v>
      </c>
      <c r="G30" s="536" t="s">
        <v>220</v>
      </c>
      <c r="H30" s="539"/>
      <c r="I30" s="154"/>
      <c r="J30" s="174">
        <v>0</v>
      </c>
      <c r="K30" s="659">
        <v>0</v>
      </c>
      <c r="L30" s="257">
        <f>K30-J30</f>
        <v>0</v>
      </c>
      <c r="M30" s="660">
        <f>L30</f>
        <v>0</v>
      </c>
      <c r="N30" s="542" t="s">
        <v>77</v>
      </c>
      <c r="O30" s="175" t="s">
        <v>102</v>
      </c>
      <c r="P30" s="175"/>
      <c r="Q30" s="661">
        <f t="shared" si="0"/>
        <v>0</v>
      </c>
      <c r="R30" s="532"/>
      <c r="S30" s="532"/>
      <c r="T30" s="532"/>
      <c r="U30" s="532"/>
      <c r="V30" s="532"/>
      <c r="W30" s="532"/>
      <c r="X30" s="532"/>
      <c r="Y30" s="532"/>
      <c r="Z30" s="533"/>
      <c r="AA30" s="533"/>
      <c r="AF30" s="671">
        <f t="shared" si="1"/>
        <v>0</v>
      </c>
      <c r="AM30" s="576"/>
      <c r="AN30" s="576"/>
      <c r="AO30" s="576"/>
      <c r="AP30" s="576"/>
      <c r="AQ30" s="576"/>
      <c r="AR30" s="576"/>
      <c r="AS30" s="576"/>
      <c r="AT30" s="576"/>
      <c r="AU30" s="576"/>
      <c r="AV30" s="576"/>
      <c r="AW30" s="576"/>
      <c r="AX30" s="576"/>
      <c r="AY30" s="576"/>
      <c r="AZ30" s="576"/>
      <c r="BA30" s="576"/>
    </row>
    <row r="31" spans="1:53" s="69" customFormat="1" ht="15.6" x14ac:dyDescent="0.3">
      <c r="C31" s="537" t="s">
        <v>163</v>
      </c>
      <c r="D31" s="537" t="s">
        <v>162</v>
      </c>
      <c r="E31" s="537" t="s">
        <v>134</v>
      </c>
      <c r="F31" s="531" t="s">
        <v>271</v>
      </c>
      <c r="G31" s="536" t="s">
        <v>220</v>
      </c>
      <c r="H31" s="539"/>
      <c r="I31" s="154"/>
      <c r="J31" s="174">
        <v>0</v>
      </c>
      <c r="K31" s="659">
        <v>0</v>
      </c>
      <c r="L31" s="257">
        <f>K31-J31</f>
        <v>0</v>
      </c>
      <c r="M31" s="660">
        <f>L31</f>
        <v>0</v>
      </c>
      <c r="N31" s="542" t="s">
        <v>77</v>
      </c>
      <c r="O31" s="175" t="s">
        <v>102</v>
      </c>
      <c r="P31" s="175"/>
      <c r="Q31" s="661">
        <f t="shared" si="0"/>
        <v>0</v>
      </c>
      <c r="R31" s="532"/>
      <c r="S31" s="532"/>
      <c r="T31" s="532"/>
      <c r="U31" s="532"/>
      <c r="V31" s="532"/>
      <c r="W31" s="532"/>
      <c r="X31" s="532"/>
      <c r="Y31" s="532"/>
      <c r="Z31" s="533"/>
      <c r="AA31" s="533"/>
      <c r="AF31" s="671">
        <f t="shared" si="1"/>
        <v>0</v>
      </c>
      <c r="AM31" s="576"/>
      <c r="AN31" s="576"/>
      <c r="AO31" s="576"/>
      <c r="AP31" s="576"/>
      <c r="AQ31" s="576"/>
      <c r="AR31" s="576"/>
      <c r="AS31" s="576"/>
      <c r="AT31" s="576"/>
      <c r="AU31" s="576"/>
      <c r="AV31" s="576"/>
      <c r="AW31" s="576"/>
      <c r="AX31" s="576"/>
      <c r="AY31" s="576"/>
      <c r="AZ31" s="576"/>
      <c r="BA31" s="576"/>
    </row>
    <row r="32" spans="1:53" s="69" customFormat="1" ht="15.6" x14ac:dyDescent="0.3">
      <c r="C32" s="534"/>
      <c r="D32" s="534"/>
      <c r="E32" s="535"/>
      <c r="F32" s="531"/>
      <c r="G32" s="536"/>
      <c r="H32" s="539"/>
      <c r="I32" s="154"/>
      <c r="J32" s="174"/>
      <c r="K32" s="661"/>
      <c r="L32" s="257"/>
      <c r="M32" s="662"/>
      <c r="N32" s="542"/>
      <c r="O32" s="175"/>
      <c r="P32" s="175"/>
      <c r="Q32" s="661"/>
      <c r="R32" s="532"/>
      <c r="S32" s="532"/>
      <c r="T32" s="532"/>
      <c r="U32" s="532"/>
      <c r="V32" s="532"/>
      <c r="W32" s="532"/>
      <c r="X32" s="532"/>
      <c r="Y32" s="532"/>
      <c r="Z32" s="533"/>
      <c r="AA32" s="533"/>
      <c r="AF32" s="671"/>
      <c r="AM32" s="576"/>
      <c r="AN32" s="576"/>
      <c r="AO32" s="576"/>
      <c r="AP32" s="576"/>
      <c r="AQ32" s="576"/>
      <c r="AR32" s="576"/>
      <c r="AS32" s="576"/>
      <c r="AT32" s="576"/>
      <c r="AU32" s="576"/>
      <c r="AV32" s="576"/>
      <c r="AW32" s="576"/>
      <c r="AX32" s="576"/>
      <c r="AY32" s="576"/>
      <c r="AZ32" s="576"/>
      <c r="BA32" s="576"/>
    </row>
    <row r="33" spans="1:54" ht="15.6" x14ac:dyDescent="0.3">
      <c r="E33" s="470"/>
      <c r="F33" s="154"/>
      <c r="G33" s="483" t="s">
        <v>111</v>
      </c>
      <c r="H33" s="495"/>
      <c r="I33" s="470"/>
      <c r="J33" s="133"/>
      <c r="K33" s="133"/>
      <c r="L33" s="654"/>
      <c r="M33" s="653"/>
      <c r="N33" s="547"/>
      <c r="O33" s="154"/>
      <c r="P33" s="154"/>
      <c r="Q33" s="661"/>
      <c r="R33" s="180"/>
      <c r="S33" s="154"/>
      <c r="T33" s="154"/>
      <c r="U33" s="154"/>
      <c r="V33" s="154"/>
      <c r="W33" s="154"/>
      <c r="X33" s="154"/>
      <c r="Y33" s="154"/>
      <c r="Z33" s="154"/>
      <c r="AA33" s="154"/>
      <c r="AF33" s="671"/>
    </row>
    <row r="34" spans="1:54" ht="15.6" x14ac:dyDescent="0.3">
      <c r="E34" s="470"/>
      <c r="F34" s="154"/>
      <c r="G34" s="483"/>
      <c r="H34" s="495" t="s">
        <v>272</v>
      </c>
      <c r="I34" s="470"/>
      <c r="J34" s="133"/>
      <c r="K34" s="133"/>
      <c r="L34" s="654"/>
      <c r="M34" s="653"/>
      <c r="N34" s="547"/>
      <c r="O34" s="154"/>
      <c r="P34" s="154"/>
      <c r="Q34" s="661"/>
      <c r="R34" s="180"/>
      <c r="S34" s="154"/>
      <c r="T34" s="154"/>
      <c r="U34" s="154"/>
      <c r="V34" s="154"/>
      <c r="W34" s="154"/>
      <c r="X34" s="154"/>
      <c r="Y34" s="154"/>
      <c r="Z34" s="154"/>
      <c r="AA34" s="154"/>
      <c r="AF34" s="671"/>
    </row>
    <row r="35" spans="1:54" s="69" customFormat="1" ht="15.6" x14ac:dyDescent="0.3">
      <c r="C35" s="537" t="s">
        <v>163</v>
      </c>
      <c r="D35" s="537" t="s">
        <v>162</v>
      </c>
      <c r="E35" s="537" t="s">
        <v>134</v>
      </c>
      <c r="F35" s="531" t="s">
        <v>223</v>
      </c>
      <c r="G35" s="536" t="s">
        <v>220</v>
      </c>
      <c r="H35" s="539"/>
      <c r="I35" s="154"/>
      <c r="J35" s="174">
        <v>0</v>
      </c>
      <c r="K35" s="659">
        <v>0</v>
      </c>
      <c r="L35" s="257">
        <f>K35-J35</f>
        <v>0</v>
      </c>
      <c r="M35" s="660">
        <f>L35</f>
        <v>0</v>
      </c>
      <c r="N35" s="542" t="s">
        <v>77</v>
      </c>
      <c r="O35" s="175" t="s">
        <v>102</v>
      </c>
      <c r="P35" s="175"/>
      <c r="Q35" s="661">
        <f t="shared" si="0"/>
        <v>0</v>
      </c>
      <c r="R35" s="532"/>
      <c r="S35" s="532"/>
      <c r="T35" s="532"/>
      <c r="U35" s="532"/>
      <c r="V35" s="532"/>
      <c r="W35" s="532"/>
      <c r="X35" s="532"/>
      <c r="Y35" s="532"/>
      <c r="Z35" s="533"/>
      <c r="AA35" s="533"/>
      <c r="AF35" s="671">
        <f t="shared" si="1"/>
        <v>0</v>
      </c>
      <c r="AM35" s="576"/>
      <c r="AN35" s="576"/>
      <c r="AO35" s="576"/>
      <c r="AP35" s="576"/>
      <c r="AQ35" s="576"/>
      <c r="AR35" s="576"/>
      <c r="AS35" s="576"/>
      <c r="AT35" s="576"/>
      <c r="AU35" s="576"/>
      <c r="AV35" s="576"/>
      <c r="AW35" s="576"/>
      <c r="AX35" s="576"/>
      <c r="AY35" s="576"/>
      <c r="AZ35" s="576"/>
      <c r="BA35" s="576"/>
    </row>
    <row r="36" spans="1:54" s="69" customFormat="1" ht="15.6" x14ac:dyDescent="0.3">
      <c r="C36" s="537" t="s">
        <v>163</v>
      </c>
      <c r="D36" s="537" t="s">
        <v>162</v>
      </c>
      <c r="E36" s="537" t="s">
        <v>134</v>
      </c>
      <c r="F36" s="531" t="s">
        <v>273</v>
      </c>
      <c r="G36" s="536" t="s">
        <v>220</v>
      </c>
      <c r="H36" s="539"/>
      <c r="I36" s="154"/>
      <c r="J36" s="174">
        <v>0</v>
      </c>
      <c r="K36" s="659">
        <v>0</v>
      </c>
      <c r="L36" s="257">
        <f>K36-J36</f>
        <v>0</v>
      </c>
      <c r="M36" s="660">
        <f>L36</f>
        <v>0</v>
      </c>
      <c r="N36" s="542" t="s">
        <v>77</v>
      </c>
      <c r="O36" s="175" t="s">
        <v>102</v>
      </c>
      <c r="P36" s="175"/>
      <c r="Q36" s="661">
        <f t="shared" si="0"/>
        <v>0</v>
      </c>
      <c r="R36" s="532"/>
      <c r="S36" s="532"/>
      <c r="T36" s="532"/>
      <c r="U36" s="532"/>
      <c r="V36" s="532"/>
      <c r="W36" s="532"/>
      <c r="X36" s="532"/>
      <c r="Y36" s="532"/>
      <c r="Z36" s="533"/>
      <c r="AA36" s="533"/>
      <c r="AF36" s="671">
        <f t="shared" si="1"/>
        <v>0</v>
      </c>
      <c r="AM36" s="576"/>
      <c r="AN36" s="576"/>
      <c r="AO36" s="576"/>
      <c r="AP36" s="576"/>
      <c r="AQ36" s="576"/>
      <c r="AR36" s="576"/>
      <c r="AS36" s="576"/>
      <c r="AT36" s="576"/>
      <c r="AU36" s="576"/>
      <c r="AV36" s="576"/>
      <c r="AW36" s="576"/>
      <c r="AX36" s="576"/>
      <c r="AY36" s="576"/>
      <c r="AZ36" s="576"/>
      <c r="BA36" s="576"/>
    </row>
    <row r="37" spans="1:54" s="69" customFormat="1" ht="16.2" thickBot="1" x14ac:dyDescent="0.35">
      <c r="A37" s="537"/>
      <c r="B37" s="537"/>
      <c r="C37" s="537"/>
      <c r="D37" s="537"/>
      <c r="E37" s="537"/>
      <c r="F37" s="531"/>
      <c r="G37" s="536"/>
      <c r="H37" s="132" t="s">
        <v>272</v>
      </c>
      <c r="I37" s="154"/>
      <c r="J37" s="174"/>
      <c r="K37" s="661"/>
      <c r="L37" s="257"/>
      <c r="M37" s="662"/>
      <c r="N37" s="542"/>
      <c r="O37" s="175"/>
      <c r="P37" s="175"/>
      <c r="Q37" s="174"/>
      <c r="R37" s="174"/>
      <c r="S37" s="174"/>
      <c r="T37" s="174"/>
      <c r="U37" s="174"/>
      <c r="V37" s="174"/>
      <c r="W37" s="174"/>
      <c r="X37" s="174"/>
      <c r="Y37" s="174"/>
      <c r="Z37" s="174"/>
      <c r="AA37" s="174"/>
      <c r="AB37" s="174"/>
      <c r="AC37" s="174"/>
      <c r="AD37" s="174"/>
      <c r="AE37" s="174"/>
      <c r="AF37" s="672"/>
      <c r="AM37" s="576"/>
      <c r="AN37" s="576"/>
      <c r="AO37" s="576"/>
      <c r="AP37" s="576"/>
      <c r="AQ37" s="576"/>
      <c r="AR37" s="576"/>
      <c r="AS37" s="576"/>
      <c r="AT37" s="576"/>
      <c r="AU37" s="576"/>
      <c r="AV37" s="576"/>
      <c r="AW37" s="576"/>
      <c r="AX37" s="576"/>
      <c r="AY37" s="576"/>
      <c r="AZ37" s="576"/>
      <c r="BA37" s="576"/>
    </row>
    <row r="38" spans="1:54" ht="16.2" thickTop="1" x14ac:dyDescent="0.3">
      <c r="A38" s="491"/>
      <c r="B38" s="491"/>
      <c r="C38" s="491"/>
      <c r="D38" s="491"/>
      <c r="E38" s="492"/>
      <c r="F38" s="492"/>
      <c r="G38" s="492"/>
      <c r="H38" s="492"/>
      <c r="I38" s="492"/>
      <c r="J38" s="663"/>
      <c r="K38" s="663"/>
      <c r="L38" s="663"/>
      <c r="M38" s="663"/>
      <c r="N38" s="548"/>
      <c r="O38" s="492"/>
      <c r="P38" s="492"/>
      <c r="Q38" s="663"/>
      <c r="R38" s="663"/>
      <c r="S38" s="663"/>
      <c r="T38" s="663"/>
      <c r="U38" s="663"/>
      <c r="V38" s="663"/>
      <c r="W38" s="663"/>
      <c r="X38" s="663"/>
      <c r="Y38" s="663"/>
      <c r="Z38" s="663"/>
      <c r="AA38" s="663"/>
      <c r="AB38" s="663"/>
      <c r="AC38" s="663"/>
      <c r="AD38" s="663"/>
      <c r="AE38" s="663"/>
      <c r="AF38" s="663"/>
    </row>
    <row r="39" spans="1:54" ht="15.6" x14ac:dyDescent="0.3">
      <c r="E39" s="470"/>
      <c r="F39" s="470"/>
      <c r="G39" s="470"/>
      <c r="H39" s="126" t="s">
        <v>112</v>
      </c>
      <c r="I39" s="126"/>
      <c r="J39" s="192"/>
      <c r="K39" s="192"/>
      <c r="L39" s="192">
        <f>SUM(L16:L38)</f>
        <v>0</v>
      </c>
      <c r="M39" s="192">
        <f>SUM(M16:M38)</f>
        <v>0</v>
      </c>
      <c r="N39" s="544"/>
      <c r="O39" s="470"/>
      <c r="P39" s="470"/>
      <c r="Q39" s="656">
        <f>SUM(Q16:Q38)</f>
        <v>0</v>
      </c>
      <c r="R39" s="279"/>
      <c r="S39" s="279"/>
      <c r="T39" s="279"/>
      <c r="U39" s="279"/>
      <c r="V39" s="279"/>
      <c r="W39" s="279"/>
      <c r="X39" s="279"/>
      <c r="Y39" s="279"/>
      <c r="Z39" s="279"/>
      <c r="AA39" s="279"/>
    </row>
    <row r="40" spans="1:54" ht="15.6" x14ac:dyDescent="0.3">
      <c r="E40"/>
      <c r="F40"/>
      <c r="G40"/>
      <c r="H40" s="470"/>
      <c r="I40" s="470"/>
      <c r="J40" s="664"/>
      <c r="K40" s="664"/>
      <c r="L40" s="664"/>
      <c r="M40" s="192"/>
      <c r="N40" s="545"/>
      <c r="O40" s="127"/>
      <c r="P40"/>
      <c r="Q40"/>
      <c r="R40"/>
      <c r="S40"/>
      <c r="T40"/>
      <c r="U40" s="470"/>
      <c r="V40" s="470"/>
      <c r="W40" s="127"/>
      <c r="X40"/>
      <c r="Y40"/>
      <c r="Z40"/>
      <c r="AA40"/>
      <c r="AB40"/>
      <c r="AC40"/>
      <c r="AD40"/>
      <c r="AE40"/>
      <c r="AF40"/>
    </row>
    <row r="41" spans="1:54" ht="15.6" x14ac:dyDescent="0.3">
      <c r="E41"/>
      <c r="F41"/>
      <c r="G41"/>
      <c r="H41" s="470"/>
      <c r="I41" s="470"/>
      <c r="J41" s="664"/>
      <c r="K41" s="664"/>
      <c r="L41" s="664"/>
      <c r="M41" s="192"/>
      <c r="N41" s="545"/>
      <c r="O41" s="127"/>
      <c r="P41"/>
      <c r="Q41"/>
      <c r="R41"/>
      <c r="S41"/>
      <c r="T41"/>
      <c r="U41" s="470"/>
      <c r="V41" s="470"/>
      <c r="W41" s="127"/>
      <c r="X41"/>
      <c r="Y41"/>
      <c r="Z41"/>
      <c r="AA41"/>
      <c r="AB41"/>
      <c r="AC41"/>
      <c r="AD41"/>
      <c r="AE41"/>
      <c r="AF41"/>
    </row>
    <row r="42" spans="1:54" ht="15.6" x14ac:dyDescent="0.3">
      <c r="E42"/>
      <c r="F42"/>
      <c r="G42"/>
      <c r="H42" s="470"/>
      <c r="I42" s="470"/>
      <c r="J42" s="664"/>
      <c r="K42" s="664"/>
      <c r="L42" s="664"/>
      <c r="M42" s="192"/>
      <c r="N42" s="545"/>
      <c r="O42" s="127"/>
      <c r="P42"/>
      <c r="Q42"/>
      <c r="R42"/>
      <c r="S42"/>
      <c r="T42" s="470"/>
      <c r="U42" s="490"/>
      <c r="V42" s="490"/>
      <c r="W42" s="127"/>
      <c r="X42"/>
      <c r="Y42"/>
      <c r="Z42"/>
      <c r="AA42"/>
      <c r="AB42"/>
      <c r="AC42"/>
      <c r="AD42"/>
      <c r="AE42"/>
      <c r="AF42"/>
    </row>
    <row r="43" spans="1:54" ht="15.6" x14ac:dyDescent="0.3">
      <c r="C43" s="20"/>
      <c r="E43" s="128"/>
      <c r="F43" s="128"/>
      <c r="G43" s="128"/>
      <c r="H43" s="494"/>
      <c r="I43" s="494"/>
      <c r="J43" s="139"/>
      <c r="K43" s="139"/>
      <c r="L43" s="139"/>
      <c r="M43" s="139"/>
      <c r="N43" s="549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</row>
    <row r="44" spans="1:54" ht="15.6" x14ac:dyDescent="0.3">
      <c r="F44" s="120"/>
      <c r="G44" s="126" t="s">
        <v>159</v>
      </c>
      <c r="J44" s="139"/>
      <c r="K44" s="139"/>
      <c r="L44" s="658"/>
      <c r="M44" s="139"/>
      <c r="N44" s="545"/>
      <c r="O44" s="134"/>
      <c r="P44" s="134"/>
      <c r="Q44" s="134"/>
      <c r="R44" s="134"/>
      <c r="T44" s="470"/>
      <c r="U44" s="490"/>
      <c r="V44" s="490"/>
      <c r="AB44" s="134"/>
      <c r="AC44" s="785" t="s">
        <v>4</v>
      </c>
      <c r="AD44" s="785"/>
      <c r="AE44" s="785"/>
      <c r="AF44" s="785"/>
      <c r="AG44" s="785"/>
      <c r="AH44" s="785"/>
      <c r="AI44" s="785"/>
      <c r="AJ44" s="785"/>
    </row>
    <row r="45" spans="1:54" ht="15.6" x14ac:dyDescent="0.3">
      <c r="E45" s="470"/>
      <c r="F45" s="470"/>
      <c r="G45" s="483"/>
      <c r="H45" s="470"/>
      <c r="I45" s="470"/>
      <c r="J45" s="133"/>
      <c r="K45" s="133"/>
      <c r="L45" s="654"/>
      <c r="M45" s="654"/>
      <c r="N45" s="546"/>
      <c r="O45" s="154"/>
      <c r="P45" s="154"/>
      <c r="Q45" s="154"/>
      <c r="R45" s="180"/>
      <c r="S45" s="470"/>
      <c r="T45" s="470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680" t="s">
        <v>276</v>
      </c>
      <c r="AF45" s="234" t="s">
        <v>5</v>
      </c>
      <c r="AG45" s="44" t="s">
        <v>6</v>
      </c>
      <c r="AH45" s="31" t="s">
        <v>7</v>
      </c>
      <c r="AI45" s="28" t="s">
        <v>8</v>
      </c>
      <c r="AJ45" s="65" t="s">
        <v>21</v>
      </c>
      <c r="AK45" s="69"/>
      <c r="AL45" s="69"/>
      <c r="AM45" s="576"/>
      <c r="AN45" s="576"/>
    </row>
    <row r="46" spans="1:54" ht="16.2" thickBot="1" x14ac:dyDescent="0.3">
      <c r="A46" s="624" t="s">
        <v>269</v>
      </c>
      <c r="B46" s="624" t="s">
        <v>269</v>
      </c>
      <c r="C46" s="480" t="s">
        <v>214</v>
      </c>
      <c r="D46" s="480" t="s">
        <v>161</v>
      </c>
      <c r="E46" s="471" t="s">
        <v>215</v>
      </c>
      <c r="F46" s="471" t="s">
        <v>130</v>
      </c>
      <c r="G46" s="471" t="s">
        <v>130</v>
      </c>
      <c r="H46" s="468" t="s">
        <v>13</v>
      </c>
      <c r="I46" s="468"/>
      <c r="J46" s="651" t="s">
        <v>93</v>
      </c>
      <c r="K46" s="651" t="s">
        <v>103</v>
      </c>
      <c r="L46" s="652" t="s">
        <v>104</v>
      </c>
      <c r="M46" s="651" t="s">
        <v>105</v>
      </c>
      <c r="N46" s="540" t="s">
        <v>94</v>
      </c>
      <c r="O46" s="184" t="s">
        <v>106</v>
      </c>
      <c r="P46" s="184" t="s">
        <v>107</v>
      </c>
      <c r="Q46" s="651" t="s">
        <v>276</v>
      </c>
      <c r="R46" s="651" t="s">
        <v>5</v>
      </c>
      <c r="S46" s="651" t="s">
        <v>108</v>
      </c>
      <c r="T46" s="652" t="s">
        <v>88</v>
      </c>
      <c r="U46" s="652" t="s">
        <v>89</v>
      </c>
      <c r="V46" s="651" t="s">
        <v>6</v>
      </c>
      <c r="W46" s="651" t="s">
        <v>90</v>
      </c>
      <c r="X46" s="651" t="s">
        <v>91</v>
      </c>
      <c r="Y46" s="651" t="s">
        <v>92</v>
      </c>
      <c r="Z46" s="651" t="s">
        <v>193</v>
      </c>
      <c r="AA46" s="651" t="s">
        <v>9</v>
      </c>
      <c r="AB46" s="184"/>
      <c r="AC46" s="480"/>
      <c r="AD46" s="184"/>
      <c r="AE46" s="184"/>
      <c r="AF46" s="682" t="s">
        <v>9</v>
      </c>
      <c r="AG46" s="525" t="s">
        <v>9</v>
      </c>
      <c r="AH46" s="526" t="s">
        <v>9</v>
      </c>
      <c r="AI46" s="527" t="s">
        <v>9</v>
      </c>
      <c r="AJ46" s="528" t="s">
        <v>9</v>
      </c>
      <c r="AK46" s="529" t="s">
        <v>9</v>
      </c>
      <c r="AL46" s="184" t="s">
        <v>9</v>
      </c>
      <c r="AM46" s="184" t="s">
        <v>275</v>
      </c>
      <c r="AN46" s="577"/>
      <c r="AO46" s="577"/>
      <c r="AP46" s="578"/>
      <c r="AQ46" s="578"/>
      <c r="BA46" s="575" t="s">
        <v>286</v>
      </c>
      <c r="BB46" s="575"/>
    </row>
    <row r="47" spans="1:54" ht="16.2" thickTop="1" x14ac:dyDescent="0.25">
      <c r="A47" s="466"/>
      <c r="B47" s="466"/>
      <c r="E47" s="173"/>
      <c r="F47" s="186"/>
      <c r="G47" s="176"/>
      <c r="H47" s="614"/>
      <c r="I47" s="614"/>
      <c r="J47" s="174">
        <v>0</v>
      </c>
      <c r="K47" s="174">
        <v>0</v>
      </c>
      <c r="L47" s="257">
        <v>0</v>
      </c>
      <c r="M47" s="662"/>
      <c r="N47" s="550"/>
      <c r="O47" s="145"/>
      <c r="P47" s="175"/>
      <c r="Q47" s="175"/>
      <c r="R47" s="174">
        <v>0</v>
      </c>
      <c r="S47" s="174">
        <v>0</v>
      </c>
      <c r="T47" s="174">
        <v>0</v>
      </c>
      <c r="U47" s="174">
        <v>0</v>
      </c>
      <c r="V47" s="174">
        <v>0</v>
      </c>
      <c r="W47" s="174">
        <v>0</v>
      </c>
      <c r="X47" s="174">
        <v>0</v>
      </c>
      <c r="Y47" s="174">
        <v>0</v>
      </c>
      <c r="Z47" s="174">
        <v>0</v>
      </c>
      <c r="AA47" s="257">
        <v>0</v>
      </c>
      <c r="AB47" s="123"/>
      <c r="AD47" s="123"/>
      <c r="AE47" s="123"/>
      <c r="AG47" s="20">
        <v>0</v>
      </c>
      <c r="AH47" s="20">
        <v>0</v>
      </c>
      <c r="AI47" s="20">
        <v>0</v>
      </c>
      <c r="AJ47" s="20">
        <v>0</v>
      </c>
      <c r="AK47" s="20">
        <v>0</v>
      </c>
      <c r="AM47" s="179"/>
      <c r="BB47" s="575"/>
    </row>
    <row r="48" spans="1:54" s="420" customFormat="1" x14ac:dyDescent="0.25">
      <c r="A48" s="537"/>
      <c r="B48" s="537"/>
      <c r="C48" s="537"/>
      <c r="D48" s="537"/>
      <c r="E48" s="537"/>
      <c r="F48" s="617"/>
      <c r="G48" s="712"/>
      <c r="H48" s="537"/>
      <c r="I48" s="537"/>
      <c r="J48" s="412"/>
      <c r="K48" s="412"/>
      <c r="L48" s="412"/>
      <c r="M48" s="412"/>
      <c r="N48" s="418"/>
      <c r="O48" s="419"/>
      <c r="R48" s="650"/>
      <c r="S48" s="650"/>
      <c r="T48" s="650"/>
      <c r="U48" s="650"/>
      <c r="V48" s="650"/>
      <c r="W48" s="650"/>
      <c r="X48" s="650"/>
      <c r="Y48" s="650"/>
      <c r="Z48" s="650"/>
      <c r="AA48" s="650"/>
      <c r="AB48" s="650"/>
      <c r="AC48" s="650"/>
      <c r="AG48" s="650"/>
      <c r="AH48" s="650"/>
      <c r="AI48" s="650"/>
      <c r="AJ48" s="650"/>
      <c r="AK48" s="650"/>
      <c r="AL48" s="650"/>
      <c r="AM48" s="650"/>
      <c r="AN48" s="650"/>
    </row>
    <row r="49" spans="1:54" ht="15.6" thickBot="1" x14ac:dyDescent="0.3">
      <c r="A49" s="466"/>
      <c r="B49" s="466"/>
      <c r="E49" s="173"/>
      <c r="F49" s="495"/>
      <c r="G49" s="176"/>
      <c r="H49" s="614"/>
      <c r="I49" s="614"/>
      <c r="J49" s="174">
        <v>0</v>
      </c>
      <c r="K49" s="174">
        <v>0</v>
      </c>
      <c r="L49" s="257">
        <v>0</v>
      </c>
      <c r="M49" s="662"/>
      <c r="N49" s="550"/>
      <c r="O49" s="145"/>
      <c r="P49" s="175"/>
      <c r="Q49" s="175"/>
      <c r="R49" s="174">
        <v>0</v>
      </c>
      <c r="S49" s="174">
        <v>0</v>
      </c>
      <c r="T49" s="174">
        <v>0</v>
      </c>
      <c r="U49" s="174">
        <v>0</v>
      </c>
      <c r="V49" s="174">
        <v>0</v>
      </c>
      <c r="W49" s="174">
        <v>0</v>
      </c>
      <c r="X49" s="174">
        <v>0</v>
      </c>
      <c r="Y49" s="174">
        <v>0</v>
      </c>
      <c r="Z49" s="174">
        <v>0</v>
      </c>
      <c r="AA49" s="257">
        <v>0</v>
      </c>
      <c r="AB49" s="123"/>
      <c r="AC49" s="123">
        <v>0</v>
      </c>
      <c r="AD49" s="123"/>
      <c r="AE49" s="123"/>
      <c r="AG49" s="20">
        <v>0</v>
      </c>
      <c r="AH49" s="20">
        <v>0</v>
      </c>
      <c r="AI49" s="20">
        <v>0</v>
      </c>
      <c r="AJ49" s="20">
        <v>0</v>
      </c>
      <c r="AK49" s="20">
        <v>0</v>
      </c>
      <c r="AM49" s="20"/>
      <c r="BB49" s="575"/>
    </row>
    <row r="50" spans="1:54" ht="16.2" thickTop="1" x14ac:dyDescent="0.3">
      <c r="A50" s="492"/>
      <c r="B50" s="492"/>
      <c r="C50" s="492"/>
      <c r="D50" s="492"/>
      <c r="E50" s="492"/>
      <c r="F50" s="492"/>
      <c r="G50" s="492"/>
      <c r="H50" s="492"/>
      <c r="I50" s="492"/>
      <c r="J50" s="663"/>
      <c r="K50" s="663"/>
      <c r="L50" s="663"/>
      <c r="M50" s="663"/>
      <c r="N50" s="548"/>
      <c r="O50" s="492"/>
      <c r="P50" s="492"/>
      <c r="Q50" s="663"/>
      <c r="R50" s="663"/>
      <c r="S50" s="663"/>
      <c r="T50" s="663"/>
      <c r="U50" s="663"/>
      <c r="V50" s="663"/>
      <c r="W50" s="663"/>
      <c r="X50" s="663"/>
      <c r="Y50" s="663"/>
      <c r="Z50" s="663"/>
      <c r="AA50" s="493"/>
      <c r="AB50" s="493"/>
      <c r="AC50" s="493"/>
      <c r="AD50" s="493"/>
      <c r="AE50" s="685"/>
      <c r="AF50" s="39"/>
      <c r="AG50" s="195"/>
      <c r="AH50" s="196"/>
      <c r="AI50" s="197"/>
      <c r="AJ50" s="67"/>
      <c r="AK50" s="435"/>
      <c r="AL50" s="435"/>
    </row>
    <row r="51" spans="1:54" ht="15.6" x14ac:dyDescent="0.3">
      <c r="E51" s="470"/>
      <c r="F51" s="470"/>
      <c r="G51" s="470"/>
      <c r="H51" s="126" t="s">
        <v>112</v>
      </c>
      <c r="I51" s="126"/>
      <c r="J51" s="192"/>
      <c r="K51" s="192"/>
      <c r="L51" s="656">
        <f>SUMIF(L47:L49, "&lt;&gt;#N/A")</f>
        <v>0</v>
      </c>
      <c r="M51" s="656">
        <f>SUMIF(M47:M49, "&lt;&gt;#N/A")</f>
        <v>0</v>
      </c>
      <c r="N51" s="544"/>
      <c r="O51" s="470"/>
      <c r="P51" s="470"/>
      <c r="Q51" s="656">
        <f>SUMIF(R47:R49, "&lt;&gt;#N/A")</f>
        <v>0</v>
      </c>
      <c r="R51" s="656">
        <f>SUMIF(S47:S49, "&lt;&gt;#N/A")</f>
        <v>0</v>
      </c>
      <c r="S51" s="656">
        <f>SUMIF(T47:T49, "&lt;&gt;#N/A")</f>
        <v>0</v>
      </c>
      <c r="T51" s="656">
        <f>SUMIF(U47:U49, "&lt;&gt;#N/A")</f>
        <v>0</v>
      </c>
      <c r="U51" s="656">
        <f>SUMIF(V47:V49, "&lt;&gt;#N/A")</f>
        <v>0</v>
      </c>
      <c r="V51" s="656">
        <f>SUMIF(W47:W49, "&lt;&gt;#N/A")</f>
        <v>0</v>
      </c>
      <c r="W51" s="656">
        <f>SUMIF(X47:X49, "&lt;&gt;#N/A")</f>
        <v>0</v>
      </c>
      <c r="X51" s="656">
        <f>SUMIF(Y47:Y49, "&lt;&gt;#N/A")</f>
        <v>0</v>
      </c>
      <c r="Y51" s="656">
        <f>SUMIF(Z47:Z49, "&lt;&gt;#N/A")</f>
        <v>0</v>
      </c>
      <c r="Z51" s="656">
        <f>SUMIF(AA47:AA49, "&lt;&gt;#N/A")</f>
        <v>0</v>
      </c>
      <c r="AA51" s="279"/>
      <c r="AC51" s="179" t="s">
        <v>131</v>
      </c>
      <c r="AD51" s="179" t="s">
        <v>131</v>
      </c>
      <c r="AE51" s="688">
        <f>SUMIF(AF47:AF49,"&lt;&gt;#N/A")</f>
        <v>0</v>
      </c>
      <c r="AF51" s="76">
        <f>SUMIF(AG47:AG49,"&lt;&gt;#N/A")</f>
        <v>0</v>
      </c>
      <c r="AG51" s="625">
        <f>SUMIF(AH47:AH49,"&lt;&gt;#N/A")</f>
        <v>0</v>
      </c>
      <c r="AH51" s="626">
        <f>SUMIF(AI47:AI49,"&lt;&gt;#N/A")</f>
        <v>0</v>
      </c>
      <c r="AI51" s="627">
        <f>SUMIF(AJ47:AJ49,"&lt;&gt;#N/A")</f>
        <v>0</v>
      </c>
      <c r="AJ51" s="628">
        <f>SUMIF(AK47:AK49,"&lt;&gt;#N/A")</f>
        <v>0</v>
      </c>
      <c r="AK51" s="127">
        <f>SUM(AF51:AJ51)</f>
        <v>0</v>
      </c>
      <c r="AL51" s="125"/>
    </row>
    <row r="52" spans="1:54" ht="15.6" x14ac:dyDescent="0.3">
      <c r="E52" s="147"/>
      <c r="F52"/>
      <c r="G52"/>
      <c r="H52" s="470"/>
      <c r="I52" s="470"/>
      <c r="J52"/>
      <c r="K52"/>
      <c r="L52"/>
      <c r="M52" s="127"/>
      <c r="N52"/>
      <c r="O52" s="127"/>
      <c r="P52"/>
      <c r="Q52"/>
      <c r="R52"/>
      <c r="S52"/>
      <c r="T52"/>
      <c r="U52" s="470"/>
      <c r="V52" s="470"/>
      <c r="W52" s="127"/>
      <c r="X52"/>
      <c r="Y52"/>
      <c r="Z52"/>
      <c r="AA52"/>
      <c r="AB52"/>
      <c r="AC52" s="469" t="s">
        <v>228</v>
      </c>
      <c r="AD52" s="469" t="s">
        <v>229</v>
      </c>
      <c r="AE52" s="686"/>
      <c r="AF52" s="40"/>
      <c r="AG52" s="45"/>
      <c r="AH52" s="32"/>
      <c r="AI52" s="48"/>
      <c r="AJ52" s="68"/>
      <c r="AK52" s="125"/>
      <c r="AL52" s="125"/>
    </row>
    <row r="53" spans="1:54" ht="16.2" thickBot="1" x14ac:dyDescent="0.35">
      <c r="E53" s="147"/>
      <c r="F53"/>
      <c r="G53"/>
      <c r="H53" s="470"/>
      <c r="I53" s="470"/>
      <c r="J53"/>
      <c r="K53"/>
      <c r="L53"/>
      <c r="M53" s="127"/>
      <c r="N53"/>
      <c r="O53" s="127"/>
      <c r="P53"/>
      <c r="Q53"/>
      <c r="R53"/>
      <c r="S53"/>
      <c r="T53"/>
      <c r="U53" s="470"/>
      <c r="V53" s="470"/>
      <c r="W53" s="127"/>
      <c r="X53"/>
      <c r="Y53"/>
      <c r="Z53"/>
      <c r="AA53"/>
      <c r="AB53"/>
      <c r="AC53" s="583"/>
      <c r="AD53" s="583"/>
      <c r="AE53" s="583"/>
      <c r="AF53" s="583"/>
      <c r="AG53" s="584"/>
      <c r="AH53" s="584"/>
      <c r="AI53" s="584"/>
      <c r="AJ53" s="584"/>
      <c r="AK53" s="584"/>
    </row>
    <row r="54" spans="1:54" ht="16.8" thickTop="1" thickBot="1" x14ac:dyDescent="0.35">
      <c r="E54"/>
      <c r="F54"/>
      <c r="G54"/>
      <c r="H54" s="126" t="str">
        <f>F2</f>
        <v>(Job Nme)</v>
      </c>
      <c r="I54" s="126"/>
      <c r="J54" s="133" t="s">
        <v>98</v>
      </c>
      <c r="K54" s="133">
        <f>F5</f>
        <v>1234</v>
      </c>
      <c r="T54" s="470" t="s">
        <v>131</v>
      </c>
      <c r="U54" s="490">
        <f>+U51/K$77</f>
        <v>0</v>
      </c>
      <c r="V54" s="490">
        <f>+V51/K$77</f>
        <v>0</v>
      </c>
      <c r="W54" s="127"/>
      <c r="X54"/>
      <c r="Y54"/>
      <c r="Z54"/>
      <c r="AA54"/>
      <c r="AB54"/>
      <c r="AC54" s="591">
        <f>U55-AD54</f>
        <v>0</v>
      </c>
      <c r="AD54" s="590">
        <f>AG54/O3</f>
        <v>0</v>
      </c>
      <c r="AE54" s="687">
        <f>AE51+AE12</f>
        <v>0</v>
      </c>
      <c r="AF54" s="585">
        <f>AF51+AF12</f>
        <v>0</v>
      </c>
      <c r="AG54" s="586">
        <f>AG51+AG12</f>
        <v>0</v>
      </c>
      <c r="AH54" s="587">
        <f>AH51+AH12</f>
        <v>0</v>
      </c>
      <c r="AI54" s="588">
        <f>AI51+AI12</f>
        <v>0</v>
      </c>
      <c r="AJ54" s="589">
        <f>AJ51+AJ12</f>
        <v>0</v>
      </c>
      <c r="AK54" s="592">
        <f>AK51+AK12</f>
        <v>0</v>
      </c>
    </row>
    <row r="55" spans="1:54" ht="16.2" thickTop="1" x14ac:dyDescent="0.3">
      <c r="E55"/>
      <c r="F55"/>
      <c r="G55"/>
      <c r="T55" s="126" t="s">
        <v>227</v>
      </c>
      <c r="U55" s="490">
        <f>$U$54+$U$14</f>
        <v>0</v>
      </c>
      <c r="V55"/>
      <c r="W55"/>
      <c r="X55"/>
      <c r="Y55"/>
      <c r="Z55"/>
      <c r="AA55"/>
      <c r="AB55"/>
      <c r="AC55"/>
      <c r="AD55"/>
      <c r="AE55"/>
      <c r="AF55"/>
    </row>
    <row r="56" spans="1:54" ht="15.6" x14ac:dyDescent="0.3">
      <c r="E56"/>
      <c r="F56"/>
      <c r="G56"/>
      <c r="H56" s="496" t="s">
        <v>113</v>
      </c>
      <c r="I56" s="496"/>
      <c r="V56"/>
      <c r="W56"/>
      <c r="X56"/>
      <c r="Y56"/>
      <c r="Z56"/>
      <c r="AA56"/>
      <c r="AB56"/>
      <c r="AC56"/>
      <c r="AD56"/>
      <c r="AE56"/>
      <c r="AF56"/>
    </row>
    <row r="57" spans="1:54" ht="15.6" x14ac:dyDescent="0.3">
      <c r="E57"/>
      <c r="F57"/>
      <c r="G57"/>
      <c r="V57" s="470"/>
      <c r="W57" s="497"/>
      <c r="X57" s="497"/>
      <c r="Y57" s="497"/>
      <c r="Z57" s="497"/>
      <c r="AA57" s="497"/>
      <c r="AB57" s="470"/>
      <c r="AC57" s="470"/>
      <c r="AD57" s="470"/>
      <c r="AE57" s="470"/>
      <c r="AF57" s="470"/>
      <c r="AG57" s="126"/>
      <c r="AH57" s="498"/>
      <c r="AI57" s="498"/>
      <c r="AJ57" s="466"/>
    </row>
    <row r="58" spans="1:54" ht="15.6" x14ac:dyDescent="0.3">
      <c r="E58"/>
      <c r="F58"/>
      <c r="G58"/>
      <c r="H58" s="496" t="s">
        <v>135</v>
      </c>
      <c r="I58" s="496"/>
      <c r="N58" s="496" t="s">
        <v>114</v>
      </c>
      <c r="V58" s="470"/>
      <c r="W58" s="177"/>
      <c r="X58" s="177"/>
      <c r="Y58" s="177"/>
      <c r="Z58" s="483"/>
      <c r="AA58" s="483"/>
      <c r="AB58" s="177"/>
      <c r="AC58" s="177"/>
      <c r="AD58" s="177"/>
      <c r="AE58" s="177"/>
      <c r="AF58" s="177"/>
      <c r="AG58" s="499"/>
      <c r="AH58" s="490"/>
      <c r="AI58" s="490"/>
    </row>
    <row r="59" spans="1:54" ht="15.6" x14ac:dyDescent="0.3">
      <c r="E59"/>
      <c r="F59"/>
      <c r="G59"/>
      <c r="L59" s="126"/>
      <c r="V59" s="470"/>
      <c r="W59" s="177"/>
      <c r="X59" s="177"/>
      <c r="Y59" s="177"/>
      <c r="Z59" s="483"/>
      <c r="AA59" s="483"/>
      <c r="AB59" s="177"/>
      <c r="AC59" s="177"/>
      <c r="AD59" s="177"/>
      <c r="AE59" s="177"/>
      <c r="AF59" s="177"/>
      <c r="AG59" s="499"/>
      <c r="AH59" s="490"/>
      <c r="AI59" s="490"/>
    </row>
    <row r="60" spans="1:54" ht="15.6" x14ac:dyDescent="0.3">
      <c r="E60"/>
      <c r="F60"/>
      <c r="G60"/>
      <c r="H60" s="126" t="s">
        <v>115</v>
      </c>
      <c r="I60" s="126"/>
      <c r="L60" s="500">
        <v>0</v>
      </c>
      <c r="M60" s="123"/>
      <c r="N60" s="500">
        <v>0</v>
      </c>
      <c r="V60" s="470"/>
      <c r="W60" s="177"/>
      <c r="X60" s="177"/>
      <c r="Y60" s="177"/>
      <c r="Z60" s="483"/>
      <c r="AA60" s="483"/>
      <c r="AB60" s="177"/>
      <c r="AC60" s="177"/>
      <c r="AD60" s="177"/>
      <c r="AE60" s="177"/>
      <c r="AF60" s="177"/>
      <c r="AG60" s="499"/>
      <c r="AH60" s="490"/>
      <c r="AI60" s="490"/>
    </row>
    <row r="61" spans="1:54" ht="15.6" x14ac:dyDescent="0.3">
      <c r="E61"/>
      <c r="F61"/>
      <c r="G61"/>
      <c r="L61" s="127"/>
      <c r="M61" s="123"/>
      <c r="N61" s="500"/>
      <c r="V61" s="470"/>
      <c r="W61" s="177"/>
      <c r="X61" s="177"/>
      <c r="Y61" s="177"/>
      <c r="Z61" s="483"/>
      <c r="AA61" s="483"/>
      <c r="AB61" s="177"/>
      <c r="AC61" s="177"/>
      <c r="AD61" s="177"/>
      <c r="AE61" s="177"/>
      <c r="AF61" s="177"/>
      <c r="AG61" s="499"/>
      <c r="AH61" s="490"/>
      <c r="AI61" s="490"/>
    </row>
    <row r="62" spans="1:54" ht="15.6" x14ac:dyDescent="0.3">
      <c r="E62"/>
      <c r="F62"/>
      <c r="G62"/>
      <c r="H62" s="126" t="s">
        <v>136</v>
      </c>
      <c r="I62" s="126"/>
      <c r="K62" s="501">
        <v>1</v>
      </c>
      <c r="L62" s="127">
        <f>IF(K62=0, M39, IF(K62=1, L39,0))</f>
        <v>0</v>
      </c>
      <c r="M62" s="123"/>
      <c r="N62" s="500">
        <v>0</v>
      </c>
      <c r="V62" s="470"/>
      <c r="W62" s="177"/>
      <c r="X62" s="177"/>
      <c r="Y62" s="177"/>
      <c r="Z62" s="483"/>
      <c r="AA62" s="483"/>
      <c r="AB62" s="177"/>
      <c r="AC62" s="177"/>
      <c r="AD62" s="177"/>
      <c r="AE62" s="177"/>
      <c r="AF62" s="177"/>
      <c r="AG62" s="499"/>
      <c r="AH62" s="490"/>
      <c r="AI62" s="490"/>
    </row>
    <row r="63" spans="1:54" ht="15.6" x14ac:dyDescent="0.3">
      <c r="E63"/>
      <c r="F63"/>
      <c r="G63"/>
      <c r="L63" s="127"/>
      <c r="M63" s="123"/>
      <c r="N63" s="500"/>
      <c r="V63" s="470"/>
      <c r="W63" s="177"/>
      <c r="X63" s="177"/>
      <c r="Y63" s="177"/>
      <c r="Z63" s="483"/>
      <c r="AA63" s="483"/>
      <c r="AB63" s="177"/>
      <c r="AC63" s="177"/>
      <c r="AD63" s="177"/>
      <c r="AE63" s="177"/>
      <c r="AF63" s="177"/>
      <c r="AG63" s="499"/>
      <c r="AH63" s="490"/>
      <c r="AI63" s="490"/>
    </row>
    <row r="64" spans="1:54" ht="15.6" x14ac:dyDescent="0.3">
      <c r="E64"/>
      <c r="F64"/>
      <c r="G64"/>
      <c r="H64" s="126" t="s">
        <v>137</v>
      </c>
      <c r="I64" s="126"/>
      <c r="K64" s="501">
        <v>1</v>
      </c>
      <c r="L64" s="127">
        <f>IF(K64=0,M12, IF( K64=1,L12, 0))</f>
        <v>0</v>
      </c>
      <c r="M64" s="123"/>
      <c r="N64" s="502"/>
      <c r="V64" s="470"/>
      <c r="W64" s="177"/>
      <c r="X64" s="177"/>
      <c r="Y64" s="177"/>
      <c r="Z64" s="483"/>
      <c r="AA64" s="483"/>
      <c r="AB64" s="177"/>
      <c r="AC64" s="177"/>
      <c r="AD64" s="177"/>
      <c r="AE64" s="177"/>
      <c r="AF64" s="177"/>
      <c r="AG64" s="499"/>
      <c r="AH64" s="490"/>
      <c r="AI64" s="490"/>
    </row>
    <row r="65" spans="5:42" ht="15.6" x14ac:dyDescent="0.3">
      <c r="E65"/>
      <c r="F65"/>
      <c r="G65"/>
      <c r="L65" s="127"/>
      <c r="M65" s="123"/>
      <c r="N65" s="127"/>
      <c r="V65" s="470"/>
      <c r="W65" s="177"/>
      <c r="X65" s="177"/>
      <c r="Y65" s="177"/>
      <c r="Z65" s="483"/>
      <c r="AA65" s="483"/>
      <c r="AB65" s="177"/>
      <c r="AC65" s="177"/>
      <c r="AD65" s="177"/>
      <c r="AE65" s="177"/>
      <c r="AF65" s="177"/>
      <c r="AG65" s="499"/>
      <c r="AH65" s="490"/>
      <c r="AI65" s="490"/>
    </row>
    <row r="66" spans="5:42" ht="15.6" x14ac:dyDescent="0.3">
      <c r="E66"/>
      <c r="F66"/>
      <c r="G66"/>
      <c r="H66" s="126" t="s">
        <v>135</v>
      </c>
      <c r="I66" s="126"/>
      <c r="L66" s="127">
        <f>SUM(L59:L65)</f>
        <v>0</v>
      </c>
      <c r="M66" s="123"/>
      <c r="N66" s="127">
        <f>N60+N62</f>
        <v>0</v>
      </c>
      <c r="V66"/>
      <c r="W66"/>
      <c r="X66"/>
      <c r="Y66"/>
      <c r="Z66"/>
      <c r="AA66"/>
      <c r="AB66"/>
      <c r="AC66"/>
      <c r="AD66"/>
      <c r="AE66"/>
      <c r="AF66"/>
    </row>
    <row r="67" spans="5:42" ht="15.6" x14ac:dyDescent="0.3">
      <c r="E67"/>
      <c r="F67"/>
      <c r="G67"/>
      <c r="L67" s="127"/>
      <c r="M67" s="123"/>
      <c r="N67" s="123"/>
      <c r="V67"/>
      <c r="W67"/>
      <c r="X67"/>
      <c r="Y67"/>
      <c r="Z67"/>
      <c r="AA67"/>
      <c r="AB67"/>
      <c r="AC67"/>
      <c r="AD67"/>
      <c r="AE67"/>
      <c r="AF67"/>
    </row>
    <row r="68" spans="5:42" ht="15.6" x14ac:dyDescent="0.3">
      <c r="E68"/>
      <c r="F68"/>
      <c r="G68"/>
      <c r="H68" s="126" t="s">
        <v>138</v>
      </c>
      <c r="I68" s="126"/>
      <c r="K68" s="501">
        <v>1</v>
      </c>
      <c r="L68" s="127">
        <f>IF(K68=0, M51, IF(K68=1, L51,0))</f>
        <v>0</v>
      </c>
      <c r="M68" s="123"/>
      <c r="N68" s="123"/>
      <c r="V68"/>
      <c r="W68"/>
      <c r="X68"/>
      <c r="Y68"/>
      <c r="Z68"/>
      <c r="AA68"/>
      <c r="AB68"/>
      <c r="AC68"/>
      <c r="AD68"/>
      <c r="AE68"/>
      <c r="AF68"/>
    </row>
    <row r="69" spans="5:42" ht="15.6" x14ac:dyDescent="0.3">
      <c r="E69"/>
      <c r="F69"/>
      <c r="G69"/>
      <c r="L69" s="127"/>
      <c r="M69" s="123"/>
      <c r="N69" s="123"/>
      <c r="V69"/>
      <c r="W69"/>
      <c r="X69"/>
      <c r="Y69"/>
      <c r="Z69"/>
      <c r="AA69"/>
      <c r="AB69"/>
      <c r="AC69"/>
      <c r="AD69"/>
      <c r="AE69"/>
      <c r="AF69"/>
    </row>
    <row r="70" spans="5:42" ht="15.6" x14ac:dyDescent="0.3">
      <c r="E70"/>
      <c r="F70"/>
      <c r="G70"/>
      <c r="H70" s="126" t="s">
        <v>139</v>
      </c>
      <c r="I70" s="126"/>
      <c r="L70" s="127">
        <f>L66+L68</f>
        <v>0</v>
      </c>
      <c r="M70" s="123"/>
      <c r="N70" s="123"/>
      <c r="V70"/>
      <c r="W70"/>
      <c r="X70"/>
      <c r="Y70"/>
      <c r="Z70"/>
      <c r="AA70"/>
      <c r="AB70"/>
      <c r="AC70"/>
      <c r="AD70"/>
      <c r="AE70"/>
      <c r="AF70"/>
    </row>
    <row r="71" spans="5:42" x14ac:dyDescent="0.25">
      <c r="E71"/>
      <c r="F71"/>
      <c r="G71"/>
      <c r="V71"/>
      <c r="W71"/>
      <c r="X71"/>
      <c r="Y71"/>
      <c r="Z71"/>
      <c r="AA71"/>
      <c r="AB71"/>
      <c r="AC71"/>
      <c r="AD71"/>
      <c r="AE71"/>
      <c r="AF71"/>
    </row>
    <row r="72" spans="5:42" x14ac:dyDescent="0.25">
      <c r="E72"/>
      <c r="F72"/>
      <c r="G72"/>
      <c r="V72"/>
      <c r="W72"/>
      <c r="X72"/>
      <c r="Y72"/>
      <c r="Z72"/>
      <c r="AA72"/>
      <c r="AB72"/>
      <c r="AC72"/>
      <c r="AD72"/>
      <c r="AE72"/>
      <c r="AF72"/>
    </row>
    <row r="73" spans="5:42" ht="15.6" x14ac:dyDescent="0.3">
      <c r="E73"/>
      <c r="F73"/>
      <c r="G73"/>
      <c r="H73" s="496" t="s">
        <v>140</v>
      </c>
      <c r="I73" s="496"/>
      <c r="L73" s="506" t="s">
        <v>160</v>
      </c>
      <c r="M73" s="501"/>
      <c r="Q73" s="677" t="s">
        <v>74</v>
      </c>
      <c r="R73" s="504"/>
      <c r="S73" s="504"/>
      <c r="T73" s="505"/>
      <c r="V73"/>
      <c r="W73"/>
      <c r="X73"/>
      <c r="Y73"/>
      <c r="Z73"/>
      <c r="AA73"/>
      <c r="AB73"/>
      <c r="AC73"/>
      <c r="AD73"/>
      <c r="AE73"/>
      <c r="AF73"/>
    </row>
    <row r="74" spans="5:42" x14ac:dyDescent="0.25">
      <c r="E74"/>
      <c r="F74"/>
      <c r="G74"/>
      <c r="Q74" s="503" t="s">
        <v>116</v>
      </c>
      <c r="R74" s="504"/>
      <c r="S74" s="509">
        <f>K79</f>
        <v>0</v>
      </c>
      <c r="T74" s="505"/>
      <c r="V74"/>
      <c r="W74"/>
      <c r="X74"/>
      <c r="Y74"/>
      <c r="Z74"/>
      <c r="AA74"/>
      <c r="AB74"/>
      <c r="AC74"/>
      <c r="AD74"/>
      <c r="AE74"/>
      <c r="AF74"/>
    </row>
    <row r="75" spans="5:42" ht="15.6" x14ac:dyDescent="0.3">
      <c r="E75"/>
      <c r="F75"/>
      <c r="G75"/>
      <c r="H75" s="126" t="s">
        <v>6</v>
      </c>
      <c r="I75" s="126"/>
      <c r="Q75" s="508"/>
      <c r="S75" s="123"/>
      <c r="T75" s="507"/>
      <c r="V75"/>
      <c r="W75"/>
      <c r="X75"/>
      <c r="Y75"/>
      <c r="Z75"/>
      <c r="AA75"/>
      <c r="AB75"/>
      <c r="AC75"/>
      <c r="AD75"/>
      <c r="AE75"/>
      <c r="AF75"/>
    </row>
    <row r="76" spans="5:42" ht="15.6" x14ac:dyDescent="0.3">
      <c r="F76" s="120"/>
      <c r="H76" s="20" t="s">
        <v>119</v>
      </c>
      <c r="K76" s="500">
        <v>70</v>
      </c>
      <c r="Q76" s="508" t="s">
        <v>142</v>
      </c>
      <c r="S76" s="510">
        <f>K80</f>
        <v>0</v>
      </c>
      <c r="T76" s="507"/>
      <c r="AB76" s="23"/>
      <c r="AC76" s="23"/>
      <c r="AD76" s="23"/>
      <c r="AE76" s="23"/>
      <c r="AF76" s="23"/>
      <c r="AG76"/>
      <c r="AH76"/>
      <c r="AI76"/>
      <c r="AJ76"/>
      <c r="AK76"/>
      <c r="AL76"/>
      <c r="AM76" s="582"/>
      <c r="AN76" s="582"/>
      <c r="AO76" s="582"/>
      <c r="AP76" s="582"/>
    </row>
    <row r="77" spans="5:42" ht="15.6" x14ac:dyDescent="0.3">
      <c r="F77" s="120"/>
      <c r="H77" s="20" t="s">
        <v>141</v>
      </c>
      <c r="K77" s="123">
        <f>Labour_rate</f>
        <v>70</v>
      </c>
      <c r="Q77" s="508"/>
      <c r="S77" s="123"/>
      <c r="T77" s="507"/>
      <c r="AB77" s="123"/>
      <c r="AC77" s="123"/>
      <c r="AD77" s="123"/>
      <c r="AE77" s="123"/>
      <c r="AF77" s="123"/>
      <c r="AG77"/>
      <c r="AH77"/>
      <c r="AI77"/>
      <c r="AJ77"/>
      <c r="AK77"/>
      <c r="AL77"/>
      <c r="AM77" s="582"/>
      <c r="AN77" s="582"/>
      <c r="AO77" s="582"/>
      <c r="AP77" s="582"/>
    </row>
    <row r="78" spans="5:42" ht="15.6" x14ac:dyDescent="0.3">
      <c r="F78" s="120"/>
      <c r="H78" s="20" t="s">
        <v>127</v>
      </c>
      <c r="K78" s="500">
        <v>45</v>
      </c>
      <c r="Q78" s="508" t="s">
        <v>117</v>
      </c>
      <c r="S78" s="123">
        <f>S74+S76</f>
        <v>0</v>
      </c>
      <c r="T78" s="507"/>
      <c r="AB78" s="127"/>
      <c r="AC78" s="127"/>
      <c r="AD78" s="127"/>
      <c r="AE78" s="127"/>
      <c r="AF78" s="127"/>
      <c r="AG78"/>
      <c r="AH78"/>
      <c r="AI78"/>
      <c r="AJ78"/>
      <c r="AK78"/>
      <c r="AL78"/>
      <c r="AM78" s="582"/>
      <c r="AN78" s="582"/>
      <c r="AO78" s="582"/>
      <c r="AP78" s="582"/>
    </row>
    <row r="79" spans="5:42" ht="15.6" x14ac:dyDescent="0.3">
      <c r="F79" s="120"/>
      <c r="H79" s="20" t="s">
        <v>128</v>
      </c>
      <c r="K79" s="500">
        <v>0</v>
      </c>
      <c r="Q79" s="508"/>
      <c r="S79" s="123"/>
      <c r="T79" s="507"/>
      <c r="AB79" s="123"/>
      <c r="AC79" s="123"/>
      <c r="AD79" s="123"/>
      <c r="AE79" s="123"/>
      <c r="AF79" s="123"/>
      <c r="AG79"/>
      <c r="AH79"/>
      <c r="AI79"/>
      <c r="AJ79"/>
      <c r="AK79"/>
      <c r="AL79"/>
      <c r="AM79" s="582"/>
      <c r="AN79" s="582"/>
      <c r="AO79" s="582"/>
      <c r="AP79" s="582"/>
    </row>
    <row r="80" spans="5:42" ht="15.6" x14ac:dyDescent="0.3">
      <c r="F80" s="120"/>
      <c r="H80" s="20" t="s">
        <v>143</v>
      </c>
      <c r="K80" s="123">
        <f>U14+U42+U54</f>
        <v>0</v>
      </c>
      <c r="Q80" s="508" t="s">
        <v>118</v>
      </c>
      <c r="S80" s="500">
        <v>0</v>
      </c>
      <c r="T80" s="507"/>
      <c r="AB80" s="127"/>
      <c r="AC80" s="127"/>
      <c r="AD80" s="127"/>
      <c r="AE80" s="127"/>
      <c r="AF80" s="127"/>
      <c r="AG80"/>
      <c r="AH80"/>
      <c r="AI80"/>
      <c r="AJ80"/>
      <c r="AK80"/>
      <c r="AL80"/>
      <c r="AM80" s="582"/>
      <c r="AN80" s="582"/>
      <c r="AO80" s="582"/>
      <c r="AP80" s="582"/>
    </row>
    <row r="81" spans="6:42" ht="15.6" x14ac:dyDescent="0.3">
      <c r="F81" s="120"/>
      <c r="H81" s="20" t="s">
        <v>144</v>
      </c>
      <c r="K81" s="510">
        <f>-(S86)</f>
        <v>0</v>
      </c>
      <c r="L81" s="123">
        <f>(K79+K80+K81)*K78</f>
        <v>0</v>
      </c>
      <c r="M81" s="511" t="e">
        <f>$L$81/$L$70</f>
        <v>#DIV/0!</v>
      </c>
      <c r="N81" s="123">
        <f>K79*K78</f>
        <v>0</v>
      </c>
      <c r="O81" s="511" t="e">
        <f>N81/$N$66</f>
        <v>#DIV/0!</v>
      </c>
      <c r="Q81" s="508"/>
      <c r="S81" s="123"/>
      <c r="T81" s="507"/>
      <c r="AB81" s="127"/>
      <c r="AC81" s="127"/>
      <c r="AD81" s="127"/>
      <c r="AE81" s="127"/>
      <c r="AF81" s="127"/>
      <c r="AG81"/>
      <c r="AH81"/>
      <c r="AI81"/>
      <c r="AJ81"/>
      <c r="AK81"/>
      <c r="AL81"/>
      <c r="AM81" s="582"/>
      <c r="AN81" s="582"/>
      <c r="AO81" s="582"/>
      <c r="AP81" s="582"/>
    </row>
    <row r="82" spans="6:42" ht="15.6" x14ac:dyDescent="0.3">
      <c r="K82" s="123"/>
      <c r="M82" s="147"/>
      <c r="N82" s="512"/>
      <c r="O82" s="511"/>
      <c r="Q82" s="508" t="s">
        <v>145</v>
      </c>
      <c r="S82" s="513">
        <v>0</v>
      </c>
      <c r="T82" s="507"/>
      <c r="AB82" s="127"/>
      <c r="AC82" s="127"/>
      <c r="AD82" s="127"/>
      <c r="AE82" s="127"/>
      <c r="AF82" s="127"/>
      <c r="AG82"/>
      <c r="AH82"/>
      <c r="AI82"/>
      <c r="AJ82"/>
      <c r="AK82"/>
      <c r="AL82"/>
      <c r="AM82" s="582"/>
      <c r="AN82" s="582"/>
      <c r="AO82" s="582"/>
      <c r="AP82" s="582"/>
    </row>
    <row r="83" spans="6:42" ht="15.6" x14ac:dyDescent="0.3">
      <c r="H83" s="126" t="s">
        <v>97</v>
      </c>
      <c r="I83" s="126"/>
      <c r="K83" s="123"/>
      <c r="M83" s="147"/>
      <c r="N83" s="512"/>
      <c r="O83" s="511"/>
      <c r="Q83" s="508"/>
      <c r="S83" s="123"/>
      <c r="T83" s="507"/>
      <c r="AG83"/>
      <c r="AH83"/>
      <c r="AI83"/>
      <c r="AJ83"/>
      <c r="AK83"/>
      <c r="AL83"/>
      <c r="AM83" s="582"/>
      <c r="AN83" s="582"/>
      <c r="AO83" s="582"/>
      <c r="AP83" s="582"/>
    </row>
    <row r="84" spans="6:42" ht="15.6" x14ac:dyDescent="0.3">
      <c r="H84" s="20" t="s">
        <v>129</v>
      </c>
      <c r="K84" s="123">
        <f>N86</f>
        <v>0</v>
      </c>
      <c r="M84" s="147"/>
      <c r="N84" s="512"/>
      <c r="O84" s="511"/>
      <c r="Q84" s="508" t="s">
        <v>147</v>
      </c>
      <c r="S84" s="123">
        <f>S80+S82</f>
        <v>0</v>
      </c>
      <c r="T84" s="507"/>
      <c r="AB84" s="69"/>
      <c r="AC84" s="69"/>
      <c r="AD84" s="69"/>
      <c r="AE84" s="69"/>
      <c r="AF84" s="69"/>
      <c r="AG84"/>
      <c r="AH84"/>
      <c r="AI84"/>
      <c r="AJ84"/>
      <c r="AK84"/>
      <c r="AL84"/>
      <c r="AM84" s="582"/>
      <c r="AN84" s="582"/>
      <c r="AO84" s="582"/>
    </row>
    <row r="85" spans="6:42" ht="15.6" x14ac:dyDescent="0.3">
      <c r="G85" s="140"/>
      <c r="H85" s="20" t="s">
        <v>146</v>
      </c>
      <c r="K85" s="123">
        <f>T51+T39+T12</f>
        <v>0</v>
      </c>
      <c r="M85" s="147"/>
      <c r="N85" s="512"/>
      <c r="O85" s="511"/>
      <c r="Q85" s="508"/>
      <c r="S85" s="123"/>
      <c r="T85" s="507"/>
      <c r="AB85" s="143"/>
      <c r="AC85" s="143"/>
      <c r="AD85" s="143"/>
      <c r="AE85" s="143"/>
      <c r="AF85" s="43"/>
      <c r="AG85"/>
      <c r="AH85"/>
      <c r="AI85"/>
      <c r="AJ85"/>
      <c r="AK85"/>
      <c r="AL85"/>
      <c r="AM85" s="582"/>
      <c r="AN85" s="582"/>
      <c r="AO85" s="582"/>
    </row>
    <row r="86" spans="6:42" ht="15.6" x14ac:dyDescent="0.3">
      <c r="G86" s="140"/>
      <c r="H86" s="20" t="s">
        <v>148</v>
      </c>
      <c r="K86" s="510">
        <f>S95-K84-K85</f>
        <v>0</v>
      </c>
      <c r="L86" s="123">
        <f>K84+K85+K86</f>
        <v>0</v>
      </c>
      <c r="M86" s="511" t="e">
        <f>L86/$L$70</f>
        <v>#DIV/0!</v>
      </c>
      <c r="N86" s="500">
        <v>0</v>
      </c>
      <c r="O86" s="511" t="e">
        <f>N86/$N$66</f>
        <v>#DIV/0!</v>
      </c>
      <c r="Q86" s="508" t="s">
        <v>149</v>
      </c>
      <c r="S86" s="123">
        <f>S78-S84</f>
        <v>0</v>
      </c>
      <c r="T86" s="507"/>
      <c r="AB86" s="143"/>
      <c r="AC86" s="143"/>
      <c r="AD86" s="143"/>
      <c r="AE86" s="143"/>
      <c r="AF86" s="43"/>
      <c r="AG86"/>
      <c r="AH86"/>
      <c r="AI86"/>
      <c r="AJ86"/>
      <c r="AK86"/>
      <c r="AL86"/>
      <c r="AM86" s="582"/>
      <c r="AN86" s="582"/>
      <c r="AO86" s="582"/>
    </row>
    <row r="87" spans="6:42" ht="15.6" x14ac:dyDescent="0.3">
      <c r="G87" s="140"/>
      <c r="M87" s="147"/>
      <c r="N87" s="512"/>
      <c r="O87" s="511"/>
      <c r="Q87" s="508"/>
      <c r="S87" s="123"/>
      <c r="T87" s="507"/>
      <c r="AB87" s="143"/>
      <c r="AC87" s="143"/>
      <c r="AD87" s="143"/>
      <c r="AE87" s="143"/>
      <c r="AF87" s="43"/>
      <c r="AG87"/>
      <c r="AH87"/>
      <c r="AI87"/>
      <c r="AJ87"/>
      <c r="AK87"/>
      <c r="AL87"/>
      <c r="AM87" s="582"/>
      <c r="AN87" s="582"/>
      <c r="AO87" s="582"/>
    </row>
    <row r="88" spans="6:42" ht="15.6" x14ac:dyDescent="0.3">
      <c r="G88" s="140"/>
      <c r="H88" s="126" t="s">
        <v>276</v>
      </c>
      <c r="M88" s="147"/>
      <c r="N88" s="512"/>
      <c r="O88" s="511"/>
      <c r="Q88" s="514" t="s">
        <v>151</v>
      </c>
      <c r="R88" s="515"/>
      <c r="S88" s="516" t="e">
        <f>S86/S78</f>
        <v>#DIV/0!</v>
      </c>
      <c r="T88" s="517"/>
      <c r="AB88" s="143"/>
      <c r="AC88" s="143"/>
      <c r="AD88" s="143"/>
      <c r="AE88" s="143"/>
      <c r="AF88" s="43"/>
      <c r="AG88"/>
      <c r="AH88"/>
      <c r="AI88"/>
      <c r="AJ88"/>
      <c r="AK88"/>
      <c r="AL88"/>
      <c r="AM88" s="582"/>
      <c r="AN88" s="582"/>
      <c r="AO88" s="582"/>
    </row>
    <row r="89" spans="6:42" ht="15.6" x14ac:dyDescent="0.3">
      <c r="G89" s="140"/>
      <c r="H89" s="20" t="s">
        <v>129</v>
      </c>
      <c r="K89" s="673">
        <f>N91</f>
        <v>0</v>
      </c>
      <c r="L89" s="673"/>
      <c r="M89" s="673"/>
      <c r="N89" s="674"/>
      <c r="O89" s="511"/>
      <c r="Q89" s="508" t="s">
        <v>152</v>
      </c>
      <c r="S89" s="123">
        <f>K84</f>
        <v>0</v>
      </c>
      <c r="T89" s="505"/>
      <c r="AB89" s="143"/>
      <c r="AC89" s="143"/>
      <c r="AD89" s="143"/>
      <c r="AE89" s="143"/>
      <c r="AF89" s="43"/>
      <c r="AG89"/>
      <c r="AH89"/>
      <c r="AI89"/>
      <c r="AJ89"/>
      <c r="AK89"/>
      <c r="AL89"/>
      <c r="AM89" s="582"/>
      <c r="AN89" s="582"/>
      <c r="AO89" s="582"/>
    </row>
    <row r="90" spans="6:42" ht="15.6" x14ac:dyDescent="0.3">
      <c r="G90" s="140"/>
      <c r="H90" s="20" t="s">
        <v>146</v>
      </c>
      <c r="K90" s="673">
        <f>V51+V12+V39</f>
        <v>0</v>
      </c>
      <c r="L90" s="673"/>
      <c r="M90" s="673"/>
      <c r="N90" s="674"/>
      <c r="O90" s="511"/>
      <c r="Q90" s="508"/>
      <c r="T90" s="507"/>
      <c r="AB90" s="143"/>
      <c r="AC90" s="143"/>
      <c r="AD90" s="143"/>
      <c r="AE90" s="143"/>
      <c r="AF90" s="43"/>
      <c r="AG90"/>
      <c r="AH90"/>
      <c r="AI90"/>
      <c r="AJ90"/>
      <c r="AK90"/>
      <c r="AL90"/>
      <c r="AM90" s="582"/>
      <c r="AN90" s="582"/>
      <c r="AO90" s="582"/>
    </row>
    <row r="91" spans="6:42" ht="15.6" x14ac:dyDescent="0.3">
      <c r="G91" s="140"/>
      <c r="H91" s="20" t="s">
        <v>148</v>
      </c>
      <c r="K91" s="676">
        <f>S101-K89-K90</f>
        <v>0</v>
      </c>
      <c r="L91" s="123">
        <f>K89+K90+K91</f>
        <v>0</v>
      </c>
      <c r="M91" s="511" t="e">
        <f>L91/$L$70</f>
        <v>#DIV/0!</v>
      </c>
      <c r="N91" s="675">
        <v>0</v>
      </c>
      <c r="O91" s="511" t="e">
        <f>N91/$N$66</f>
        <v>#DIV/0!</v>
      </c>
      <c r="Q91" s="508" t="s">
        <v>142</v>
      </c>
      <c r="S91" s="510">
        <f>K85</f>
        <v>0</v>
      </c>
      <c r="T91" s="507"/>
      <c r="AB91" s="143"/>
      <c r="AC91" s="143"/>
      <c r="AD91" s="143"/>
      <c r="AE91" s="143"/>
      <c r="AF91" s="43"/>
      <c r="AG91"/>
      <c r="AH91"/>
      <c r="AI91"/>
      <c r="AJ91"/>
      <c r="AK91"/>
      <c r="AL91"/>
      <c r="AM91" s="582"/>
      <c r="AN91" s="582"/>
      <c r="AO91" s="582"/>
    </row>
    <row r="92" spans="6:42" ht="15.6" x14ac:dyDescent="0.3">
      <c r="G92" s="140"/>
      <c r="K92" s="673"/>
      <c r="L92" s="673"/>
      <c r="M92" s="673"/>
      <c r="N92" s="674"/>
      <c r="O92" s="511"/>
      <c r="Q92" s="508"/>
      <c r="T92" s="507"/>
      <c r="AB92" s="143"/>
      <c r="AC92" s="143"/>
      <c r="AD92" s="143"/>
      <c r="AE92" s="143"/>
      <c r="AF92" s="43"/>
      <c r="AG92"/>
      <c r="AH92"/>
      <c r="AI92"/>
      <c r="AJ92"/>
      <c r="AK92"/>
      <c r="AL92"/>
      <c r="AM92" s="582"/>
      <c r="AN92" s="582"/>
      <c r="AO92" s="582"/>
    </row>
    <row r="93" spans="6:42" ht="15.6" x14ac:dyDescent="0.3">
      <c r="G93" s="140"/>
      <c r="H93" s="126" t="s">
        <v>150</v>
      </c>
      <c r="I93" s="126"/>
      <c r="L93" s="512"/>
      <c r="M93" s="511"/>
      <c r="N93" s="512"/>
      <c r="O93" s="511"/>
      <c r="Q93" s="508" t="s">
        <v>117</v>
      </c>
      <c r="S93" s="123">
        <f>S89+S91</f>
        <v>0</v>
      </c>
      <c r="T93" s="507"/>
      <c r="AB93" s="143"/>
      <c r="AC93" s="143"/>
      <c r="AD93" s="143"/>
      <c r="AE93" s="143"/>
      <c r="AF93" s="43"/>
      <c r="AG93"/>
      <c r="AH93"/>
      <c r="AI93"/>
      <c r="AJ93"/>
      <c r="AK93"/>
      <c r="AL93"/>
      <c r="AM93" s="582"/>
      <c r="AN93" s="582"/>
      <c r="AO93" s="582"/>
    </row>
    <row r="94" spans="6:42" ht="15.6" x14ac:dyDescent="0.3">
      <c r="G94" s="140"/>
      <c r="H94" s="20" t="s">
        <v>129</v>
      </c>
      <c r="K94" s="134">
        <f>N96</f>
        <v>0</v>
      </c>
      <c r="L94" s="512"/>
      <c r="M94" s="511"/>
      <c r="N94" s="512"/>
      <c r="O94" s="511"/>
      <c r="Q94" s="508"/>
      <c r="T94" s="507"/>
      <c r="AB94" s="143"/>
      <c r="AC94" s="143"/>
      <c r="AD94" s="143"/>
      <c r="AE94" s="143"/>
      <c r="AF94" s="43"/>
      <c r="AG94"/>
      <c r="AH94"/>
      <c r="AI94"/>
      <c r="AJ94"/>
      <c r="AK94"/>
      <c r="AL94"/>
      <c r="AM94" s="582"/>
      <c r="AN94" s="582"/>
      <c r="AO94" s="582"/>
    </row>
    <row r="95" spans="6:42" ht="15.6" x14ac:dyDescent="0.3">
      <c r="G95" s="140"/>
      <c r="H95" s="20" t="s">
        <v>146</v>
      </c>
      <c r="K95" s="134">
        <f>S12+S39+S51</f>
        <v>0</v>
      </c>
      <c r="L95" s="512"/>
      <c r="M95" s="511"/>
      <c r="N95" s="512"/>
      <c r="O95" s="511"/>
      <c r="Q95" s="508" t="s">
        <v>153</v>
      </c>
      <c r="S95" s="513">
        <v>0</v>
      </c>
      <c r="T95" s="507"/>
      <c r="AB95" s="143"/>
      <c r="AC95" s="143"/>
      <c r="AD95" s="143"/>
      <c r="AE95" s="143"/>
      <c r="AF95" s="43"/>
      <c r="AG95"/>
      <c r="AH95"/>
      <c r="AI95"/>
      <c r="AJ95"/>
      <c r="AK95"/>
      <c r="AL95"/>
      <c r="AM95" s="582"/>
      <c r="AN95" s="582"/>
      <c r="AO95" s="582"/>
    </row>
    <row r="96" spans="6:42" ht="15.6" x14ac:dyDescent="0.3">
      <c r="G96" s="140"/>
      <c r="H96" s="20" t="s">
        <v>148</v>
      </c>
      <c r="K96" s="510">
        <f>S103-K94-K95</f>
        <v>0</v>
      </c>
      <c r="L96" s="510">
        <f>K94+K96+K95</f>
        <v>0</v>
      </c>
      <c r="M96" s="511" t="e">
        <f>L96/$L$70</f>
        <v>#DIV/0!</v>
      </c>
      <c r="N96" s="513">
        <v>0</v>
      </c>
      <c r="O96" s="511" t="e">
        <f>N96/$N$66</f>
        <v>#DIV/0!</v>
      </c>
      <c r="Q96" s="508" t="s">
        <v>155</v>
      </c>
      <c r="S96" s="123">
        <f>S93-S95</f>
        <v>0</v>
      </c>
      <c r="T96" s="507"/>
      <c r="AB96" s="143"/>
      <c r="AC96" s="143"/>
      <c r="AD96" s="143"/>
      <c r="AE96" s="143"/>
      <c r="AF96" s="43"/>
      <c r="AG96"/>
      <c r="AH96"/>
      <c r="AI96"/>
      <c r="AJ96"/>
      <c r="AK96"/>
      <c r="AL96"/>
      <c r="AM96" s="582"/>
      <c r="AN96" s="582"/>
      <c r="AO96" s="582"/>
    </row>
    <row r="97" spans="7:41" ht="15.6" x14ac:dyDescent="0.3">
      <c r="G97" s="140"/>
      <c r="M97" s="147"/>
      <c r="O97" s="511"/>
      <c r="Q97" s="508"/>
      <c r="T97" s="507"/>
      <c r="AB97" s="143"/>
      <c r="AC97" s="143"/>
      <c r="AD97" s="143"/>
      <c r="AE97" s="143"/>
      <c r="AF97" s="43"/>
      <c r="AG97"/>
      <c r="AH97"/>
      <c r="AI97"/>
      <c r="AJ97"/>
      <c r="AK97"/>
      <c r="AL97"/>
      <c r="AM97" s="582"/>
      <c r="AN97" s="582"/>
      <c r="AO97" s="582"/>
    </row>
    <row r="98" spans="7:41" ht="15.6" x14ac:dyDescent="0.3">
      <c r="G98"/>
      <c r="H98" s="126" t="s">
        <v>154</v>
      </c>
      <c r="I98" s="126"/>
      <c r="L98" s="127">
        <f>L81+L86+L96+L91</f>
        <v>0</v>
      </c>
      <c r="M98" s="147"/>
      <c r="N98" s="127">
        <f>N81+N86+N96+N91</f>
        <v>0</v>
      </c>
      <c r="O98" s="511"/>
      <c r="Q98" s="514" t="s">
        <v>151</v>
      </c>
      <c r="R98" s="515"/>
      <c r="S98" s="516" t="e">
        <f>S96/S93</f>
        <v>#DIV/0!</v>
      </c>
      <c r="T98" s="517"/>
      <c r="AB98" s="69"/>
      <c r="AC98" s="69"/>
      <c r="AD98" s="69"/>
      <c r="AE98" s="69"/>
      <c r="AF98" s="69"/>
      <c r="AG98"/>
      <c r="AH98"/>
      <c r="AI98"/>
      <c r="AJ98"/>
      <c r="AK98"/>
      <c r="AL98"/>
      <c r="AM98" s="582"/>
      <c r="AN98" s="582"/>
      <c r="AO98" s="582"/>
    </row>
    <row r="99" spans="7:41" ht="15.6" x14ac:dyDescent="0.3">
      <c r="G99" s="128"/>
      <c r="M99" s="147"/>
      <c r="O99" s="511"/>
      <c r="Q99" s="508" t="s">
        <v>277</v>
      </c>
      <c r="S99" s="123">
        <f>K89</f>
        <v>0</v>
      </c>
      <c r="T99" s="507"/>
      <c r="AB99" s="128"/>
      <c r="AC99" s="128"/>
      <c r="AD99" s="128"/>
      <c r="AE99" s="128"/>
      <c r="AF99" s="128"/>
      <c r="AG99"/>
      <c r="AH99"/>
      <c r="AI99"/>
      <c r="AJ99"/>
      <c r="AK99"/>
      <c r="AL99"/>
      <c r="AM99" s="582"/>
      <c r="AN99" s="582"/>
      <c r="AO99" s="582"/>
    </row>
    <row r="100" spans="7:41" ht="15.6" x14ac:dyDescent="0.3">
      <c r="H100" s="518" t="s">
        <v>156</v>
      </c>
      <c r="I100" s="518"/>
      <c r="L100" s="127">
        <f>L70-L98</f>
        <v>0</v>
      </c>
      <c r="M100" s="511" t="e">
        <f>L100/$L$70</f>
        <v>#DIV/0!</v>
      </c>
      <c r="N100" s="127">
        <f>N66-N98</f>
        <v>0</v>
      </c>
      <c r="O100" s="511" t="e">
        <f>N100/$N$66</f>
        <v>#DIV/0!</v>
      </c>
      <c r="Q100" s="508"/>
      <c r="S100" s="123"/>
      <c r="T100" s="507"/>
      <c r="AB100"/>
      <c r="AC100"/>
      <c r="AD100"/>
      <c r="AE100"/>
      <c r="AF100"/>
      <c r="AG100"/>
      <c r="AH100"/>
      <c r="AI100"/>
      <c r="AJ100"/>
      <c r="AK100"/>
      <c r="AL100"/>
      <c r="AM100" s="582"/>
      <c r="AN100" s="582"/>
      <c r="AO100" s="582"/>
    </row>
    <row r="101" spans="7:41" ht="15.6" x14ac:dyDescent="0.3">
      <c r="M101" s="511"/>
      <c r="Q101" s="508" t="s">
        <v>278</v>
      </c>
      <c r="S101" s="678">
        <v>0</v>
      </c>
      <c r="T101" s="507"/>
      <c r="AB101" s="134"/>
      <c r="AC101" s="134"/>
      <c r="AD101" s="134"/>
      <c r="AE101" s="134"/>
      <c r="AF101" s="134"/>
      <c r="AH101"/>
      <c r="AI101"/>
      <c r="AJ101"/>
      <c r="AK101"/>
      <c r="AL101"/>
      <c r="AM101" s="582"/>
      <c r="AN101" s="582"/>
      <c r="AO101" s="582"/>
    </row>
    <row r="102" spans="7:41" ht="15.6" x14ac:dyDescent="0.3">
      <c r="H102" s="518" t="s">
        <v>208</v>
      </c>
      <c r="L102" s="127">
        <f>SUM(K79:K81)*(K77-K78)</f>
        <v>0</v>
      </c>
      <c r="M102" s="511" t="e">
        <f>L102/$L$70</f>
        <v>#DIV/0!</v>
      </c>
      <c r="N102" s="127">
        <f>SUM(K79)*(K77-K78)</f>
        <v>0</v>
      </c>
      <c r="O102" s="511" t="e">
        <f>N102/$N$66</f>
        <v>#DIV/0!</v>
      </c>
      <c r="Q102" s="514" t="s">
        <v>155</v>
      </c>
      <c r="R102" s="515"/>
      <c r="S102" s="510">
        <f>S99-S101</f>
        <v>0</v>
      </c>
      <c r="T102" s="517"/>
      <c r="AB102" s="134"/>
      <c r="AC102" s="134"/>
      <c r="AD102" s="134"/>
      <c r="AE102" s="134"/>
      <c r="AF102" s="134"/>
      <c r="AG102"/>
      <c r="AH102"/>
      <c r="AI102"/>
      <c r="AJ102"/>
      <c r="AK102"/>
      <c r="AL102"/>
      <c r="AM102" s="582"/>
      <c r="AN102" s="582"/>
      <c r="AO102" s="582"/>
    </row>
    <row r="103" spans="7:41" ht="15.6" x14ac:dyDescent="0.3">
      <c r="M103" s="511"/>
      <c r="O103" s="511"/>
      <c r="Q103" s="508" t="s">
        <v>157</v>
      </c>
      <c r="S103" s="513">
        <v>0</v>
      </c>
      <c r="T103" s="507"/>
      <c r="AB103" s="134"/>
      <c r="AC103" s="134"/>
      <c r="AD103" s="134"/>
      <c r="AE103" s="134"/>
      <c r="AF103" s="134"/>
      <c r="AG103"/>
      <c r="AH103"/>
      <c r="AI103"/>
      <c r="AJ103"/>
      <c r="AK103"/>
      <c r="AL103"/>
      <c r="AM103" s="582"/>
      <c r="AN103" s="582"/>
      <c r="AO103" s="582"/>
    </row>
    <row r="104" spans="7:41" ht="15.6" x14ac:dyDescent="0.3">
      <c r="H104" s="518" t="s">
        <v>217</v>
      </c>
      <c r="L104" s="127">
        <f>L100-L102</f>
        <v>0</v>
      </c>
      <c r="M104" s="511" t="e">
        <f>L104/$L$70</f>
        <v>#DIV/0!</v>
      </c>
      <c r="N104" s="127">
        <f>N100-N102</f>
        <v>0</v>
      </c>
      <c r="O104" s="511" t="e">
        <f>N104/$N$66</f>
        <v>#DIV/0!</v>
      </c>
      <c r="Q104" s="514" t="s">
        <v>149</v>
      </c>
      <c r="R104" s="515"/>
      <c r="S104" s="510">
        <f>K94+K95-S103</f>
        <v>0</v>
      </c>
      <c r="T104" s="517"/>
      <c r="AB104" s="134"/>
      <c r="AC104" s="134"/>
      <c r="AD104" s="134"/>
      <c r="AE104" s="134"/>
      <c r="AF104" s="134"/>
      <c r="AG104"/>
      <c r="AH104"/>
      <c r="AI104"/>
      <c r="AJ104"/>
      <c r="AK104"/>
      <c r="AL104"/>
      <c r="AM104" s="582"/>
      <c r="AN104" s="582"/>
      <c r="AO104" s="582"/>
    </row>
    <row r="105" spans="7:41" x14ac:dyDescent="0.25">
      <c r="AB105" s="134"/>
      <c r="AC105" s="134"/>
      <c r="AD105" s="134"/>
      <c r="AE105" s="134"/>
      <c r="AF105" s="134"/>
      <c r="AG105"/>
      <c r="AH105"/>
      <c r="AI105"/>
      <c r="AJ105"/>
      <c r="AK105"/>
      <c r="AL105"/>
      <c r="AM105" s="582"/>
      <c r="AN105" s="582"/>
      <c r="AO105" s="582"/>
    </row>
    <row r="106" spans="7:41" x14ac:dyDescent="0.25">
      <c r="AB106" s="134"/>
      <c r="AC106" s="134"/>
      <c r="AD106" s="134"/>
      <c r="AE106" s="134"/>
      <c r="AF106" s="134"/>
      <c r="AG106"/>
      <c r="AH106"/>
      <c r="AI106"/>
      <c r="AJ106"/>
      <c r="AK106"/>
      <c r="AL106"/>
      <c r="AM106" s="582"/>
      <c r="AN106" s="582"/>
      <c r="AO106" s="582"/>
    </row>
    <row r="107" spans="7:41" ht="15.6" x14ac:dyDescent="0.3">
      <c r="I107" s="784" t="s">
        <v>230</v>
      </c>
      <c r="J107" s="784"/>
      <c r="K107" s="784"/>
      <c r="L107" s="470"/>
      <c r="M107"/>
      <c r="N107"/>
      <c r="O107"/>
      <c r="P107"/>
      <c r="Q107"/>
      <c r="AB107" s="134"/>
      <c r="AC107" s="134"/>
      <c r="AD107" s="134"/>
      <c r="AE107" s="134"/>
      <c r="AF107" s="134"/>
      <c r="AG107"/>
      <c r="AH107"/>
      <c r="AI107"/>
      <c r="AJ107"/>
      <c r="AK107"/>
      <c r="AL107"/>
      <c r="AM107" s="582"/>
      <c r="AN107" s="582"/>
      <c r="AO107" s="582"/>
    </row>
    <row r="108" spans="7:41" ht="78" x14ac:dyDescent="0.25">
      <c r="G108" s="123"/>
      <c r="I108" s="469" t="s">
        <v>120</v>
      </c>
      <c r="J108" s="469" t="s">
        <v>259</v>
      </c>
      <c r="K108" s="469" t="s">
        <v>262</v>
      </c>
      <c r="L108" s="481" t="s">
        <v>121</v>
      </c>
      <c r="M108" s="481" t="s">
        <v>122</v>
      </c>
      <c r="N108" s="481" t="s">
        <v>123</v>
      </c>
      <c r="O108" s="481" t="s">
        <v>124</v>
      </c>
      <c r="P108" s="481" t="s">
        <v>266</v>
      </c>
      <c r="Q108" s="481" t="s">
        <v>260</v>
      </c>
      <c r="R108" s="481" t="s">
        <v>125</v>
      </c>
      <c r="S108" s="481" t="s">
        <v>126</v>
      </c>
      <c r="T108" s="481" t="s">
        <v>274</v>
      </c>
      <c r="AB108" s="134"/>
      <c r="AC108" s="134"/>
      <c r="AD108" s="134"/>
      <c r="AE108" s="134"/>
      <c r="AF108" s="134"/>
      <c r="AG108"/>
    </row>
    <row r="109" spans="7:41" ht="15.6" x14ac:dyDescent="0.3">
      <c r="G109" s="123"/>
      <c r="I109" s="571" t="s">
        <v>261</v>
      </c>
      <c r="J109" s="470">
        <v>1</v>
      </c>
      <c r="K109" s="615">
        <v>0</v>
      </c>
      <c r="L109" s="177">
        <v>0</v>
      </c>
      <c r="M109" s="177">
        <v>0</v>
      </c>
      <c r="N109" s="483">
        <f t="shared" ref="N109" si="2">L109+M109</f>
        <v>0</v>
      </c>
      <c r="O109" s="177">
        <v>0</v>
      </c>
      <c r="P109" s="177">
        <v>0</v>
      </c>
      <c r="Q109" s="613">
        <f t="shared" ref="Q109" si="3">O109+P109</f>
        <v>0</v>
      </c>
      <c r="R109" s="490">
        <f>SUM($K$79)-N109</f>
        <v>0</v>
      </c>
      <c r="S109" s="490">
        <f>SUM($K$79)-R109</f>
        <v>0</v>
      </c>
      <c r="T109" s="616">
        <f>Q109-N109</f>
        <v>0</v>
      </c>
      <c r="AB109" s="134"/>
      <c r="AC109" s="134"/>
      <c r="AD109" s="134"/>
      <c r="AE109" s="134"/>
      <c r="AF109" s="134"/>
      <c r="AG109"/>
    </row>
    <row r="110" spans="7:41" ht="15.6" x14ac:dyDescent="0.3">
      <c r="I110" s="571"/>
      <c r="J110" s="470"/>
      <c r="K110" s="615"/>
    </row>
    <row r="111" spans="7:41" ht="15.6" x14ac:dyDescent="0.3">
      <c r="I111" s="137" t="s">
        <v>263</v>
      </c>
      <c r="K111" s="615">
        <v>0</v>
      </c>
    </row>
    <row r="112" spans="7:41" ht="15.6" x14ac:dyDescent="0.3">
      <c r="I112" s="137" t="s">
        <v>117</v>
      </c>
      <c r="K112" s="616">
        <f>SUM(K109:K111)</f>
        <v>0</v>
      </c>
    </row>
    <row r="113" spans="9:11" ht="15.6" x14ac:dyDescent="0.3">
      <c r="I113" s="137" t="s">
        <v>264</v>
      </c>
      <c r="K113" s="616">
        <f>projVal</f>
        <v>0</v>
      </c>
    </row>
    <row r="114" spans="9:11" ht="15.6" x14ac:dyDescent="0.3">
      <c r="I114" s="137" t="s">
        <v>265</v>
      </c>
      <c r="K114" s="616">
        <f>K113-K112</f>
        <v>0</v>
      </c>
    </row>
    <row r="115" spans="9:11" ht="15.6" x14ac:dyDescent="0.3">
      <c r="I115" s="571"/>
      <c r="J115" s="470"/>
      <c r="K115" s="615"/>
    </row>
    <row r="116" spans="9:11" ht="15.6" x14ac:dyDescent="0.3">
      <c r="I116" s="571"/>
      <c r="J116" s="470"/>
      <c r="K116" s="615"/>
    </row>
    <row r="117" spans="9:11" ht="15.6" x14ac:dyDescent="0.3">
      <c r="I117" s="571"/>
      <c r="J117" s="470"/>
      <c r="K117" s="615"/>
    </row>
    <row r="118" spans="9:11" x14ac:dyDescent="0.25">
      <c r="I118" s="6"/>
      <c r="J118" s="6"/>
      <c r="K118" s="6"/>
    </row>
    <row r="119" spans="9:11" x14ac:dyDescent="0.25">
      <c r="I119" s="6"/>
      <c r="J119" s="6"/>
      <c r="K119" s="6"/>
    </row>
    <row r="120" spans="9:11" x14ac:dyDescent="0.25">
      <c r="I120" s="6"/>
      <c r="J120" s="6"/>
      <c r="K120" s="6"/>
    </row>
    <row r="121" spans="9:11" x14ac:dyDescent="0.25">
      <c r="I121" s="6"/>
      <c r="J121" s="6"/>
      <c r="K121" s="6"/>
    </row>
    <row r="122" spans="9:11" x14ac:dyDescent="0.25">
      <c r="I122" s="6"/>
      <c r="J122" s="6"/>
      <c r="K122" s="6"/>
    </row>
  </sheetData>
  <protectedRanges>
    <protectedRange sqref="N1:O6 E1:F2 I115:K1048576 I111:J114 L110:XFD1048576 I110:K110 A1:D9 AE5 E4:F9 AE8:XFD9 Q91:S91 A93:H1048576 I93:P109 Q102:R102 Q98:S98 T97:T109 Q103:S109 Q93:S93 Q95:S96 T91:T95 P1:AD9 U10:XFD10 AG1:XFD7 AE1:AF4 AE6:AF7 Q10:T45 U11:XFD45 U50:XFD109 Q50:T89 R46:XFD46 A10:P92 Q47:XFD49 L7:O9 G1:K9" name="user_ediable" securityDescriptor="O:WDG:WDD:(A;;CC;;;WD)"/>
    <protectedRange sqref="K111" name="user_ediable_1" securityDescriptor="O:WDG:WDD:(A;;CC;;;WD)"/>
    <protectedRange sqref="S102" name="user_ediable_3" securityDescriptor="O:WDG:WDD:(A;;CC;;;WD)"/>
    <protectedRange sqref="S101" name="user_ediable_2" securityDescriptor="O:WDG:WDD:(A;;CC;;;WD)"/>
  </protectedRanges>
  <sortState xmlns:xlrd2="http://schemas.microsoft.com/office/spreadsheetml/2017/richdata2" ref="C11:G13">
    <sortCondition ref="F11"/>
  </sortState>
  <mergeCells count="4">
    <mergeCell ref="AO5:AP5"/>
    <mergeCell ref="I107:K107"/>
    <mergeCell ref="AE5:AJ5"/>
    <mergeCell ref="AC44:AJ44"/>
  </mergeCells>
  <phoneticPr fontId="3" type="noConversion"/>
  <conditionalFormatting sqref="F48:M48 F9:M9">
    <cfRule type="expression" dxfId="0" priority="2">
      <formula>$BA9=TRUE</formula>
    </cfRule>
  </conditionalFormatting>
  <dataValidations count="12">
    <dataValidation allowBlank="1" showInputMessage="1" showErrorMessage="1" sqref="J44:S44 J13:K14 H14:I14 L13:O13 Q13:S13 L14:S14 I2 N1:O5 Q1:W3 P4:W4 H43:I44 E44:G44 AM13:XFD14 T52:U53 I16:I17 Y16:Y17 AO12 Q16:R17 D16:D17 AM1:XFD6 H5 I4:I5 AF50:AK50 AM44:AN45 AO44:XFD44 AK52 AF51:AJ52 M39 AK44 W44:AC44 Q46:R46 I107 C11:AK11 M107:T107 E6 E4:F5 E1:F2 K52:K76 W13:AK14 AB12:AK12 C20:F21 Q91:S91 I118:K1048576 G107:G109 AM11:XFD11 L12:M12 E13:F14 G13 C35:F37 I35:I36 K35:K36 I30:I31 C30:F31 K30:K31 I25:I26 C25:F26 K25:K26 AN47:XFD47 AN49:XFD49 H10 T110:T1048576 L108:S1048576 I108:J117 G110:H1048576 H17:H37 K20:K21 AE51 K105:M106 N106:O106 U55:U1048576 V76:AK1048576 AM76:XFD1048576 E76:F1048576 G52:J106 L51:M79 K78:K79 P52:P106 N52:O80 N82:O97 Q74:R88 S79:S83 Q104:R106 S105:S106 S101 Q95:S96 T97:T106 Q103:S103 Q102:R102 Q93:S93 Q98:S98 Q52:S73 T55:T88 T91:T95 Q89:T89 K111:K114 AB1:AD6 AE5:AE7 AE1:AK4 AF6:AK6 AK5 I20:I21 C47:F47 C49:F49 J48:N48 R48:AC48 C48:G48 AG48:XFD48 H47:AL47 AF46 AE45:AK45 H49:AL49 BA46" xr:uid="{00000000-0002-0000-0800-000000000000}"/>
    <dataValidation type="custom" allowBlank="1" showInputMessage="1" showErrorMessage="1" error="Data entr刨տ_x0000__x0000__x000d__x0000__x0000__x0010__x0000__x0000_㿿_x0000__xffff__xffff__x0000__x0000_s denied." sqref="AP12:XFD12 M40:M42 AM12:AN12 C16:C17 N12:P12 E12:G12 I12:J12" xr:uid="{00000000-0002-0000-0800-000001000000}">
      <formula1>"&lt;&gt;ActiveCell"</formula1>
    </dataValidation>
    <dataValidation type="custom" allowBlank="1" showInputMessage="1" showErrorMessage="1" error="Formula in cell. Access Denied" sqref="N39:AA39 L39 N51:P51 Z35:AA37 Z30:AA31 Z25:AA26 Z20:AA21" xr:uid="{00000000-0002-0000-0800-000002000000}">
      <formula1>"&lt;&gt;G6:G25,G27:V27,V6:V25,V35:V54,G56:V56,G35:G54"</formula1>
    </dataValidation>
    <dataValidation type="custom" allowBlank="1" showInputMessage="1" showErrorMessage="1" error="Formula in cell.Access denied." sqref="G17 I37 S16:X17 Z16:AA17 J15:P17 Q15:AF15 E15:E17 I15 H15:H16 F15:G15 E45:AD45" xr:uid="{00000000-0002-0000-0800-000003000000}">
      <formula1>"&lt;&gt;ActiveCell"</formula1>
    </dataValidation>
    <dataValidation type="custom" allowBlank="1" showInputMessage="1" showErrorMessage="1" error="Data entry in this cell is denied." sqref="F16:F17 AK51 C46:P46 AL1:AL6 K37:L37 K77 AM7:XFD9 Q51:AA51 Q12:AA12 AG27:XFD29 C18:G19 I8:I9 AG22:XFD24 C22:G24 C27:G29 AG46:AL46 AL11:AL17 C10:G10 C7:H9 A8:B9 AL8:AL9 J7:Z9 AA8:AA9 H12 H4 AG32:XFD34 G14 C32:G34 AL35:AL45 L35:M36 L30:M31 AL30:AL31 L25:M26 AL25:AL26 AE8:AE9 S99 I27:P29 I32:P34 I22:P24 R22:AE24 R27:AE29 R32:AE34 I18:XFD19 L20:M21 AL20:AL21 G49 S104 S102 N81:O81 K80:M104 S84:S88 S74:S78 N98:O105 AB7:AD9 AF7:AK9 S46:AE46 I10:XFD10 G47 AM47 AL50:AL1048576 AM49 AN46:AZ46 BB46:XFD46" xr:uid="{00000000-0002-0000-0800-000004000000}">
      <formula1>"&lt;&gt;ActiveCell"</formula1>
    </dataValidation>
    <dataValidation type="list" allowBlank="1" showInputMessage="1" showErrorMessage="1" sqref="O6" xr:uid="{00000000-0002-0000-0800-000005000000}">
      <formula1>$AO$11:$AO$12</formula1>
    </dataValidation>
    <dataValidation allowBlank="1" showInputMessage="1" showErrorMessage="1" promptTitle="Spare Formula Cells" prompt="Use this area to input custom formula you may require for contract administration. This will not be presented to the Client / Consultant " sqref="A7:B7" xr:uid="{00000000-0002-0000-0800-000006000000}"/>
    <dataValidation allowBlank="1" showInputMessage="1" showErrorMessage="1" promptTitle="Spare Foruma Cells" prompt="Use this area to input custom formula you may require for contract administration. Note: this will be presented to the Client / Consultant " sqref="I7" xr:uid="{00000000-0002-0000-0800-000007000000}"/>
    <dataValidation allowBlank="1" showInputMessage="1" showErrorMessage="1" promptTitle="Cost Vs. Income" prompt="Values here to be copied to the Claim Sheet monthly for Cost Vs. Income analysis" sqref="AC54:AK54" xr:uid="{00000000-0002-0000-0800-000008000000}"/>
    <dataValidation allowBlank="1" showInputMessage="1" showErrorMessage="1" promptTitle="Difference Check" prompt="Values in this column should always be zero." sqref="AL7 AM46 AA7" xr:uid="{00000000-0002-0000-0800-000009000000}"/>
    <dataValidation allowBlank="1" showErrorMessage="1" sqref="A48" xr:uid="{955433ED-DF8E-4B04-9837-523F583BB95E}"/>
    <dataValidation allowBlank="1" showErrorMessage="1" promptTitle="Custom Formula Area" prompt="Use this area to input custom formula you may require for contract administration. This will not be presented to the Client / Consultant " sqref="B48" xr:uid="{E8124B6E-6A8D-4E38-915F-DEC4B9C77656}"/>
  </dataValidations>
  <printOptions horizontalCentered="1"/>
  <pageMargins left="0.11811023622047245" right="0.11811023622047245" top="0.98425196850393704" bottom="0.11811023622047245" header="0" footer="0.11811023622047245"/>
  <pageSetup paperSize="9" orientation="landscape" r:id="rId1"/>
  <headerFooter>
    <oddHeader>&amp;L&amp;G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FmthAdd">
                <anchor moveWithCells="1" sizeWithCells="1">
                  <from>
                    <xdr:col>7</xdr:col>
                    <xdr:colOff>3009900</xdr:colOff>
                    <xdr:row>107</xdr:row>
                    <xdr:rowOff>76200</xdr:rowOff>
                  </from>
                  <to>
                    <xdr:col>7</xdr:col>
                    <xdr:colOff>4480560</xdr:colOff>
                    <xdr:row>107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CFmthRem">
                <anchor moveWithCells="1" sizeWithCells="1">
                  <from>
                    <xdr:col>7</xdr:col>
                    <xdr:colOff>2994660</xdr:colOff>
                    <xdr:row>107</xdr:row>
                    <xdr:rowOff>533400</xdr:rowOff>
                  </from>
                  <to>
                    <xdr:col>7</xdr:col>
                    <xdr:colOff>4480560</xdr:colOff>
                    <xdr:row>107</xdr:row>
                    <xdr:rowOff>937260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add">
                <anchor moveWithCells="1" sizeWithCells="1">
                  <from>
                    <xdr:col>3</xdr:col>
                    <xdr:colOff>441960</xdr:colOff>
                    <xdr:row>16</xdr:row>
                    <xdr:rowOff>38100</xdr:rowOff>
                  </from>
                  <to>
                    <xdr:col>4</xdr:col>
                    <xdr:colOff>571500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remove">
                <anchor moveWithCells="1" sizeWithCells="1">
                  <from>
                    <xdr:col>4</xdr:col>
                    <xdr:colOff>632460</xdr:colOff>
                    <xdr:row>16</xdr:row>
                    <xdr:rowOff>38100</xdr:rowOff>
                  </from>
                  <to>
                    <xdr:col>5</xdr:col>
                    <xdr:colOff>975360</xdr:colOff>
                    <xdr:row>17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D32"/>
  <sheetViews>
    <sheetView workbookViewId="0">
      <selection activeCell="B1" sqref="B1"/>
    </sheetView>
  </sheetViews>
  <sheetFormatPr defaultColWidth="8.81640625" defaultRowHeight="13.8" x14ac:dyDescent="0.25"/>
  <cols>
    <col min="1" max="1" width="4.1796875" style="190" bestFit="1" customWidth="1"/>
    <col min="2" max="2" width="90.54296875" style="190" bestFit="1" customWidth="1"/>
    <col min="3" max="3" width="11.453125" style="190" bestFit="1" customWidth="1"/>
    <col min="4" max="4" width="9.81640625" style="190" bestFit="1" customWidth="1"/>
    <col min="5" max="16384" width="8.81640625" style="190"/>
  </cols>
  <sheetData>
    <row r="1" spans="1:4" x14ac:dyDescent="0.25">
      <c r="A1" s="189"/>
      <c r="B1" s="189"/>
      <c r="C1" s="189"/>
      <c r="D1" s="189"/>
    </row>
    <row r="2" spans="1:4" x14ac:dyDescent="0.25">
      <c r="D2" s="191"/>
    </row>
    <row r="3" spans="1:4" x14ac:dyDescent="0.25">
      <c r="D3" s="191"/>
    </row>
    <row r="4" spans="1:4" x14ac:dyDescent="0.25">
      <c r="D4" s="191"/>
    </row>
    <row r="5" spans="1:4" x14ac:dyDescent="0.25">
      <c r="D5" s="191"/>
    </row>
    <row r="6" spans="1:4" x14ac:dyDescent="0.25">
      <c r="D6" s="191"/>
    </row>
    <row r="7" spans="1:4" x14ac:dyDescent="0.25">
      <c r="D7" s="191"/>
    </row>
    <row r="8" spans="1:4" x14ac:dyDescent="0.25">
      <c r="D8" s="191"/>
    </row>
    <row r="9" spans="1:4" x14ac:dyDescent="0.25">
      <c r="D9" s="191"/>
    </row>
    <row r="10" spans="1:4" x14ac:dyDescent="0.25">
      <c r="D10" s="191"/>
    </row>
    <row r="11" spans="1:4" x14ac:dyDescent="0.25">
      <c r="D11" s="191"/>
    </row>
    <row r="12" spans="1:4" x14ac:dyDescent="0.25">
      <c r="D12" s="191"/>
    </row>
    <row r="13" spans="1:4" x14ac:dyDescent="0.25">
      <c r="D13" s="191"/>
    </row>
    <row r="14" spans="1:4" x14ac:dyDescent="0.25">
      <c r="D14" s="191"/>
    </row>
    <row r="15" spans="1:4" x14ac:dyDescent="0.25">
      <c r="D15" s="191"/>
    </row>
    <row r="16" spans="1:4" x14ac:dyDescent="0.25">
      <c r="D16" s="191"/>
    </row>
    <row r="17" spans="4:4" x14ac:dyDescent="0.25">
      <c r="D17" s="191"/>
    </row>
    <row r="18" spans="4:4" x14ac:dyDescent="0.25">
      <c r="D18" s="191"/>
    </row>
    <row r="19" spans="4:4" x14ac:dyDescent="0.25">
      <c r="D19" s="191"/>
    </row>
    <row r="20" spans="4:4" x14ac:dyDescent="0.25">
      <c r="D20" s="191"/>
    </row>
    <row r="21" spans="4:4" x14ac:dyDescent="0.25">
      <c r="D21" s="191"/>
    </row>
    <row r="22" spans="4:4" x14ac:dyDescent="0.25">
      <c r="D22" s="191"/>
    </row>
    <row r="23" spans="4:4" x14ac:dyDescent="0.25">
      <c r="D23" s="459"/>
    </row>
    <row r="24" spans="4:4" x14ac:dyDescent="0.25">
      <c r="D24" s="459"/>
    </row>
    <row r="25" spans="4:4" x14ac:dyDescent="0.25">
      <c r="D25" s="459"/>
    </row>
    <row r="26" spans="4:4" x14ac:dyDescent="0.25">
      <c r="D26" s="459"/>
    </row>
    <row r="27" spans="4:4" x14ac:dyDescent="0.25">
      <c r="D27" s="459"/>
    </row>
    <row r="28" spans="4:4" x14ac:dyDescent="0.25">
      <c r="D28" s="459"/>
    </row>
    <row r="29" spans="4:4" x14ac:dyDescent="0.25">
      <c r="D29" s="459"/>
    </row>
    <row r="30" spans="4:4" x14ac:dyDescent="0.25">
      <c r="D30" s="459"/>
    </row>
    <row r="31" spans="4:4" x14ac:dyDescent="0.25">
      <c r="D31" s="459"/>
    </row>
    <row r="32" spans="4:4" x14ac:dyDescent="0.25">
      <c r="D32" s="191"/>
    </row>
  </sheetData>
  <pageMargins left="0.7" right="0.7" top="0.75" bottom="0.75" header="0.3" footer="0.3"/>
  <pageSetup paperSize="9" orientation="portrait" r:id="rId1"/>
</worksheet>
</file>

<file path=customUI/customUI14.xml><?xml version="1.0" encoding="utf-8"?>
<!--RibbonX Visual Designer 1.94 for Microsoft Excel 14.0. XML Code produced on 2019/10/03-->
<customUI xmlns="http://schemas.microsoft.com/office/2009/07/customui" onLoad="rxRibbonUI_onLoad">
  <ribbon>
    <tabs>
      <tab id="ABLQuote" insertBeforeMso="TabHome" label="ABL Vosum">
        <group id="Insertion" label="Vosum Actions">
          <button id="rxAddSumryRow" imageMso="GoLtrDown" label="New Variation" screentip="Ctrl-Shift-A" size="normal" supertip="Add sumry sheet row and new sheet to workbook" getVisible="gv_Sumry" onAction="rxAddSumryRow_click"/>
          <button id="rxConvertXVO" imageMso="GoLtrDown" label="Convert XVO" screentip="Convert XVO" size="normal" supertip="Converts an X Vo into a Contract VO which will appear in the upper list of Variations sent to the consultant" getVisible="gv_Sumry" onAction="convertXVO"/>
          <button id="sumsAdjust" imageMso="GoLtrDown" label="Sums Adjustment" screentip="Adjust Sums" size="normal" supertip="Moves desired sum line item to Contract VO area" getVisible="gv_Sumry" onAction="sumAdj"/>
          <button id="QSrprt" imageMso="GoLtrDown" label="Generate QS Report" screentip="Brings up the QS Report form" size="normal" supertip="Allows the user to format and send a QS Report." getVisible="gv_Sumry" onAction="qsReport"/>
          <button id="wipe" imageMso="Delete" label="Delete Vo" size="normal" supertip="Deletes the Variation that the user inputs" getVisible="gv_Del" onAction="delVo"/>
          <button id="rxAddRow" imageMso="GoLeftToRight" label="Add Row" screentip="Ctrl-a" size="normal" supertip="Inserts takeoff row at cursor location ready for input" getVisible="gv_Insert" onAction="rxAddRow_click"/>
          <button id="rxInsertrows" imageMso="FillRight" label="Copy Insert Rows" screentip="Ctrl-e" size="normal" supertip="Copies highlighted rows and then inserts rows and pastes the copied rows" getVisible="gv_Insert" onAction="rxInsertrows_click"/>
          <button id="rxInsertColumn" imageMso="FillDown" label="Insert Column" screentip="Ctrl-Shift-E" size="normal" supertip="This macro duplicates Budget-Claim pairs of columns in the BF to BK range to the right of the trade sheet for preparing a budget analysis breakdown. This macro in any trade sheet as follows :- a: Highlight any cell in either of the Labour, Material or Subs pairs of Budget-Claims columns (Green range BF to Bk). b: Click on the macro to copy then insert-paste an adjacent duplicate of the pair of columns. Repeat as required to suit desired budget phase analysis" getVisible="gv_Insert" onAction="rxInsertColumn_click"/>
          <button id="rxUpdateTOC" imageMso="Diamond" label="Update TOC" screentip="Update Sumry Table of Contents" size="normal" supertip="Add links from names to sheets" getVisible="gv_Sumry" onAction="rxUpdateTOC_click"/>
        </group>
        <group id="voTools" label="Save Vo" getVisible="gv_voTools">
          <button id="pdfOut" imageMso="FindRelatedMenu" label="Save PDF" size="normal" supertip="Saves Variation as PDF" onAction="pdfOut"/>
          <button id="pdfOutCTD" imageMso="FindRelatedMenu" label="Save Claim to Date PDF" size="normal" supertip="Saves Variation as PDF showing claim to date" onAction="pdfOutCTD"/>
        </group>
        <group id="voToolsSend" label="Send Vo" getVisible="gv_voTools">
          <button id="saveSend" imageMso="FindRelatedMenu" label="Save PDF and send" size="normal" supertip="Saves Variation as PDF and opens Outlook window to sent to Contract Engineer " onAction="saveSend"/>
          <button id="saveSendCTD" imageMso="FindRelatedMenu" label="Save PDF Claim to Date and send" size="normal" supertip="Saves Variation as PDF and opens Outlook window to sent to Contract Engineer with Claim to Date shown" onAction="saveSendCTD"/>
        </group>
        <group id="Dimensions" label="Dimensions" getVisible="gv_Dimensions">
          <button id="rxHideTakeoffDims" imageMso="PersonaStatusOffline" label="Hide Takeoff Dims" screentip="Ctrl-Shift-H" size="normal" supertip="Hide Takeoff Sheet Dims to form pricing schedule" onAction="rxHideTakeoffDims_click"/>
          <button id="rxRemoveDimensions" imageMso="PersonaStatusBusy" label="Remove Dimensions" screentip="Ctrl-m" size="normal" supertip="Removes Dims from active sheet" onAction="rxRemoveDimensions_click"/>
          <button id="rxReplacesDimensions" imageMso="PersonaStatusOnline" label="Replaces Dimensions" screentip="Ctrl-Shift-M" size="normal" supertip="Reinstate Dims in active sheet" onAction="rxReplacesDimensions_click"/>
        </group>
        <group id="HideUnhide" label="Hide/Unhide" getVisible="gv_hideUnhide">
          <button id="rxClaimSummary" imageMso="DollarSign" label="Claim Summary" screentip="Ctrl-Shift-C" size="normal" supertip="Hide all details forming a claim summary sheet" onAction="rxClaimSummary_click"/>
          <button id="rxTradeSummary" imageMso="ShapeSmileyFace" label="VO Summary" screentip="Ctrl-Shift-T" size="normal" supertip="Hides all details forming a VO summary sheet" onAction="rxTradeSummary_click"/>
          <button id="claimedSummary" imageMso="ShapeLightningBolt" label="VO Summary Claim to Date" size="normal" supertip="Hides all details forming a VO summary sheet with Claim to Date column" onAction="claimedSummary"/>
          <button id="rxUnhideAll" imageMso="HappyFace" label="Unhide All" screentip="Ctrl-Shift-U" size="normal" supertip="Unhides all columns, rows and filters in the active sheet" onAction="rxUnhideAll_click"/>
        </group>
        <group id="Protection" label="Cell Protection">
          <button id="rxProtect" imageMso="HyperlinksVerify" label="Protect Cells" screentip="Ctrl-x" size="normal" supertip="Protect Cells" onAction="rxProtect_click"/>
          <button id="rxUnprotect" imageMso="HyperlinkRemove" label="Unprotect Cells" screentip="Ctrl-shift-X" size="normal" supertip="Unprotect Cells - use with extreme caution" onAction="rxUnprotect_click"/>
        </group>
        <group id="Switch" label="Switch" getVisible="gv_Switch">
          <button id="rxReturnToSmry" imageMso="Spade" label="Return to SUMRY" screentip="Switch to Summary sheet" size="normal" onAction="rxReturnToSmry_click"/>
        </group>
        <group id="VersionInfo" label="Version Information">
          <labelControl id="lblVersion" getLabel="lblVersion_getLab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71</vt:i4>
      </vt:variant>
    </vt:vector>
  </HeadingPairs>
  <TitlesOfParts>
    <vt:vector size="80" baseType="lpstr">
      <vt:lpstr>qsReport_template</vt:lpstr>
      <vt:lpstr>consult-inst</vt:lpstr>
      <vt:lpstr>zTakeoffSht</vt:lpstr>
      <vt:lpstr>zQuoteSht</vt:lpstr>
      <vt:lpstr>zSumryRow</vt:lpstr>
      <vt:lpstr>zBlankShtNZIA</vt:lpstr>
      <vt:lpstr>zBlankSht</vt:lpstr>
      <vt:lpstr>SUMRY</vt:lpstr>
      <vt:lpstr>notes</vt:lpstr>
      <vt:lpstr>budConVal</vt:lpstr>
      <vt:lpstr>budGross</vt:lpstr>
      <vt:lpstr>budOHR</vt:lpstr>
      <vt:lpstr>budProf</vt:lpstr>
      <vt:lpstr>Cashflow</vt:lpstr>
      <vt:lpstr>CFtableStart</vt:lpstr>
      <vt:lpstr>clmSum</vt:lpstr>
      <vt:lpstr>conSums</vt:lpstr>
      <vt:lpstr>Contract</vt:lpstr>
      <vt:lpstr>dClaim</vt:lpstr>
      <vt:lpstr>deduction</vt:lpstr>
      <vt:lpstr>delRng</vt:lpstr>
      <vt:lpstr>zBlankSht!hidden</vt:lpstr>
      <vt:lpstr>zBlankShtNZIA!hidden</vt:lpstr>
      <vt:lpstr>zBlankSht!hiddenClaimed</vt:lpstr>
      <vt:lpstr>zBlankShtNZIA!hiddenClaimed</vt:lpstr>
      <vt:lpstr>Labour_rate</vt:lpstr>
      <vt:lpstr>nextVo</vt:lpstr>
      <vt:lpstr>nextXVO</vt:lpstr>
      <vt:lpstr>Off_Site</vt:lpstr>
      <vt:lpstr>On_Site</vt:lpstr>
      <vt:lpstr>pcSums</vt:lpstr>
      <vt:lpstr>SUMRY!Print_Area</vt:lpstr>
      <vt:lpstr>zBlankSht!Print_Area</vt:lpstr>
      <vt:lpstr>zBlankShtNZIA!Print_Area</vt:lpstr>
      <vt:lpstr>zTakeoffSht!Print_Area</vt:lpstr>
      <vt:lpstr>Processing</vt:lpstr>
      <vt:lpstr>Processing_fee</vt:lpstr>
      <vt:lpstr>zBlankSht!progLab</vt:lpstr>
      <vt:lpstr>zBlankShtNZIA!progLab</vt:lpstr>
      <vt:lpstr>zBlankSht!progMats</vt:lpstr>
      <vt:lpstr>zBlankShtNZIA!progMats</vt:lpstr>
      <vt:lpstr>zBlankSht!progProf</vt:lpstr>
      <vt:lpstr>zBlankShtNZIA!progProf</vt:lpstr>
      <vt:lpstr>progSite</vt:lpstr>
      <vt:lpstr>zBlankSht!progSubs</vt:lpstr>
      <vt:lpstr>zBlankShtNZIA!progSubs</vt:lpstr>
      <vt:lpstr>zBlankShtNZIA!progSums</vt:lpstr>
      <vt:lpstr>progSums</vt:lpstr>
      <vt:lpstr>projGross</vt:lpstr>
      <vt:lpstr>projOHR</vt:lpstr>
      <vt:lpstr>projRec</vt:lpstr>
      <vt:lpstr>projVal</vt:lpstr>
      <vt:lpstr>provSums</vt:lpstr>
      <vt:lpstr>remSums</vt:lpstr>
      <vt:lpstr>sums</vt:lpstr>
      <vt:lpstr>zBlankShtNZIA!toSumEOT</vt:lpstr>
      <vt:lpstr>toSumEOT</vt:lpstr>
      <vt:lpstr>zBlankShtNZIA!toSumLab</vt:lpstr>
      <vt:lpstr>toSumLab</vt:lpstr>
      <vt:lpstr>zBlankShtNZIA!tosumlsprofit</vt:lpstr>
      <vt:lpstr>tosumlsprofit</vt:lpstr>
      <vt:lpstr>tosumlssite</vt:lpstr>
      <vt:lpstr>zBlankShtNZIA!toSumMarg</vt:lpstr>
      <vt:lpstr>toSumMarg</vt:lpstr>
      <vt:lpstr>zBlankShtNZIA!toSumMats</vt:lpstr>
      <vt:lpstr>toSumMats</vt:lpstr>
      <vt:lpstr>zBlankShtNZIA!tosumProcess</vt:lpstr>
      <vt:lpstr>tosumProcess</vt:lpstr>
      <vt:lpstr>tosumSite</vt:lpstr>
      <vt:lpstr>zBlankShtNZIA!toSumSubs</vt:lpstr>
      <vt:lpstr>toSumSubs</vt:lpstr>
      <vt:lpstr>zBlankShtNZIA!tosumSums</vt:lpstr>
      <vt:lpstr>tosumSums</vt:lpstr>
      <vt:lpstr>Total_Row</vt:lpstr>
      <vt:lpstr>total_rowx</vt:lpstr>
      <vt:lpstr>zBlankShtNZIA!VLOOKUP</vt:lpstr>
      <vt:lpstr>VLOOKUP</vt:lpstr>
      <vt:lpstr>voRng</vt:lpstr>
      <vt:lpstr>xvoRng</vt:lpstr>
      <vt:lpstr>xvoStart</vt:lpstr>
    </vt:vector>
  </TitlesOfParts>
  <Company>Amalgamated Builders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Vosum V2020</dc:title>
  <dc:creator>Phill Wong;Mathew Dowall</dc:creator>
  <dc:description>4.4 - remove rename and sort; switch off auto-complete for SUMRY
1 Colour coding for subs, materials, labour, etc  2 Labour hours total and material total added      3 Subs coding and phase coding for new automated budget/claim analysis                        4 Budget sheet added</dc:description>
  <cp:lastModifiedBy>Md Merajul Haque</cp:lastModifiedBy>
  <cp:lastPrinted>2024-11-20T18:03:51Z</cp:lastPrinted>
  <dcterms:created xsi:type="dcterms:W3CDTF">2001-07-18T00:01:36Z</dcterms:created>
  <dcterms:modified xsi:type="dcterms:W3CDTF">2024-11-23T14:45:17Z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lAutoSort">
    <vt:bool>true</vt:bool>
  </property>
</Properties>
</file>