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b11bd75235194d9f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rajul haque\Downloads\"/>
    </mc:Choice>
  </mc:AlternateContent>
  <xr:revisionPtr revIDLastSave="0" documentId="13_ncr:1_{7199C309-F82D-47B4-881D-28FF277E2F8D}" xr6:coauthVersionLast="47" xr6:coauthVersionMax="47" xr10:uidLastSave="{00000000-0000-0000-0000-000000000000}"/>
  <bookViews>
    <workbookView xWindow="-108" yWindow="-108" windowWidth="23256" windowHeight="12456" tabRatio="890" activeTab="2" xr2:uid="{00000000-000D-0000-FFFF-FFFF00000000}"/>
  </bookViews>
  <sheets>
    <sheet name="SubSht" sheetId="274" r:id="rId1"/>
    <sheet name="Internal Payment " sheetId="259" r:id="rId2"/>
    <sheet name="Cost v Income" sheetId="263" r:id="rId3"/>
    <sheet name="SUMRY" sheetId="1" r:id="rId4"/>
    <sheet name="BUDGET" sheetId="51" r:id="rId5"/>
    <sheet name="1" sheetId="2" r:id="rId6"/>
    <sheet name="mos" sheetId="44" r:id="rId7"/>
    <sheet name="Precut Prenail Frames" sheetId="270" state="hidden" r:id="rId8"/>
    <sheet name="zBlankInv" sheetId="262" state="hidden" r:id="rId9"/>
    <sheet name="consult-inst" sheetId="46" state="hidden" r:id="rId10"/>
    <sheet name="zTakeoffSht" sheetId="40" state="hidden" r:id="rId11"/>
    <sheet name="zQuoteSht" sheetId="43" state="hidden" r:id="rId12"/>
    <sheet name="SUMMARY" sheetId="269" r:id="rId13"/>
    <sheet name="zBlankSht" sheetId="41" state="hidden" r:id="rId14"/>
    <sheet name="zSumryRow" sheetId="48" state="hidden" r:id="rId15"/>
  </sheets>
  <functionGroups builtInGroupCount="19"/>
  <externalReferences>
    <externalReference r:id="rId16"/>
  </externalReferences>
  <definedNames>
    <definedName name="_xlnm._FilterDatabase" localSheetId="5" hidden="1">'1'!$U$8:$U$303</definedName>
    <definedName name="_xlnm._FilterDatabase" localSheetId="12" hidden="1">SUMMARY!$B$7:$Q$7</definedName>
    <definedName name="_xlnm._FilterDatabase" localSheetId="3" hidden="1">SUMRY!$H$1:$H$88</definedName>
    <definedName name="_xlnm._FilterDatabase" localSheetId="13" hidden="1">zBlankSht!$N$1:$N$14</definedName>
    <definedName name="_xlnm._FilterDatabase" localSheetId="11" hidden="1">zQuoteSht!$N$1:$N$17</definedName>
    <definedName name="_xlnm._FilterDatabase" localSheetId="10" hidden="1">zTakeoffSht!$N$1:$N$23</definedName>
    <definedName name="budget">zBlankSht!$BK:$BP</definedName>
    <definedName name="BudgetLabMat">zBlankSht!$BK:$BN</definedName>
    <definedName name="budgetSub">zBlankSht!$BO:$BP</definedName>
    <definedName name="DATERANGE" localSheetId="7">#REF!</definedName>
    <definedName name="DATERANGE" localSheetId="0">#REF!</definedName>
    <definedName name="DATERANGE" localSheetId="12">SUMMARY!#REF!</definedName>
    <definedName name="DATERANGE">#REF!</definedName>
    <definedName name="dClaim">SUMRY!$13:$54</definedName>
    <definedName name="Description">zBlankSht!$Q$7:$Q$12</definedName>
    <definedName name="dFinancialAnalysis">SUMRY!$74:$74</definedName>
    <definedName name="invoiceInfo">SUMRY!$G$44</definedName>
    <definedName name="Next_Email_Row" localSheetId="7">#REF!</definedName>
    <definedName name="Next_Email_Row" localSheetId="0">#REF!</definedName>
    <definedName name="Next_Email_Row" localSheetId="12">#REF!</definedName>
    <definedName name="Next_Email_Row">[1]SUMRY!$L$59</definedName>
    <definedName name="nextTrade">SUMRY!$I$12</definedName>
    <definedName name="NumColor" localSheetId="7">GET.CELL(38,#REF!)</definedName>
    <definedName name="NumColor" localSheetId="0">GET.CELL(38,#REF!)</definedName>
    <definedName name="NumColor" localSheetId="12">GET.CELL(38,SUMMARY!$H8)</definedName>
    <definedName name="NumColor">GET.CELL(38,#REF!)</definedName>
    <definedName name="nums">zBlankSht!$O$7:$O$12</definedName>
    <definedName name="PHASE">zBlankSht!$AF$7:$AF$12</definedName>
    <definedName name="_xlnm.Print_Area" localSheetId="5">'1'!$N$1:$U$240</definedName>
    <definedName name="_xlnm.Print_Area" localSheetId="2">'Cost v Income'!$B$3:$K$46</definedName>
    <definedName name="_xlnm.Print_Area" localSheetId="1">'Internal Payment '!$B$2:$I$40</definedName>
    <definedName name="_xlnm.Print_Area" localSheetId="3">SUMRY!$I$1:$O$32</definedName>
    <definedName name="_xlnm.Print_Area" localSheetId="8">zBlankInv!$A$1:$N$50</definedName>
    <definedName name="_xlnm.Print_Area" localSheetId="13">zBlankSht!$O$2:$AB$14</definedName>
    <definedName name="_xlnm.Print_Area" localSheetId="10">zTakeoffSht!$O$1:$AD$23</definedName>
    <definedName name="_xlnm.Print_Titles" localSheetId="5">'1'!$1:$7</definedName>
    <definedName name="_xlnm.Print_Titles" localSheetId="13">zBlankSht!$1:$7</definedName>
    <definedName name="SUB">zBlankSht!$AE$7:$AE$12</definedName>
    <definedName name="TOTAL" localSheetId="8">zBlankInv!$M$44</definedName>
    <definedName name="Total_Row">SUMRY!$J$12</definedName>
    <definedName name="watchCells" localSheetId="12">SUMMARY!$C$8:$C$920</definedName>
    <definedName name="watchCell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5" i="40" l="1"/>
  <c r="X14" i="40"/>
  <c r="X13" i="40"/>
  <c r="X12" i="40"/>
  <c r="H39" i="274"/>
  <c r="G39" i="274"/>
  <c r="F39" i="274"/>
  <c r="E39" i="274"/>
  <c r="D39" i="274"/>
  <c r="J35" i="274"/>
  <c r="J27" i="274"/>
  <c r="J19" i="274"/>
  <c r="J11" i="274"/>
  <c r="J3" i="274"/>
  <c r="H39" i="270"/>
  <c r="G39" i="270"/>
  <c r="F39" i="270"/>
  <c r="E39" i="270"/>
  <c r="D39" i="270"/>
  <c r="J35" i="270"/>
  <c r="J27" i="270"/>
  <c r="J19" i="270"/>
  <c r="J11" i="270"/>
  <c r="J3" i="270"/>
  <c r="A4" i="269"/>
  <c r="A1" i="269"/>
  <c r="AZ236" i="2"/>
  <c r="AY236" i="2"/>
  <c r="AV236" i="2"/>
  <c r="AC236" i="2" s="1"/>
  <c r="AU236" i="2"/>
  <c r="AT236" i="2"/>
  <c r="AR236" i="2"/>
  <c r="AQ236" i="2"/>
  <c r="AL236" i="2" s="1"/>
  <c r="AN236" i="2"/>
  <c r="AM236" i="2"/>
  <c r="AK236" i="2"/>
  <c r="AJ236" i="2"/>
  <c r="AI236" i="2"/>
  <c r="AH236" i="2"/>
  <c r="AG236" i="2"/>
  <c r="AF236" i="2"/>
  <c r="AA236" i="2"/>
  <c r="AZ235" i="2"/>
  <c r="AY235" i="2"/>
  <c r="AV235" i="2"/>
  <c r="AC235" i="2" s="1"/>
  <c r="AU235" i="2"/>
  <c r="AT235" i="2"/>
  <c r="AR235" i="2"/>
  <c r="AQ235" i="2"/>
  <c r="AL235" i="2" s="1"/>
  <c r="AN235" i="2"/>
  <c r="AM235" i="2"/>
  <c r="AK235" i="2"/>
  <c r="AJ235" i="2"/>
  <c r="AI235" i="2"/>
  <c r="AH235" i="2"/>
  <c r="AG235" i="2"/>
  <c r="AF235" i="2"/>
  <c r="AA235" i="2"/>
  <c r="AZ234" i="2"/>
  <c r="AY234" i="2"/>
  <c r="AV234" i="2"/>
  <c r="AC234" i="2" s="1"/>
  <c r="AU234" i="2"/>
  <c r="AT234" i="2"/>
  <c r="AR234" i="2"/>
  <c r="AQ234" i="2"/>
  <c r="AL234" i="2" s="1"/>
  <c r="AN234" i="2"/>
  <c r="AM234" i="2"/>
  <c r="AK234" i="2"/>
  <c r="AJ234" i="2"/>
  <c r="AI234" i="2"/>
  <c r="AH234" i="2"/>
  <c r="AG234" i="2"/>
  <c r="AF234" i="2"/>
  <c r="AA234" i="2"/>
  <c r="AZ233" i="2"/>
  <c r="AY233" i="2"/>
  <c r="AV233" i="2"/>
  <c r="AC233" i="2" s="1"/>
  <c r="AU233" i="2"/>
  <c r="AT233" i="2"/>
  <c r="AR233" i="2"/>
  <c r="AQ233" i="2"/>
  <c r="AL233" i="2" s="1"/>
  <c r="AN233" i="2"/>
  <c r="AM233" i="2"/>
  <c r="AK233" i="2"/>
  <c r="AJ233" i="2"/>
  <c r="AI233" i="2"/>
  <c r="AH233" i="2"/>
  <c r="AG233" i="2"/>
  <c r="AF233" i="2"/>
  <c r="AA233" i="2"/>
  <c r="AZ232" i="2"/>
  <c r="AY232" i="2"/>
  <c r="AV232" i="2"/>
  <c r="AC232" i="2" s="1"/>
  <c r="AU232" i="2"/>
  <c r="AT232" i="2"/>
  <c r="AR232" i="2"/>
  <c r="AQ232" i="2"/>
  <c r="AL232" i="2" s="1"/>
  <c r="AN232" i="2"/>
  <c r="AM232" i="2"/>
  <c r="AK232" i="2"/>
  <c r="AJ232" i="2"/>
  <c r="AI232" i="2"/>
  <c r="AH232" i="2"/>
  <c r="AG232" i="2"/>
  <c r="AF232" i="2"/>
  <c r="AA232" i="2"/>
  <c r="AZ231" i="2"/>
  <c r="AY231" i="2"/>
  <c r="AV231" i="2"/>
  <c r="AC231" i="2" s="1"/>
  <c r="AU231" i="2"/>
  <c r="AT231" i="2"/>
  <c r="AR231" i="2"/>
  <c r="AQ231" i="2"/>
  <c r="AL231" i="2" s="1"/>
  <c r="AN231" i="2"/>
  <c r="AM231" i="2"/>
  <c r="AK231" i="2"/>
  <c r="AJ231" i="2"/>
  <c r="AI231" i="2"/>
  <c r="AH231" i="2"/>
  <c r="AG231" i="2"/>
  <c r="AF231" i="2"/>
  <c r="AA231" i="2"/>
  <c r="AZ230" i="2"/>
  <c r="AY230" i="2"/>
  <c r="AV230" i="2"/>
  <c r="AC230" i="2" s="1"/>
  <c r="AU230" i="2"/>
  <c r="AT230" i="2"/>
  <c r="AR230" i="2"/>
  <c r="AQ230" i="2"/>
  <c r="AL230" i="2" s="1"/>
  <c r="AN230" i="2"/>
  <c r="AM230" i="2"/>
  <c r="AK230" i="2"/>
  <c r="AJ230" i="2"/>
  <c r="AI230" i="2"/>
  <c r="AH230" i="2"/>
  <c r="AG230" i="2"/>
  <c r="AF230" i="2"/>
  <c r="AA230" i="2"/>
  <c r="AZ229" i="2"/>
  <c r="AY229" i="2"/>
  <c r="AV229" i="2"/>
  <c r="AC229" i="2" s="1"/>
  <c r="AU229" i="2"/>
  <c r="AT229" i="2"/>
  <c r="AR229" i="2"/>
  <c r="AQ229" i="2"/>
  <c r="AL229" i="2" s="1"/>
  <c r="AN229" i="2"/>
  <c r="AM229" i="2"/>
  <c r="AK229" i="2"/>
  <c r="AJ229" i="2"/>
  <c r="AI229" i="2"/>
  <c r="AH229" i="2"/>
  <c r="AG229" i="2"/>
  <c r="AF229" i="2"/>
  <c r="AA229" i="2"/>
  <c r="AZ228" i="2"/>
  <c r="AY228" i="2"/>
  <c r="AV228" i="2"/>
  <c r="AC228" i="2" s="1"/>
  <c r="AU228" i="2"/>
  <c r="AT228" i="2"/>
  <c r="AR228" i="2"/>
  <c r="AQ228" i="2"/>
  <c r="AL228" i="2" s="1"/>
  <c r="AN228" i="2"/>
  <c r="AM228" i="2"/>
  <c r="AK228" i="2"/>
  <c r="AJ228" i="2"/>
  <c r="AI228" i="2"/>
  <c r="AH228" i="2"/>
  <c r="AG228" i="2"/>
  <c r="AF228" i="2"/>
  <c r="AA228" i="2"/>
  <c r="AZ227" i="2"/>
  <c r="AY227" i="2"/>
  <c r="AV227" i="2"/>
  <c r="AC227" i="2" s="1"/>
  <c r="AU227" i="2"/>
  <c r="AT227" i="2"/>
  <c r="AR227" i="2"/>
  <c r="AQ227" i="2"/>
  <c r="AL227" i="2" s="1"/>
  <c r="AN227" i="2"/>
  <c r="AM227" i="2"/>
  <c r="AK227" i="2"/>
  <c r="AJ227" i="2"/>
  <c r="AI227" i="2"/>
  <c r="AH227" i="2"/>
  <c r="AG227" i="2"/>
  <c r="AF227" i="2"/>
  <c r="AA227" i="2"/>
  <c r="AZ223" i="2"/>
  <c r="AY223" i="2"/>
  <c r="AV223" i="2"/>
  <c r="AC223" i="2" s="1"/>
  <c r="AU223" i="2"/>
  <c r="AT223" i="2"/>
  <c r="AR223" i="2"/>
  <c r="AQ223" i="2"/>
  <c r="AL223" i="2" s="1"/>
  <c r="AN223" i="2"/>
  <c r="AM223" i="2"/>
  <c r="AK223" i="2"/>
  <c r="AJ223" i="2"/>
  <c r="AI223" i="2"/>
  <c r="AH223" i="2"/>
  <c r="AG223" i="2"/>
  <c r="AF223" i="2"/>
  <c r="AA223" i="2"/>
  <c r="AZ219" i="2"/>
  <c r="AY219" i="2"/>
  <c r="AV219" i="2"/>
  <c r="AC219" i="2" s="1"/>
  <c r="AU219" i="2"/>
  <c r="AT219" i="2"/>
  <c r="AR219" i="2"/>
  <c r="AQ219" i="2"/>
  <c r="AL219" i="2" s="1"/>
  <c r="AN219" i="2"/>
  <c r="AM219" i="2"/>
  <c r="AK219" i="2"/>
  <c r="AJ219" i="2"/>
  <c r="AI219" i="2"/>
  <c r="AH219" i="2"/>
  <c r="AG219" i="2"/>
  <c r="AF219" i="2"/>
  <c r="AA219" i="2"/>
  <c r="BA215" i="2"/>
  <c r="AD215" i="2" s="1"/>
  <c r="AZ215" i="2"/>
  <c r="AY215" i="2"/>
  <c r="AV215" i="2"/>
  <c r="AC215" i="2" s="1"/>
  <c r="AU215" i="2"/>
  <c r="AT215" i="2"/>
  <c r="AR215" i="2"/>
  <c r="AQ215" i="2"/>
  <c r="AL215" i="2" s="1"/>
  <c r="AN215" i="2"/>
  <c r="AM215" i="2"/>
  <c r="AK215" i="2"/>
  <c r="AA215" i="2" s="1"/>
  <c r="AJ215" i="2"/>
  <c r="AI215" i="2"/>
  <c r="AH215" i="2"/>
  <c r="AG215" i="2"/>
  <c r="AF215" i="2"/>
  <c r="BA214" i="2"/>
  <c r="AD214" i="2" s="1"/>
  <c r="AZ214" i="2"/>
  <c r="AY214" i="2"/>
  <c r="AV214" i="2"/>
  <c r="AC214" i="2" s="1"/>
  <c r="AU214" i="2"/>
  <c r="AT214" i="2"/>
  <c r="AR214" i="2"/>
  <c r="AQ214" i="2"/>
  <c r="AL214" i="2" s="1"/>
  <c r="AN214" i="2"/>
  <c r="AM214" i="2"/>
  <c r="AK214" i="2"/>
  <c r="AA214" i="2" s="1"/>
  <c r="AJ214" i="2"/>
  <c r="AI214" i="2"/>
  <c r="AH214" i="2"/>
  <c r="AG214" i="2"/>
  <c r="AF214" i="2"/>
  <c r="BA213" i="2"/>
  <c r="AD213" i="2" s="1"/>
  <c r="AZ213" i="2"/>
  <c r="AY213" i="2"/>
  <c r="AV213" i="2"/>
  <c r="AC213" i="2" s="1"/>
  <c r="AU213" i="2"/>
  <c r="AT213" i="2"/>
  <c r="AR213" i="2"/>
  <c r="AQ213" i="2"/>
  <c r="AL213" i="2" s="1"/>
  <c r="AN213" i="2"/>
  <c r="AM213" i="2"/>
  <c r="AK213" i="2"/>
  <c r="AA213" i="2" s="1"/>
  <c r="AJ213" i="2"/>
  <c r="AI213" i="2"/>
  <c r="AH213" i="2"/>
  <c r="AG213" i="2"/>
  <c r="AF213" i="2"/>
  <c r="BA212" i="2"/>
  <c r="AD212" i="2" s="1"/>
  <c r="AZ212" i="2"/>
  <c r="AY212" i="2"/>
  <c r="AV212" i="2"/>
  <c r="AC212" i="2" s="1"/>
  <c r="AU212" i="2"/>
  <c r="AT212" i="2"/>
  <c r="AR212" i="2"/>
  <c r="AQ212" i="2"/>
  <c r="AL212" i="2" s="1"/>
  <c r="AN212" i="2"/>
  <c r="AM212" i="2"/>
  <c r="AK212" i="2"/>
  <c r="AA212" i="2" s="1"/>
  <c r="AJ212" i="2"/>
  <c r="AI212" i="2"/>
  <c r="AH212" i="2"/>
  <c r="AG212" i="2"/>
  <c r="AF212" i="2"/>
  <c r="BA211" i="2"/>
  <c r="AD211" i="2" s="1"/>
  <c r="AZ211" i="2"/>
  <c r="AY211" i="2"/>
  <c r="AV211" i="2"/>
  <c r="AC211" i="2" s="1"/>
  <c r="AU211" i="2"/>
  <c r="AT211" i="2"/>
  <c r="AR211" i="2"/>
  <c r="AQ211" i="2"/>
  <c r="AL211" i="2" s="1"/>
  <c r="AN211" i="2"/>
  <c r="AM211" i="2"/>
  <c r="AK211" i="2"/>
  <c r="AA211" i="2" s="1"/>
  <c r="AJ211" i="2"/>
  <c r="AI211" i="2"/>
  <c r="AH211" i="2"/>
  <c r="AG211" i="2"/>
  <c r="AF211" i="2"/>
  <c r="AZ207" i="2"/>
  <c r="AY207" i="2"/>
  <c r="AV207" i="2"/>
  <c r="AC207" i="2" s="1"/>
  <c r="AU207" i="2"/>
  <c r="AT207" i="2"/>
  <c r="AR207" i="2"/>
  <c r="AQ207" i="2"/>
  <c r="AL207" i="2" s="1"/>
  <c r="AN207" i="2"/>
  <c r="AM207" i="2"/>
  <c r="AK207" i="2"/>
  <c r="AJ207" i="2"/>
  <c r="AI207" i="2"/>
  <c r="AH207" i="2"/>
  <c r="AG207" i="2"/>
  <c r="AF207" i="2"/>
  <c r="AA207" i="2"/>
  <c r="AZ206" i="2"/>
  <c r="AY206" i="2"/>
  <c r="AV206" i="2"/>
  <c r="AC206" i="2" s="1"/>
  <c r="AU206" i="2"/>
  <c r="AT206" i="2"/>
  <c r="AR206" i="2"/>
  <c r="AQ206" i="2"/>
  <c r="AL206" i="2" s="1"/>
  <c r="AN206" i="2"/>
  <c r="AM206" i="2"/>
  <c r="AK206" i="2"/>
  <c r="AJ206" i="2"/>
  <c r="AI206" i="2"/>
  <c r="AH206" i="2"/>
  <c r="AG206" i="2"/>
  <c r="AF206" i="2"/>
  <c r="AA206" i="2"/>
  <c r="AZ205" i="2"/>
  <c r="AY205" i="2"/>
  <c r="AV205" i="2"/>
  <c r="AC205" i="2" s="1"/>
  <c r="AU205" i="2"/>
  <c r="AT205" i="2"/>
  <c r="AR205" i="2"/>
  <c r="AQ205" i="2"/>
  <c r="AL205" i="2" s="1"/>
  <c r="AN205" i="2"/>
  <c r="AM205" i="2"/>
  <c r="AK205" i="2"/>
  <c r="AJ205" i="2"/>
  <c r="AI205" i="2"/>
  <c r="AH205" i="2"/>
  <c r="AG205" i="2"/>
  <c r="AF205" i="2"/>
  <c r="AA205" i="2"/>
  <c r="AZ201" i="2"/>
  <c r="AY201" i="2"/>
  <c r="AV201" i="2"/>
  <c r="AC201" i="2" s="1"/>
  <c r="AU201" i="2"/>
  <c r="AT201" i="2"/>
  <c r="AR201" i="2"/>
  <c r="AQ201" i="2"/>
  <c r="AL201" i="2" s="1"/>
  <c r="AN201" i="2"/>
  <c r="AM201" i="2"/>
  <c r="AK201" i="2"/>
  <c r="AJ201" i="2"/>
  <c r="AI201" i="2"/>
  <c r="AH201" i="2"/>
  <c r="AG201" i="2"/>
  <c r="AF201" i="2"/>
  <c r="AA201" i="2"/>
  <c r="AZ200" i="2"/>
  <c r="AY200" i="2"/>
  <c r="AV200" i="2"/>
  <c r="AC200" i="2" s="1"/>
  <c r="AU200" i="2"/>
  <c r="AT200" i="2"/>
  <c r="AR200" i="2"/>
  <c r="AQ200" i="2"/>
  <c r="AL200" i="2" s="1"/>
  <c r="AN200" i="2"/>
  <c r="AM200" i="2"/>
  <c r="AK200" i="2"/>
  <c r="AJ200" i="2"/>
  <c r="AI200" i="2"/>
  <c r="AH200" i="2"/>
  <c r="AG200" i="2"/>
  <c r="AF200" i="2"/>
  <c r="AA200" i="2"/>
  <c r="AZ199" i="2"/>
  <c r="AY199" i="2"/>
  <c r="AV199" i="2"/>
  <c r="AC199" i="2" s="1"/>
  <c r="AU199" i="2"/>
  <c r="AT199" i="2"/>
  <c r="AR199" i="2"/>
  <c r="AQ199" i="2"/>
  <c r="AL199" i="2" s="1"/>
  <c r="AN199" i="2"/>
  <c r="AM199" i="2"/>
  <c r="AK199" i="2"/>
  <c r="AJ199" i="2"/>
  <c r="AI199" i="2"/>
  <c r="AH199" i="2"/>
  <c r="AG199" i="2"/>
  <c r="AF199" i="2"/>
  <c r="AA199" i="2"/>
  <c r="AZ198" i="2"/>
  <c r="AY198" i="2"/>
  <c r="AV198" i="2"/>
  <c r="AC198" i="2" s="1"/>
  <c r="AU198" i="2"/>
  <c r="AT198" i="2"/>
  <c r="AR198" i="2"/>
  <c r="AQ198" i="2"/>
  <c r="AL198" i="2" s="1"/>
  <c r="AN198" i="2"/>
  <c r="AM198" i="2"/>
  <c r="AK198" i="2"/>
  <c r="AJ198" i="2"/>
  <c r="AI198" i="2"/>
  <c r="AH198" i="2"/>
  <c r="AG198" i="2"/>
  <c r="AF198" i="2"/>
  <c r="AA198" i="2"/>
  <c r="AZ194" i="2"/>
  <c r="AY194" i="2"/>
  <c r="AV194" i="2"/>
  <c r="AC194" i="2" s="1"/>
  <c r="AU194" i="2"/>
  <c r="AT194" i="2"/>
  <c r="AR194" i="2"/>
  <c r="AQ194" i="2"/>
  <c r="AL194" i="2" s="1"/>
  <c r="AN194" i="2"/>
  <c r="AM194" i="2"/>
  <c r="AK194" i="2"/>
  <c r="AJ194" i="2"/>
  <c r="AI194" i="2"/>
  <c r="AH194" i="2"/>
  <c r="AG194" i="2"/>
  <c r="AF194" i="2"/>
  <c r="AA194" i="2"/>
  <c r="AZ193" i="2"/>
  <c r="AY193" i="2"/>
  <c r="AV193" i="2"/>
  <c r="AC193" i="2" s="1"/>
  <c r="AU193" i="2"/>
  <c r="AT193" i="2"/>
  <c r="AR193" i="2"/>
  <c r="AQ193" i="2"/>
  <c r="AL193" i="2" s="1"/>
  <c r="AN193" i="2"/>
  <c r="AM193" i="2"/>
  <c r="AK193" i="2"/>
  <c r="AJ193" i="2"/>
  <c r="AI193" i="2"/>
  <c r="AH193" i="2"/>
  <c r="AG193" i="2"/>
  <c r="AF193" i="2"/>
  <c r="AA193" i="2"/>
  <c r="BA189" i="2"/>
  <c r="AD189" i="2" s="1"/>
  <c r="AZ189" i="2"/>
  <c r="AY189" i="2"/>
  <c r="AV189" i="2"/>
  <c r="AC189" i="2" s="1"/>
  <c r="AU189" i="2"/>
  <c r="AT189" i="2"/>
  <c r="AR189" i="2"/>
  <c r="AQ189" i="2"/>
  <c r="AL189" i="2" s="1"/>
  <c r="AN189" i="2"/>
  <c r="AM189" i="2"/>
  <c r="AK189" i="2"/>
  <c r="AJ189" i="2"/>
  <c r="AI189" i="2"/>
  <c r="AH189" i="2"/>
  <c r="AG189" i="2"/>
  <c r="AF189" i="2"/>
  <c r="AA189" i="2"/>
  <c r="BA188" i="2"/>
  <c r="AD188" i="2" s="1"/>
  <c r="AZ188" i="2"/>
  <c r="AY188" i="2"/>
  <c r="AV188" i="2"/>
  <c r="AC188" i="2" s="1"/>
  <c r="AU188" i="2"/>
  <c r="AT188" i="2"/>
  <c r="AR188" i="2"/>
  <c r="AQ188" i="2"/>
  <c r="AL188" i="2" s="1"/>
  <c r="AN188" i="2"/>
  <c r="AM188" i="2"/>
  <c r="AK188" i="2"/>
  <c r="AJ188" i="2"/>
  <c r="AI188" i="2"/>
  <c r="AH188" i="2"/>
  <c r="AG188" i="2"/>
  <c r="AF188" i="2"/>
  <c r="AA188" i="2"/>
  <c r="AZ183" i="2"/>
  <c r="AY183" i="2"/>
  <c r="AV183" i="2"/>
  <c r="AC183" i="2" s="1"/>
  <c r="AU183" i="2"/>
  <c r="AT183" i="2"/>
  <c r="AR183" i="2"/>
  <c r="AQ183" i="2"/>
  <c r="AL183" i="2" s="1"/>
  <c r="AN183" i="2"/>
  <c r="AM183" i="2"/>
  <c r="AK183" i="2"/>
  <c r="AJ183" i="2"/>
  <c r="AI183" i="2"/>
  <c r="AH183" i="2"/>
  <c r="AG183" i="2"/>
  <c r="AF183" i="2"/>
  <c r="AA183" i="2"/>
  <c r="AZ182" i="2"/>
  <c r="AY182" i="2"/>
  <c r="AV182" i="2"/>
  <c r="AC182" i="2" s="1"/>
  <c r="AU182" i="2"/>
  <c r="AT182" i="2"/>
  <c r="AR182" i="2"/>
  <c r="AQ182" i="2"/>
  <c r="AL182" i="2" s="1"/>
  <c r="AN182" i="2"/>
  <c r="AM182" i="2"/>
  <c r="AK182" i="2"/>
  <c r="AJ182" i="2"/>
  <c r="AI182" i="2"/>
  <c r="AH182" i="2"/>
  <c r="AG182" i="2"/>
  <c r="AF182" i="2"/>
  <c r="AA182" i="2"/>
  <c r="AZ181" i="2"/>
  <c r="AY181" i="2"/>
  <c r="AV181" i="2"/>
  <c r="AC181" i="2" s="1"/>
  <c r="AU181" i="2"/>
  <c r="AT181" i="2"/>
  <c r="AR181" i="2"/>
  <c r="AQ181" i="2"/>
  <c r="AL181" i="2" s="1"/>
  <c r="AN181" i="2"/>
  <c r="AM181" i="2"/>
  <c r="AK181" i="2"/>
  <c r="AJ181" i="2"/>
  <c r="AI181" i="2"/>
  <c r="AH181" i="2"/>
  <c r="AG181" i="2"/>
  <c r="AF181" i="2"/>
  <c r="AA181" i="2"/>
  <c r="AZ180" i="2"/>
  <c r="AY180" i="2"/>
  <c r="AV180" i="2"/>
  <c r="AC180" i="2" s="1"/>
  <c r="AU180" i="2"/>
  <c r="AT180" i="2"/>
  <c r="AR180" i="2"/>
  <c r="AQ180" i="2"/>
  <c r="AL180" i="2" s="1"/>
  <c r="AN180" i="2"/>
  <c r="AM180" i="2"/>
  <c r="AK180" i="2"/>
  <c r="AJ180" i="2"/>
  <c r="AI180" i="2"/>
  <c r="AH180" i="2"/>
  <c r="AG180" i="2"/>
  <c r="AF180" i="2"/>
  <c r="AA180" i="2"/>
  <c r="AZ179" i="2"/>
  <c r="AY179" i="2"/>
  <c r="AV179" i="2"/>
  <c r="AC179" i="2" s="1"/>
  <c r="AU179" i="2"/>
  <c r="AT179" i="2"/>
  <c r="AR179" i="2"/>
  <c r="AQ179" i="2"/>
  <c r="AL179" i="2" s="1"/>
  <c r="AN179" i="2"/>
  <c r="AM179" i="2"/>
  <c r="AK179" i="2"/>
  <c r="AJ179" i="2"/>
  <c r="AI179" i="2"/>
  <c r="AH179" i="2"/>
  <c r="AG179" i="2"/>
  <c r="AF179" i="2"/>
  <c r="AA179" i="2"/>
  <c r="AZ175" i="2"/>
  <c r="AY175" i="2"/>
  <c r="AV175" i="2"/>
  <c r="AC175" i="2" s="1"/>
  <c r="AU175" i="2"/>
  <c r="AT175" i="2"/>
  <c r="AR175" i="2"/>
  <c r="AQ175" i="2"/>
  <c r="AL175" i="2" s="1"/>
  <c r="AN175" i="2"/>
  <c r="AM175" i="2"/>
  <c r="AK175" i="2"/>
  <c r="AJ175" i="2"/>
  <c r="AI175" i="2"/>
  <c r="AH175" i="2"/>
  <c r="AG175" i="2"/>
  <c r="AF175" i="2"/>
  <c r="AA175" i="2"/>
  <c r="AZ174" i="2"/>
  <c r="AY174" i="2"/>
  <c r="AV174" i="2"/>
  <c r="AC174" i="2" s="1"/>
  <c r="AU174" i="2"/>
  <c r="AT174" i="2"/>
  <c r="AR174" i="2"/>
  <c r="AQ174" i="2"/>
  <c r="AL174" i="2" s="1"/>
  <c r="AN174" i="2"/>
  <c r="AM174" i="2"/>
  <c r="AK174" i="2"/>
  <c r="AJ174" i="2"/>
  <c r="AI174" i="2"/>
  <c r="AH174" i="2"/>
  <c r="AG174" i="2"/>
  <c r="AF174" i="2"/>
  <c r="AA174" i="2"/>
  <c r="AZ173" i="2"/>
  <c r="AY173" i="2"/>
  <c r="AV173" i="2"/>
  <c r="AC173" i="2" s="1"/>
  <c r="AU173" i="2"/>
  <c r="AT173" i="2"/>
  <c r="AR173" i="2"/>
  <c r="AQ173" i="2"/>
  <c r="AL173" i="2" s="1"/>
  <c r="AN173" i="2"/>
  <c r="AM173" i="2"/>
  <c r="AK173" i="2"/>
  <c r="AJ173" i="2"/>
  <c r="AI173" i="2"/>
  <c r="AH173" i="2"/>
  <c r="AG173" i="2"/>
  <c r="AF173" i="2"/>
  <c r="AA173" i="2"/>
  <c r="AZ172" i="2"/>
  <c r="AY172" i="2"/>
  <c r="AV172" i="2"/>
  <c r="AC172" i="2" s="1"/>
  <c r="AU172" i="2"/>
  <c r="AT172" i="2"/>
  <c r="AR172" i="2"/>
  <c r="AQ172" i="2"/>
  <c r="AL172" i="2" s="1"/>
  <c r="AN172" i="2"/>
  <c r="AM172" i="2"/>
  <c r="AK172" i="2"/>
  <c r="AJ172" i="2"/>
  <c r="AI172" i="2"/>
  <c r="AH172" i="2"/>
  <c r="AG172" i="2"/>
  <c r="AF172" i="2"/>
  <c r="AA172" i="2"/>
  <c r="AZ171" i="2"/>
  <c r="AY171" i="2"/>
  <c r="AV171" i="2"/>
  <c r="AC171" i="2" s="1"/>
  <c r="AU171" i="2"/>
  <c r="AT171" i="2"/>
  <c r="AR171" i="2"/>
  <c r="AQ171" i="2"/>
  <c r="AL171" i="2" s="1"/>
  <c r="AN171" i="2"/>
  <c r="AM171" i="2"/>
  <c r="AK171" i="2"/>
  <c r="AJ171" i="2"/>
  <c r="AI171" i="2"/>
  <c r="AH171" i="2"/>
  <c r="AG171" i="2"/>
  <c r="AF171" i="2"/>
  <c r="AA171" i="2"/>
  <c r="AZ170" i="2"/>
  <c r="AY170" i="2"/>
  <c r="AV170" i="2"/>
  <c r="AC170" i="2" s="1"/>
  <c r="AU170" i="2"/>
  <c r="AT170" i="2"/>
  <c r="AR170" i="2"/>
  <c r="AQ170" i="2"/>
  <c r="AL170" i="2" s="1"/>
  <c r="AN170" i="2"/>
  <c r="AM170" i="2"/>
  <c r="AK170" i="2"/>
  <c r="AJ170" i="2"/>
  <c r="AI170" i="2"/>
  <c r="AH170" i="2"/>
  <c r="AG170" i="2"/>
  <c r="AF170" i="2"/>
  <c r="AA170" i="2"/>
  <c r="AZ169" i="2"/>
  <c r="AY169" i="2"/>
  <c r="AV169" i="2"/>
  <c r="AC169" i="2" s="1"/>
  <c r="AU169" i="2"/>
  <c r="AT169" i="2"/>
  <c r="AR169" i="2"/>
  <c r="AQ169" i="2"/>
  <c r="AL169" i="2" s="1"/>
  <c r="AN169" i="2"/>
  <c r="AM169" i="2"/>
  <c r="AK169" i="2"/>
  <c r="AJ169" i="2"/>
  <c r="AI169" i="2"/>
  <c r="AH169" i="2"/>
  <c r="AG169" i="2"/>
  <c r="AF169" i="2"/>
  <c r="AA169" i="2"/>
  <c r="AZ168" i="2"/>
  <c r="AY168" i="2"/>
  <c r="AV168" i="2"/>
  <c r="AC168" i="2" s="1"/>
  <c r="AU168" i="2"/>
  <c r="AT168" i="2"/>
  <c r="AR168" i="2"/>
  <c r="AQ168" i="2"/>
  <c r="AL168" i="2" s="1"/>
  <c r="AN168" i="2"/>
  <c r="AM168" i="2"/>
  <c r="AK168" i="2"/>
  <c r="AJ168" i="2"/>
  <c r="AI168" i="2"/>
  <c r="AH168" i="2"/>
  <c r="AG168" i="2"/>
  <c r="AF168" i="2"/>
  <c r="AA168" i="2"/>
  <c r="AZ167" i="2"/>
  <c r="AY167" i="2"/>
  <c r="AV167" i="2"/>
  <c r="AC167" i="2" s="1"/>
  <c r="AU167" i="2"/>
  <c r="AT167" i="2"/>
  <c r="AR167" i="2"/>
  <c r="AQ167" i="2"/>
  <c r="AL167" i="2" s="1"/>
  <c r="AN167" i="2"/>
  <c r="AM167" i="2"/>
  <c r="AK167" i="2"/>
  <c r="AJ167" i="2"/>
  <c r="AI167" i="2"/>
  <c r="AH167" i="2"/>
  <c r="AG167" i="2"/>
  <c r="AF167" i="2"/>
  <c r="AA167" i="2"/>
  <c r="AZ166" i="2"/>
  <c r="AY166" i="2"/>
  <c r="AV166" i="2"/>
  <c r="AC166" i="2" s="1"/>
  <c r="AU166" i="2"/>
  <c r="AT166" i="2"/>
  <c r="AR166" i="2"/>
  <c r="AQ166" i="2"/>
  <c r="AL166" i="2" s="1"/>
  <c r="AN166" i="2"/>
  <c r="AM166" i="2"/>
  <c r="AK166" i="2"/>
  <c r="AJ166" i="2"/>
  <c r="AI166" i="2"/>
  <c r="AH166" i="2"/>
  <c r="AG166" i="2"/>
  <c r="AF166" i="2"/>
  <c r="AA166" i="2"/>
  <c r="AZ165" i="2"/>
  <c r="AY165" i="2"/>
  <c r="AV165" i="2"/>
  <c r="AC165" i="2" s="1"/>
  <c r="AU165" i="2"/>
  <c r="AT165" i="2"/>
  <c r="AR165" i="2"/>
  <c r="AQ165" i="2"/>
  <c r="AL165" i="2" s="1"/>
  <c r="AN165" i="2"/>
  <c r="AM165" i="2"/>
  <c r="AK165" i="2"/>
  <c r="AJ165" i="2"/>
  <c r="AI165" i="2"/>
  <c r="AH165" i="2"/>
  <c r="AG165" i="2"/>
  <c r="AF165" i="2"/>
  <c r="AA165" i="2"/>
  <c r="AZ164" i="2"/>
  <c r="AY164" i="2"/>
  <c r="AV164" i="2"/>
  <c r="AC164" i="2" s="1"/>
  <c r="AU164" i="2"/>
  <c r="AT164" i="2"/>
  <c r="AR164" i="2"/>
  <c r="AQ164" i="2"/>
  <c r="AL164" i="2" s="1"/>
  <c r="AN164" i="2"/>
  <c r="AM164" i="2"/>
  <c r="AK164" i="2"/>
  <c r="AJ164" i="2"/>
  <c r="AI164" i="2"/>
  <c r="AH164" i="2"/>
  <c r="AG164" i="2"/>
  <c r="AF164" i="2"/>
  <c r="AA164" i="2"/>
  <c r="AZ163" i="2"/>
  <c r="AY163" i="2"/>
  <c r="AV163" i="2"/>
  <c r="AC163" i="2" s="1"/>
  <c r="AU163" i="2"/>
  <c r="AT163" i="2"/>
  <c r="AR163" i="2"/>
  <c r="AQ163" i="2"/>
  <c r="AL163" i="2" s="1"/>
  <c r="AN163" i="2"/>
  <c r="AM163" i="2"/>
  <c r="AK163" i="2"/>
  <c r="AJ163" i="2"/>
  <c r="AI163" i="2"/>
  <c r="AH163" i="2"/>
  <c r="AG163" i="2"/>
  <c r="AF163" i="2"/>
  <c r="AA163" i="2"/>
  <c r="AZ162" i="2"/>
  <c r="AY162" i="2"/>
  <c r="AV162" i="2"/>
  <c r="AC162" i="2" s="1"/>
  <c r="AU162" i="2"/>
  <c r="AT162" i="2"/>
  <c r="AR162" i="2"/>
  <c r="AQ162" i="2"/>
  <c r="AL162" i="2" s="1"/>
  <c r="AN162" i="2"/>
  <c r="AM162" i="2"/>
  <c r="AK162" i="2"/>
  <c r="AJ162" i="2"/>
  <c r="AI162" i="2"/>
  <c r="AH162" i="2"/>
  <c r="AG162" i="2"/>
  <c r="AF162" i="2"/>
  <c r="AA162" i="2"/>
  <c r="BA158" i="2"/>
  <c r="AD158" i="2" s="1"/>
  <c r="AZ158" i="2"/>
  <c r="AY158" i="2"/>
  <c r="AV158" i="2"/>
  <c r="AU158" i="2"/>
  <c r="AT158" i="2"/>
  <c r="AR158" i="2"/>
  <c r="AQ158" i="2"/>
  <c r="AL158" i="2" s="1"/>
  <c r="AN158" i="2"/>
  <c r="AM158" i="2"/>
  <c r="AK158" i="2"/>
  <c r="AA158" i="2" s="1"/>
  <c r="AJ158" i="2"/>
  <c r="AI158" i="2"/>
  <c r="AH158" i="2"/>
  <c r="AG158" i="2"/>
  <c r="AF158" i="2"/>
  <c r="AC158" i="2"/>
  <c r="BA157" i="2"/>
  <c r="AD157" i="2" s="1"/>
  <c r="AZ157" i="2"/>
  <c r="AY157" i="2"/>
  <c r="AV157" i="2"/>
  <c r="AU157" i="2"/>
  <c r="AT157" i="2"/>
  <c r="AR157" i="2"/>
  <c r="AQ157" i="2"/>
  <c r="AL157" i="2" s="1"/>
  <c r="AN157" i="2"/>
  <c r="AM157" i="2"/>
  <c r="AK157" i="2"/>
  <c r="AA157" i="2" s="1"/>
  <c r="AJ157" i="2"/>
  <c r="AI157" i="2"/>
  <c r="AH157" i="2"/>
  <c r="AG157" i="2"/>
  <c r="AF157" i="2"/>
  <c r="AC157" i="2"/>
  <c r="BA156" i="2"/>
  <c r="AD156" i="2" s="1"/>
  <c r="AZ156" i="2"/>
  <c r="AY156" i="2"/>
  <c r="AV156" i="2"/>
  <c r="AU156" i="2"/>
  <c r="AT156" i="2"/>
  <c r="AR156" i="2"/>
  <c r="AQ156" i="2"/>
  <c r="AL156" i="2" s="1"/>
  <c r="AN156" i="2"/>
  <c r="AM156" i="2"/>
  <c r="AK156" i="2"/>
  <c r="AA156" i="2" s="1"/>
  <c r="AJ156" i="2"/>
  <c r="AI156" i="2"/>
  <c r="AH156" i="2"/>
  <c r="AG156" i="2"/>
  <c r="AF156" i="2"/>
  <c r="AC156" i="2"/>
  <c r="BA155" i="2"/>
  <c r="AD155" i="2" s="1"/>
  <c r="AZ155" i="2"/>
  <c r="AY155" i="2"/>
  <c r="AV155" i="2"/>
  <c r="AU155" i="2"/>
  <c r="AT155" i="2"/>
  <c r="AR155" i="2"/>
  <c r="AQ155" i="2"/>
  <c r="AL155" i="2" s="1"/>
  <c r="AN155" i="2"/>
  <c r="AM155" i="2"/>
  <c r="AK155" i="2"/>
  <c r="AA155" i="2" s="1"/>
  <c r="AJ155" i="2"/>
  <c r="AI155" i="2"/>
  <c r="AH155" i="2"/>
  <c r="AG155" i="2"/>
  <c r="AF155" i="2"/>
  <c r="AC155" i="2"/>
  <c r="AZ151" i="2"/>
  <c r="AY151" i="2"/>
  <c r="AV151" i="2"/>
  <c r="AC151" i="2" s="1"/>
  <c r="AU151" i="2"/>
  <c r="AT151" i="2"/>
  <c r="AR151" i="2"/>
  <c r="AQ151" i="2"/>
  <c r="AL151" i="2" s="1"/>
  <c r="AN151" i="2"/>
  <c r="AM151" i="2"/>
  <c r="AK151" i="2"/>
  <c r="AJ151" i="2"/>
  <c r="AI151" i="2"/>
  <c r="AH151" i="2"/>
  <c r="AG151" i="2"/>
  <c r="AF151" i="2"/>
  <c r="AA151" i="2"/>
  <c r="AZ150" i="2"/>
  <c r="AY150" i="2"/>
  <c r="AV150" i="2"/>
  <c r="AC150" i="2" s="1"/>
  <c r="AU150" i="2"/>
  <c r="AT150" i="2"/>
  <c r="AR150" i="2"/>
  <c r="AQ150" i="2"/>
  <c r="AL150" i="2" s="1"/>
  <c r="AN150" i="2"/>
  <c r="AM150" i="2"/>
  <c r="AK150" i="2"/>
  <c r="AJ150" i="2"/>
  <c r="AI150" i="2"/>
  <c r="AH150" i="2"/>
  <c r="AG150" i="2"/>
  <c r="AF150" i="2"/>
  <c r="AA150" i="2"/>
  <c r="AZ149" i="2"/>
  <c r="AY149" i="2"/>
  <c r="AV149" i="2"/>
  <c r="AC149" i="2" s="1"/>
  <c r="AU149" i="2"/>
  <c r="AT149" i="2"/>
  <c r="AR149" i="2"/>
  <c r="AQ149" i="2"/>
  <c r="AL149" i="2" s="1"/>
  <c r="AN149" i="2"/>
  <c r="AM149" i="2"/>
  <c r="AK149" i="2"/>
  <c r="AJ149" i="2"/>
  <c r="AI149" i="2"/>
  <c r="AH149" i="2"/>
  <c r="AG149" i="2"/>
  <c r="AF149" i="2"/>
  <c r="AA149" i="2"/>
  <c r="AZ148" i="2"/>
  <c r="AY148" i="2"/>
  <c r="AV148" i="2"/>
  <c r="AC148" i="2" s="1"/>
  <c r="AU148" i="2"/>
  <c r="AT148" i="2"/>
  <c r="AR148" i="2"/>
  <c r="AQ148" i="2"/>
  <c r="AL148" i="2" s="1"/>
  <c r="AN148" i="2"/>
  <c r="AM148" i="2"/>
  <c r="AK148" i="2"/>
  <c r="AJ148" i="2"/>
  <c r="AI148" i="2"/>
  <c r="AH148" i="2"/>
  <c r="AG148" i="2"/>
  <c r="AF148" i="2"/>
  <c r="AA148" i="2"/>
  <c r="AZ147" i="2"/>
  <c r="AY147" i="2"/>
  <c r="AV147" i="2"/>
  <c r="AC147" i="2" s="1"/>
  <c r="AU147" i="2"/>
  <c r="AT147" i="2"/>
  <c r="AR147" i="2"/>
  <c r="AQ147" i="2"/>
  <c r="AL147" i="2" s="1"/>
  <c r="AN147" i="2"/>
  <c r="AM147" i="2"/>
  <c r="AK147" i="2"/>
  <c r="AJ147" i="2"/>
  <c r="AI147" i="2"/>
  <c r="AH147" i="2"/>
  <c r="AG147" i="2"/>
  <c r="AF147" i="2"/>
  <c r="AA147" i="2"/>
  <c r="AZ143" i="2"/>
  <c r="AY143" i="2"/>
  <c r="AV143" i="2"/>
  <c r="AC143" i="2" s="1"/>
  <c r="AU143" i="2"/>
  <c r="AT143" i="2"/>
  <c r="AR143" i="2"/>
  <c r="AQ143" i="2"/>
  <c r="AL143" i="2" s="1"/>
  <c r="AN143" i="2"/>
  <c r="AM143" i="2"/>
  <c r="AK143" i="2"/>
  <c r="AJ143" i="2"/>
  <c r="AI143" i="2"/>
  <c r="AH143" i="2"/>
  <c r="AG143" i="2"/>
  <c r="AF143" i="2"/>
  <c r="AA143" i="2"/>
  <c r="BA139" i="2"/>
  <c r="AD139" i="2" s="1"/>
  <c r="AZ139" i="2"/>
  <c r="AY139" i="2"/>
  <c r="AV139" i="2"/>
  <c r="AC139" i="2" s="1"/>
  <c r="AU139" i="2"/>
  <c r="AT139" i="2"/>
  <c r="AR139" i="2"/>
  <c r="AQ139" i="2"/>
  <c r="AL139" i="2" s="1"/>
  <c r="AN139" i="2"/>
  <c r="AM139" i="2"/>
  <c r="AK139" i="2"/>
  <c r="AA139" i="2" s="1"/>
  <c r="AJ139" i="2"/>
  <c r="AI139" i="2"/>
  <c r="AH139" i="2"/>
  <c r="AG139" i="2"/>
  <c r="AF139" i="2"/>
  <c r="AZ135" i="2"/>
  <c r="AY135" i="2"/>
  <c r="AV135" i="2"/>
  <c r="AC135" i="2" s="1"/>
  <c r="AU135" i="2"/>
  <c r="AT135" i="2"/>
  <c r="AR135" i="2"/>
  <c r="AQ135" i="2"/>
  <c r="AL135" i="2" s="1"/>
  <c r="AN135" i="2"/>
  <c r="AM135" i="2"/>
  <c r="AK135" i="2"/>
  <c r="AJ135" i="2"/>
  <c r="AI135" i="2"/>
  <c r="AH135" i="2"/>
  <c r="AG135" i="2"/>
  <c r="AF135" i="2"/>
  <c r="AA135" i="2"/>
  <c r="AZ134" i="2"/>
  <c r="AY134" i="2"/>
  <c r="AV134" i="2"/>
  <c r="AC134" i="2" s="1"/>
  <c r="AU134" i="2"/>
  <c r="AT134" i="2"/>
  <c r="AR134" i="2"/>
  <c r="AQ134" i="2"/>
  <c r="AL134" i="2" s="1"/>
  <c r="AN134" i="2"/>
  <c r="AM134" i="2"/>
  <c r="AK134" i="2"/>
  <c r="AJ134" i="2"/>
  <c r="AI134" i="2"/>
  <c r="AH134" i="2"/>
  <c r="AG134" i="2"/>
  <c r="AF134" i="2"/>
  <c r="AA134" i="2"/>
  <c r="AZ133" i="2"/>
  <c r="AY133" i="2"/>
  <c r="AV133" i="2"/>
  <c r="AC133" i="2" s="1"/>
  <c r="AU133" i="2"/>
  <c r="AT133" i="2"/>
  <c r="AR133" i="2"/>
  <c r="AQ133" i="2"/>
  <c r="AL133" i="2" s="1"/>
  <c r="AN133" i="2"/>
  <c r="AM133" i="2"/>
  <c r="AK133" i="2"/>
  <c r="AJ133" i="2"/>
  <c r="AI133" i="2"/>
  <c r="AH133" i="2"/>
  <c r="AG133" i="2"/>
  <c r="AF133" i="2"/>
  <c r="AA133" i="2"/>
  <c r="AZ132" i="2"/>
  <c r="AY132" i="2"/>
  <c r="AV132" i="2"/>
  <c r="AC132" i="2" s="1"/>
  <c r="AU132" i="2"/>
  <c r="AT132" i="2"/>
  <c r="AR132" i="2"/>
  <c r="AQ132" i="2"/>
  <c r="AL132" i="2" s="1"/>
  <c r="AN132" i="2"/>
  <c r="AM132" i="2"/>
  <c r="AK132" i="2"/>
  <c r="AJ132" i="2"/>
  <c r="AI132" i="2"/>
  <c r="AH132" i="2"/>
  <c r="AG132" i="2"/>
  <c r="AF132" i="2"/>
  <c r="AA132" i="2"/>
  <c r="AZ128" i="2"/>
  <c r="AY128" i="2"/>
  <c r="AV128" i="2"/>
  <c r="AC128" i="2" s="1"/>
  <c r="AU128" i="2"/>
  <c r="AT128" i="2"/>
  <c r="AR128" i="2"/>
  <c r="AQ128" i="2"/>
  <c r="AL128" i="2" s="1"/>
  <c r="AN128" i="2"/>
  <c r="AM128" i="2"/>
  <c r="AK128" i="2"/>
  <c r="AJ128" i="2"/>
  <c r="AI128" i="2"/>
  <c r="AH128" i="2"/>
  <c r="AG128" i="2"/>
  <c r="AF128" i="2"/>
  <c r="AA128" i="2"/>
  <c r="AZ127" i="2"/>
  <c r="AY127" i="2"/>
  <c r="AV127" i="2"/>
  <c r="AC127" i="2" s="1"/>
  <c r="AU127" i="2"/>
  <c r="AT127" i="2"/>
  <c r="AR127" i="2"/>
  <c r="AQ127" i="2"/>
  <c r="AL127" i="2" s="1"/>
  <c r="AN127" i="2"/>
  <c r="AM127" i="2"/>
  <c r="AK127" i="2"/>
  <c r="AJ127" i="2"/>
  <c r="AI127" i="2"/>
  <c r="AH127" i="2"/>
  <c r="AG127" i="2"/>
  <c r="AF127" i="2"/>
  <c r="AA127" i="2"/>
  <c r="AZ123" i="2"/>
  <c r="AY123" i="2"/>
  <c r="AV123" i="2"/>
  <c r="AC123" i="2" s="1"/>
  <c r="AU123" i="2"/>
  <c r="AT123" i="2"/>
  <c r="AR123" i="2"/>
  <c r="AQ123" i="2"/>
  <c r="AL123" i="2" s="1"/>
  <c r="AN123" i="2"/>
  <c r="AM123" i="2"/>
  <c r="AK123" i="2"/>
  <c r="AJ123" i="2"/>
  <c r="AI123" i="2"/>
  <c r="AH123" i="2"/>
  <c r="AG123" i="2"/>
  <c r="AF123" i="2"/>
  <c r="AA123" i="2"/>
  <c r="AZ122" i="2"/>
  <c r="AY122" i="2"/>
  <c r="AV122" i="2"/>
  <c r="AC122" i="2" s="1"/>
  <c r="AU122" i="2"/>
  <c r="AT122" i="2"/>
  <c r="AR122" i="2"/>
  <c r="AQ122" i="2"/>
  <c r="AL122" i="2" s="1"/>
  <c r="AN122" i="2"/>
  <c r="AM122" i="2"/>
  <c r="AK122" i="2"/>
  <c r="AJ122" i="2"/>
  <c r="AI122" i="2"/>
  <c r="AH122" i="2"/>
  <c r="AG122" i="2"/>
  <c r="AF122" i="2"/>
  <c r="AA122" i="2"/>
  <c r="AZ121" i="2"/>
  <c r="AY121" i="2"/>
  <c r="AV121" i="2"/>
  <c r="AC121" i="2" s="1"/>
  <c r="AU121" i="2"/>
  <c r="AT121" i="2"/>
  <c r="AR121" i="2"/>
  <c r="AQ121" i="2"/>
  <c r="AL121" i="2" s="1"/>
  <c r="AN121" i="2"/>
  <c r="AM121" i="2"/>
  <c r="AK121" i="2"/>
  <c r="AJ121" i="2"/>
  <c r="AI121" i="2"/>
  <c r="AH121" i="2"/>
  <c r="AG121" i="2"/>
  <c r="AF121" i="2"/>
  <c r="AA121" i="2"/>
  <c r="AZ120" i="2"/>
  <c r="AY120" i="2"/>
  <c r="AV120" i="2"/>
  <c r="AC120" i="2" s="1"/>
  <c r="AU120" i="2"/>
  <c r="AT120" i="2"/>
  <c r="AR120" i="2"/>
  <c r="AQ120" i="2"/>
  <c r="AL120" i="2" s="1"/>
  <c r="AN120" i="2"/>
  <c r="AM120" i="2"/>
  <c r="AK120" i="2"/>
  <c r="AJ120" i="2"/>
  <c r="AI120" i="2"/>
  <c r="AH120" i="2"/>
  <c r="AG120" i="2"/>
  <c r="AF120" i="2"/>
  <c r="AA120" i="2"/>
  <c r="AZ119" i="2"/>
  <c r="AY119" i="2"/>
  <c r="AV119" i="2"/>
  <c r="AC119" i="2" s="1"/>
  <c r="AU119" i="2"/>
  <c r="AT119" i="2"/>
  <c r="AR119" i="2"/>
  <c r="AQ119" i="2"/>
  <c r="AL119" i="2" s="1"/>
  <c r="AN119" i="2"/>
  <c r="AM119" i="2"/>
  <c r="AK119" i="2"/>
  <c r="AJ119" i="2"/>
  <c r="AI119" i="2"/>
  <c r="AH119" i="2"/>
  <c r="AG119" i="2"/>
  <c r="AF119" i="2"/>
  <c r="AA119" i="2"/>
  <c r="AZ118" i="2"/>
  <c r="AY118" i="2"/>
  <c r="AV118" i="2"/>
  <c r="AC118" i="2" s="1"/>
  <c r="AU118" i="2"/>
  <c r="AT118" i="2"/>
  <c r="AR118" i="2"/>
  <c r="AQ118" i="2"/>
  <c r="AL118" i="2" s="1"/>
  <c r="AN118" i="2"/>
  <c r="AM118" i="2"/>
  <c r="AK118" i="2"/>
  <c r="AJ118" i="2"/>
  <c r="AI118" i="2"/>
  <c r="AH118" i="2"/>
  <c r="AG118" i="2"/>
  <c r="AF118" i="2"/>
  <c r="AA118" i="2"/>
  <c r="AZ117" i="2"/>
  <c r="AY117" i="2"/>
  <c r="AV117" i="2"/>
  <c r="AC117" i="2" s="1"/>
  <c r="AU117" i="2"/>
  <c r="AT117" i="2"/>
  <c r="AR117" i="2"/>
  <c r="AQ117" i="2"/>
  <c r="AL117" i="2" s="1"/>
  <c r="AN117" i="2"/>
  <c r="AM117" i="2"/>
  <c r="AK117" i="2"/>
  <c r="AJ117" i="2"/>
  <c r="AI117" i="2"/>
  <c r="AH117" i="2"/>
  <c r="AG117" i="2"/>
  <c r="AF117" i="2"/>
  <c r="AA117" i="2"/>
  <c r="AZ113" i="2"/>
  <c r="AY113" i="2"/>
  <c r="AV113" i="2"/>
  <c r="AC113" i="2" s="1"/>
  <c r="AU113" i="2"/>
  <c r="AT113" i="2"/>
  <c r="AR113" i="2"/>
  <c r="AQ113" i="2"/>
  <c r="AL113" i="2" s="1"/>
  <c r="AN113" i="2"/>
  <c r="AM113" i="2"/>
  <c r="AK113" i="2"/>
  <c r="AJ113" i="2"/>
  <c r="AI113" i="2"/>
  <c r="AH113" i="2"/>
  <c r="AG113" i="2"/>
  <c r="AF113" i="2"/>
  <c r="AA113" i="2"/>
  <c r="AZ112" i="2"/>
  <c r="AY112" i="2"/>
  <c r="AV112" i="2"/>
  <c r="AC112" i="2" s="1"/>
  <c r="AU112" i="2"/>
  <c r="AT112" i="2"/>
  <c r="AR112" i="2"/>
  <c r="AQ112" i="2"/>
  <c r="AL112" i="2" s="1"/>
  <c r="AN112" i="2"/>
  <c r="AM112" i="2"/>
  <c r="AK112" i="2"/>
  <c r="AJ112" i="2"/>
  <c r="AI112" i="2"/>
  <c r="AH112" i="2"/>
  <c r="AG112" i="2"/>
  <c r="AF112" i="2"/>
  <c r="AA112" i="2"/>
  <c r="AZ111" i="2"/>
  <c r="AY111" i="2"/>
  <c r="AV111" i="2"/>
  <c r="AC111" i="2" s="1"/>
  <c r="AU111" i="2"/>
  <c r="AT111" i="2"/>
  <c r="AR111" i="2"/>
  <c r="AQ111" i="2"/>
  <c r="AL111" i="2" s="1"/>
  <c r="AN111" i="2"/>
  <c r="AM111" i="2"/>
  <c r="AK111" i="2"/>
  <c r="AJ111" i="2"/>
  <c r="AI111" i="2"/>
  <c r="AH111" i="2"/>
  <c r="AG111" i="2"/>
  <c r="AF111" i="2"/>
  <c r="AA111" i="2"/>
  <c r="AZ107" i="2"/>
  <c r="AY107" i="2"/>
  <c r="AV107" i="2"/>
  <c r="AC107" i="2" s="1"/>
  <c r="AU107" i="2"/>
  <c r="AT107" i="2"/>
  <c r="AR107" i="2"/>
  <c r="AQ107" i="2"/>
  <c r="AL107" i="2" s="1"/>
  <c r="AN107" i="2"/>
  <c r="AM107" i="2"/>
  <c r="AK107" i="2"/>
  <c r="AJ107" i="2"/>
  <c r="AI107" i="2"/>
  <c r="AH107" i="2"/>
  <c r="AG107" i="2"/>
  <c r="AF107" i="2"/>
  <c r="AA107" i="2"/>
  <c r="AZ103" i="2"/>
  <c r="AY103" i="2"/>
  <c r="AV103" i="2"/>
  <c r="AC103" i="2" s="1"/>
  <c r="AU103" i="2"/>
  <c r="AT103" i="2"/>
  <c r="AR103" i="2"/>
  <c r="AQ103" i="2"/>
  <c r="AL103" i="2" s="1"/>
  <c r="AN103" i="2"/>
  <c r="AM103" i="2"/>
  <c r="AK103" i="2"/>
  <c r="AJ103" i="2"/>
  <c r="AI103" i="2"/>
  <c r="AH103" i="2"/>
  <c r="AG103" i="2"/>
  <c r="AF103" i="2"/>
  <c r="AA103" i="2"/>
  <c r="AZ102" i="2"/>
  <c r="AY102" i="2"/>
  <c r="AV102" i="2"/>
  <c r="AC102" i="2" s="1"/>
  <c r="AU102" i="2"/>
  <c r="AT102" i="2"/>
  <c r="AR102" i="2"/>
  <c r="AQ102" i="2"/>
  <c r="AL102" i="2" s="1"/>
  <c r="AN102" i="2"/>
  <c r="AM102" i="2"/>
  <c r="AK102" i="2"/>
  <c r="AJ102" i="2"/>
  <c r="AI102" i="2"/>
  <c r="AH102" i="2"/>
  <c r="AG102" i="2"/>
  <c r="AF102" i="2"/>
  <c r="AA102" i="2"/>
  <c r="AZ101" i="2"/>
  <c r="AY101" i="2"/>
  <c r="AV101" i="2"/>
  <c r="AC101" i="2" s="1"/>
  <c r="AU101" i="2"/>
  <c r="AT101" i="2"/>
  <c r="AR101" i="2"/>
  <c r="AQ101" i="2"/>
  <c r="AL101" i="2" s="1"/>
  <c r="AN101" i="2"/>
  <c r="AM101" i="2"/>
  <c r="AK101" i="2"/>
  <c r="AJ101" i="2"/>
  <c r="AI101" i="2"/>
  <c r="AH101" i="2"/>
  <c r="AG101" i="2"/>
  <c r="AF101" i="2"/>
  <c r="AA101" i="2"/>
  <c r="AZ100" i="2"/>
  <c r="AY100" i="2"/>
  <c r="AV100" i="2"/>
  <c r="AC100" i="2" s="1"/>
  <c r="AU100" i="2"/>
  <c r="AT100" i="2"/>
  <c r="AR100" i="2"/>
  <c r="AQ100" i="2"/>
  <c r="AL100" i="2" s="1"/>
  <c r="AN100" i="2"/>
  <c r="AM100" i="2"/>
  <c r="AK100" i="2"/>
  <c r="AJ100" i="2"/>
  <c r="AI100" i="2"/>
  <c r="AH100" i="2"/>
  <c r="AG100" i="2"/>
  <c r="AF100" i="2"/>
  <c r="AA100" i="2"/>
  <c r="AZ99" i="2"/>
  <c r="AY99" i="2"/>
  <c r="AV99" i="2"/>
  <c r="AC99" i="2" s="1"/>
  <c r="AU99" i="2"/>
  <c r="AT99" i="2"/>
  <c r="AR99" i="2"/>
  <c r="AQ99" i="2"/>
  <c r="AL99" i="2" s="1"/>
  <c r="AN99" i="2"/>
  <c r="AM99" i="2"/>
  <c r="AK99" i="2"/>
  <c r="AJ99" i="2"/>
  <c r="AI99" i="2"/>
  <c r="AH99" i="2"/>
  <c r="AG99" i="2"/>
  <c r="AF99" i="2"/>
  <c r="AA99" i="2"/>
  <c r="AZ98" i="2"/>
  <c r="AY98" i="2"/>
  <c r="AV98" i="2"/>
  <c r="AC98" i="2" s="1"/>
  <c r="AU98" i="2"/>
  <c r="AT98" i="2"/>
  <c r="AR98" i="2"/>
  <c r="AQ98" i="2"/>
  <c r="AL98" i="2" s="1"/>
  <c r="AN98" i="2"/>
  <c r="AM98" i="2"/>
  <c r="AK98" i="2"/>
  <c r="AJ98" i="2"/>
  <c r="AI98" i="2"/>
  <c r="AH98" i="2"/>
  <c r="AG98" i="2"/>
  <c r="AF98" i="2"/>
  <c r="AA98" i="2"/>
  <c r="AZ97" i="2"/>
  <c r="AY97" i="2"/>
  <c r="AV97" i="2"/>
  <c r="AC97" i="2" s="1"/>
  <c r="AU97" i="2"/>
  <c r="AT97" i="2"/>
  <c r="AR97" i="2"/>
  <c r="AQ97" i="2"/>
  <c r="AL97" i="2" s="1"/>
  <c r="AN97" i="2"/>
  <c r="AM97" i="2"/>
  <c r="AK97" i="2"/>
  <c r="AJ97" i="2"/>
  <c r="AI97" i="2"/>
  <c r="AH97" i="2"/>
  <c r="AG97" i="2"/>
  <c r="AF97" i="2"/>
  <c r="AA97" i="2"/>
  <c r="AZ96" i="2"/>
  <c r="AY96" i="2"/>
  <c r="AV96" i="2"/>
  <c r="AC96" i="2" s="1"/>
  <c r="AU96" i="2"/>
  <c r="AT96" i="2"/>
  <c r="AR96" i="2"/>
  <c r="AQ96" i="2"/>
  <c r="AL96" i="2" s="1"/>
  <c r="AN96" i="2"/>
  <c r="AM96" i="2"/>
  <c r="AK96" i="2"/>
  <c r="AJ96" i="2"/>
  <c r="AI96" i="2"/>
  <c r="AH96" i="2"/>
  <c r="AG96" i="2"/>
  <c r="AF96" i="2"/>
  <c r="AA96" i="2"/>
  <c r="AZ95" i="2"/>
  <c r="AY95" i="2"/>
  <c r="AV95" i="2"/>
  <c r="AC95" i="2" s="1"/>
  <c r="AU95" i="2"/>
  <c r="AT95" i="2"/>
  <c r="AR95" i="2"/>
  <c r="AQ95" i="2"/>
  <c r="AL95" i="2" s="1"/>
  <c r="AN95" i="2"/>
  <c r="AM95" i="2"/>
  <c r="AK95" i="2"/>
  <c r="AJ95" i="2"/>
  <c r="AI95" i="2"/>
  <c r="AH95" i="2"/>
  <c r="AG95" i="2"/>
  <c r="AF95" i="2"/>
  <c r="AA95" i="2"/>
  <c r="AZ94" i="2"/>
  <c r="AY94" i="2"/>
  <c r="AV94" i="2"/>
  <c r="AC94" i="2" s="1"/>
  <c r="AU94" i="2"/>
  <c r="AT94" i="2"/>
  <c r="AR94" i="2"/>
  <c r="AQ94" i="2"/>
  <c r="AL94" i="2" s="1"/>
  <c r="AN94" i="2"/>
  <c r="AM94" i="2"/>
  <c r="AK94" i="2"/>
  <c r="AJ94" i="2"/>
  <c r="AI94" i="2"/>
  <c r="AH94" i="2"/>
  <c r="AG94" i="2"/>
  <c r="AF94" i="2"/>
  <c r="AA94" i="2"/>
  <c r="AZ93" i="2"/>
  <c r="AY93" i="2"/>
  <c r="AV93" i="2"/>
  <c r="AC93" i="2" s="1"/>
  <c r="AU93" i="2"/>
  <c r="AT93" i="2"/>
  <c r="AR93" i="2"/>
  <c r="AQ93" i="2"/>
  <c r="AL93" i="2" s="1"/>
  <c r="AN93" i="2"/>
  <c r="AM93" i="2"/>
  <c r="AK93" i="2"/>
  <c r="AJ93" i="2"/>
  <c r="AI93" i="2"/>
  <c r="AH93" i="2"/>
  <c r="AG93" i="2"/>
  <c r="AF93" i="2"/>
  <c r="AA93" i="2"/>
  <c r="AZ92" i="2"/>
  <c r="AY92" i="2"/>
  <c r="AV92" i="2"/>
  <c r="AC92" i="2" s="1"/>
  <c r="AU92" i="2"/>
  <c r="AT92" i="2"/>
  <c r="AR92" i="2"/>
  <c r="AQ92" i="2"/>
  <c r="AL92" i="2" s="1"/>
  <c r="AN92" i="2"/>
  <c r="AM92" i="2"/>
  <c r="AK92" i="2"/>
  <c r="AJ92" i="2"/>
  <c r="AI92" i="2"/>
  <c r="AH92" i="2"/>
  <c r="AG92" i="2"/>
  <c r="AF92" i="2"/>
  <c r="AA92" i="2"/>
  <c r="AZ91" i="2"/>
  <c r="AY91" i="2"/>
  <c r="AV91" i="2"/>
  <c r="AC91" i="2" s="1"/>
  <c r="AU91" i="2"/>
  <c r="AT91" i="2"/>
  <c r="AR91" i="2"/>
  <c r="AQ91" i="2"/>
  <c r="AL91" i="2" s="1"/>
  <c r="AN91" i="2"/>
  <c r="AM91" i="2"/>
  <c r="AK91" i="2"/>
  <c r="AJ91" i="2"/>
  <c r="AI91" i="2"/>
  <c r="AH91" i="2"/>
  <c r="AG91" i="2"/>
  <c r="AF91" i="2"/>
  <c r="AA91" i="2"/>
  <c r="AZ90" i="2"/>
  <c r="AY90" i="2"/>
  <c r="AV90" i="2"/>
  <c r="AC90" i="2" s="1"/>
  <c r="AU90" i="2"/>
  <c r="AT90" i="2"/>
  <c r="AR90" i="2"/>
  <c r="AQ90" i="2"/>
  <c r="AL90" i="2" s="1"/>
  <c r="AN90" i="2"/>
  <c r="AM90" i="2"/>
  <c r="AK90" i="2"/>
  <c r="AJ90" i="2"/>
  <c r="AI90" i="2"/>
  <c r="AH90" i="2"/>
  <c r="AG90" i="2"/>
  <c r="AF90" i="2"/>
  <c r="AA90" i="2"/>
  <c r="AZ89" i="2"/>
  <c r="AY89" i="2"/>
  <c r="AV89" i="2"/>
  <c r="AC89" i="2" s="1"/>
  <c r="AU89" i="2"/>
  <c r="AT89" i="2"/>
  <c r="AR89" i="2"/>
  <c r="AQ89" i="2"/>
  <c r="AL89" i="2" s="1"/>
  <c r="AN89" i="2"/>
  <c r="AM89" i="2"/>
  <c r="AK89" i="2"/>
  <c r="AJ89" i="2"/>
  <c r="AI89" i="2"/>
  <c r="AH89" i="2"/>
  <c r="AG89" i="2"/>
  <c r="AF89" i="2"/>
  <c r="AA89" i="2"/>
  <c r="AZ88" i="2"/>
  <c r="AY88" i="2"/>
  <c r="AV88" i="2"/>
  <c r="AC88" i="2" s="1"/>
  <c r="AU88" i="2"/>
  <c r="AT88" i="2"/>
  <c r="AR88" i="2"/>
  <c r="AQ88" i="2"/>
  <c r="AL88" i="2" s="1"/>
  <c r="AN88" i="2"/>
  <c r="AM88" i="2"/>
  <c r="AK88" i="2"/>
  <c r="AJ88" i="2"/>
  <c r="AI88" i="2"/>
  <c r="AH88" i="2"/>
  <c r="AG88" i="2"/>
  <c r="AF88" i="2"/>
  <c r="AA88" i="2"/>
  <c r="AZ87" i="2"/>
  <c r="AY87" i="2"/>
  <c r="AV87" i="2"/>
  <c r="AC87" i="2" s="1"/>
  <c r="AU87" i="2"/>
  <c r="AT87" i="2"/>
  <c r="AR87" i="2"/>
  <c r="AQ87" i="2"/>
  <c r="AL87" i="2" s="1"/>
  <c r="AN87" i="2"/>
  <c r="AM87" i="2"/>
  <c r="AK87" i="2"/>
  <c r="AJ87" i="2"/>
  <c r="AI87" i="2"/>
  <c r="AH87" i="2"/>
  <c r="AG87" i="2"/>
  <c r="AF87" i="2"/>
  <c r="AA87" i="2"/>
  <c r="AZ86" i="2"/>
  <c r="AY86" i="2"/>
  <c r="AV86" i="2"/>
  <c r="AC86" i="2" s="1"/>
  <c r="AU86" i="2"/>
  <c r="AT86" i="2"/>
  <c r="AR86" i="2"/>
  <c r="AQ86" i="2"/>
  <c r="AL86" i="2" s="1"/>
  <c r="AN86" i="2"/>
  <c r="AM86" i="2"/>
  <c r="AK86" i="2"/>
  <c r="AJ86" i="2"/>
  <c r="AI86" i="2"/>
  <c r="AH86" i="2"/>
  <c r="AG86" i="2"/>
  <c r="AF86" i="2"/>
  <c r="AA86" i="2"/>
  <c r="AZ85" i="2"/>
  <c r="AY85" i="2"/>
  <c r="AV85" i="2"/>
  <c r="AC85" i="2" s="1"/>
  <c r="AU85" i="2"/>
  <c r="AT85" i="2"/>
  <c r="AR85" i="2"/>
  <c r="AQ85" i="2"/>
  <c r="AL85" i="2" s="1"/>
  <c r="AN85" i="2"/>
  <c r="AM85" i="2"/>
  <c r="AK85" i="2"/>
  <c r="AJ85" i="2"/>
  <c r="AI85" i="2"/>
  <c r="AH85" i="2"/>
  <c r="AG85" i="2"/>
  <c r="AF85" i="2"/>
  <c r="AA85" i="2"/>
  <c r="AZ84" i="2"/>
  <c r="AY84" i="2"/>
  <c r="AV84" i="2"/>
  <c r="AC84" i="2" s="1"/>
  <c r="AU84" i="2"/>
  <c r="AT84" i="2"/>
  <c r="AR84" i="2"/>
  <c r="AQ84" i="2"/>
  <c r="AL84" i="2" s="1"/>
  <c r="AN84" i="2"/>
  <c r="AM84" i="2"/>
  <c r="AK84" i="2"/>
  <c r="AJ84" i="2"/>
  <c r="AI84" i="2"/>
  <c r="AH84" i="2"/>
  <c r="AG84" i="2"/>
  <c r="AF84" i="2"/>
  <c r="AA84" i="2"/>
  <c r="AZ80" i="2"/>
  <c r="AY80" i="2"/>
  <c r="AV80" i="2"/>
  <c r="AC80" i="2" s="1"/>
  <c r="AU80" i="2"/>
  <c r="AT80" i="2"/>
  <c r="AR80" i="2"/>
  <c r="AQ80" i="2"/>
  <c r="AL80" i="2" s="1"/>
  <c r="AN80" i="2"/>
  <c r="AM80" i="2"/>
  <c r="AK80" i="2"/>
  <c r="AJ80" i="2"/>
  <c r="AI80" i="2"/>
  <c r="AH80" i="2"/>
  <c r="AG80" i="2"/>
  <c r="AF80" i="2"/>
  <c r="AA80" i="2"/>
  <c r="AZ79" i="2"/>
  <c r="AY79" i="2"/>
  <c r="AV79" i="2"/>
  <c r="AC79" i="2" s="1"/>
  <c r="AU79" i="2"/>
  <c r="AT79" i="2"/>
  <c r="AR79" i="2"/>
  <c r="AQ79" i="2"/>
  <c r="AL79" i="2" s="1"/>
  <c r="AN79" i="2"/>
  <c r="AM79" i="2"/>
  <c r="AK79" i="2"/>
  <c r="AJ79" i="2"/>
  <c r="AI79" i="2"/>
  <c r="AH79" i="2"/>
  <c r="AG79" i="2"/>
  <c r="AF79" i="2"/>
  <c r="AA79" i="2"/>
  <c r="AZ78" i="2"/>
  <c r="AY78" i="2"/>
  <c r="AV78" i="2"/>
  <c r="AC78" i="2" s="1"/>
  <c r="AU78" i="2"/>
  <c r="AT78" i="2"/>
  <c r="AR78" i="2"/>
  <c r="AQ78" i="2"/>
  <c r="AL78" i="2" s="1"/>
  <c r="AN78" i="2"/>
  <c r="AM78" i="2"/>
  <c r="AK78" i="2"/>
  <c r="AJ78" i="2"/>
  <c r="AI78" i="2"/>
  <c r="AH78" i="2"/>
  <c r="AG78" i="2"/>
  <c r="AF78" i="2"/>
  <c r="AA78" i="2"/>
  <c r="AZ77" i="2"/>
  <c r="AY77" i="2"/>
  <c r="AV77" i="2"/>
  <c r="AC77" i="2" s="1"/>
  <c r="AU77" i="2"/>
  <c r="AT77" i="2"/>
  <c r="AR77" i="2"/>
  <c r="AQ77" i="2"/>
  <c r="AL77" i="2" s="1"/>
  <c r="AN77" i="2"/>
  <c r="AM77" i="2"/>
  <c r="AK77" i="2"/>
  <c r="AJ77" i="2"/>
  <c r="AI77" i="2"/>
  <c r="AH77" i="2"/>
  <c r="AG77" i="2"/>
  <c r="AF77" i="2"/>
  <c r="AA77" i="2"/>
  <c r="AZ73" i="2"/>
  <c r="AY73" i="2"/>
  <c r="AV73" i="2"/>
  <c r="AC73" i="2" s="1"/>
  <c r="AU73" i="2"/>
  <c r="AT73" i="2"/>
  <c r="AR73" i="2"/>
  <c r="AQ73" i="2"/>
  <c r="AL73" i="2" s="1"/>
  <c r="AN73" i="2"/>
  <c r="AM73" i="2"/>
  <c r="AK73" i="2"/>
  <c r="AJ73" i="2"/>
  <c r="AI73" i="2"/>
  <c r="AH73" i="2"/>
  <c r="AG73" i="2"/>
  <c r="AF73" i="2"/>
  <c r="AA73" i="2"/>
  <c r="AZ72" i="2"/>
  <c r="AY72" i="2"/>
  <c r="AV72" i="2"/>
  <c r="AC72" i="2" s="1"/>
  <c r="AU72" i="2"/>
  <c r="AT72" i="2"/>
  <c r="AR72" i="2"/>
  <c r="AQ72" i="2"/>
  <c r="AL72" i="2" s="1"/>
  <c r="AN72" i="2"/>
  <c r="AM72" i="2"/>
  <c r="AK72" i="2"/>
  <c r="AJ72" i="2"/>
  <c r="AI72" i="2"/>
  <c r="AH72" i="2"/>
  <c r="AG72" i="2"/>
  <c r="AF72" i="2"/>
  <c r="AA72" i="2"/>
  <c r="AZ71" i="2"/>
  <c r="AY71" i="2"/>
  <c r="AV71" i="2"/>
  <c r="AC71" i="2" s="1"/>
  <c r="AU71" i="2"/>
  <c r="AT71" i="2"/>
  <c r="AR71" i="2"/>
  <c r="AQ71" i="2"/>
  <c r="AL71" i="2" s="1"/>
  <c r="AN71" i="2"/>
  <c r="AM71" i="2"/>
  <c r="AK71" i="2"/>
  <c r="AJ71" i="2"/>
  <c r="AI71" i="2"/>
  <c r="AH71" i="2"/>
  <c r="AG71" i="2"/>
  <c r="AF71" i="2"/>
  <c r="AA71" i="2"/>
  <c r="BA67" i="2"/>
  <c r="AD67" i="2" s="1"/>
  <c r="AZ67" i="2"/>
  <c r="AY67" i="2"/>
  <c r="AV67" i="2"/>
  <c r="AC67" i="2" s="1"/>
  <c r="AU67" i="2"/>
  <c r="AT67" i="2"/>
  <c r="AR67" i="2"/>
  <c r="AQ67" i="2"/>
  <c r="AL67" i="2" s="1"/>
  <c r="AN67" i="2"/>
  <c r="AM67" i="2"/>
  <c r="AK67" i="2"/>
  <c r="AJ67" i="2"/>
  <c r="AI67" i="2"/>
  <c r="AH67" i="2"/>
  <c r="AG67" i="2"/>
  <c r="AF67" i="2"/>
  <c r="AA67" i="2"/>
  <c r="BA66" i="2"/>
  <c r="AD66" i="2" s="1"/>
  <c r="AZ66" i="2"/>
  <c r="AY66" i="2"/>
  <c r="AV66" i="2"/>
  <c r="AC66" i="2" s="1"/>
  <c r="AU66" i="2"/>
  <c r="AT66" i="2"/>
  <c r="AR66" i="2"/>
  <c r="AQ66" i="2"/>
  <c r="AL66" i="2" s="1"/>
  <c r="AN66" i="2"/>
  <c r="AM66" i="2"/>
  <c r="AK66" i="2"/>
  <c r="AJ66" i="2"/>
  <c r="AI66" i="2"/>
  <c r="AH66" i="2"/>
  <c r="AG66" i="2"/>
  <c r="AF66" i="2"/>
  <c r="AA66" i="2"/>
  <c r="BA65" i="2"/>
  <c r="AD65" i="2" s="1"/>
  <c r="AZ65" i="2"/>
  <c r="AY65" i="2"/>
  <c r="AV65" i="2"/>
  <c r="AC65" i="2" s="1"/>
  <c r="AU65" i="2"/>
  <c r="AT65" i="2"/>
  <c r="AR65" i="2"/>
  <c r="AQ65" i="2"/>
  <c r="AL65" i="2" s="1"/>
  <c r="AN65" i="2"/>
  <c r="AM65" i="2"/>
  <c r="AK65" i="2"/>
  <c r="AJ65" i="2"/>
  <c r="AI65" i="2"/>
  <c r="AH65" i="2"/>
  <c r="AG65" i="2"/>
  <c r="AF65" i="2"/>
  <c r="AA65" i="2"/>
  <c r="BA64" i="2"/>
  <c r="AD64" i="2" s="1"/>
  <c r="AZ64" i="2"/>
  <c r="AY64" i="2"/>
  <c r="AV64" i="2"/>
  <c r="AC64" i="2" s="1"/>
  <c r="AU64" i="2"/>
  <c r="AT64" i="2"/>
  <c r="AR64" i="2"/>
  <c r="AQ64" i="2"/>
  <c r="AL64" i="2" s="1"/>
  <c r="AN64" i="2"/>
  <c r="AM64" i="2"/>
  <c r="AK64" i="2"/>
  <c r="AJ64" i="2"/>
  <c r="AI64" i="2"/>
  <c r="AH64" i="2"/>
  <c r="AG64" i="2"/>
  <c r="AF64" i="2"/>
  <c r="AA64" i="2"/>
  <c r="BA63" i="2"/>
  <c r="AD63" i="2" s="1"/>
  <c r="AZ63" i="2"/>
  <c r="AY63" i="2"/>
  <c r="AV63" i="2"/>
  <c r="AC63" i="2" s="1"/>
  <c r="AU63" i="2"/>
  <c r="AT63" i="2"/>
  <c r="AR63" i="2"/>
  <c r="AQ63" i="2"/>
  <c r="AL63" i="2" s="1"/>
  <c r="AN63" i="2"/>
  <c r="AM63" i="2"/>
  <c r="AK63" i="2"/>
  <c r="AJ63" i="2"/>
  <c r="AI63" i="2"/>
  <c r="AH63" i="2"/>
  <c r="AG63" i="2"/>
  <c r="AF63" i="2"/>
  <c r="AA63" i="2"/>
  <c r="BA62" i="2"/>
  <c r="AD62" i="2" s="1"/>
  <c r="AZ62" i="2"/>
  <c r="AY62" i="2"/>
  <c r="AV62" i="2"/>
  <c r="AC62" i="2" s="1"/>
  <c r="AU62" i="2"/>
  <c r="AT62" i="2"/>
  <c r="AR62" i="2"/>
  <c r="AQ62" i="2"/>
  <c r="AL62" i="2" s="1"/>
  <c r="AN62" i="2"/>
  <c r="AM62" i="2"/>
  <c r="AK62" i="2"/>
  <c r="AJ62" i="2"/>
  <c r="AI62" i="2"/>
  <c r="AH62" i="2"/>
  <c r="AG62" i="2"/>
  <c r="AF62" i="2"/>
  <c r="AA62" i="2"/>
  <c r="BA61" i="2"/>
  <c r="AD61" i="2" s="1"/>
  <c r="AZ61" i="2"/>
  <c r="AY61" i="2"/>
  <c r="AV61" i="2"/>
  <c r="AC61" i="2" s="1"/>
  <c r="AU61" i="2"/>
  <c r="AT61" i="2"/>
  <c r="AR61" i="2"/>
  <c r="AQ61" i="2"/>
  <c r="AL61" i="2" s="1"/>
  <c r="AN61" i="2"/>
  <c r="AM61" i="2"/>
  <c r="AK61" i="2"/>
  <c r="AJ61" i="2"/>
  <c r="AI61" i="2"/>
  <c r="AH61" i="2"/>
  <c r="AG61" i="2"/>
  <c r="AF61" i="2"/>
  <c r="AA61" i="2"/>
  <c r="BA60" i="2"/>
  <c r="AD60" i="2" s="1"/>
  <c r="AZ60" i="2"/>
  <c r="AY60" i="2"/>
  <c r="AV60" i="2"/>
  <c r="AC60" i="2" s="1"/>
  <c r="AU60" i="2"/>
  <c r="AT60" i="2"/>
  <c r="AR60" i="2"/>
  <c r="AQ60" i="2"/>
  <c r="AL60" i="2" s="1"/>
  <c r="AN60" i="2"/>
  <c r="AM60" i="2"/>
  <c r="AK60" i="2"/>
  <c r="AJ60" i="2"/>
  <c r="AI60" i="2"/>
  <c r="AH60" i="2"/>
  <c r="AG60" i="2"/>
  <c r="AF60" i="2"/>
  <c r="AA60" i="2"/>
  <c r="BA59" i="2"/>
  <c r="AD59" i="2" s="1"/>
  <c r="AZ59" i="2"/>
  <c r="AY59" i="2"/>
  <c r="AV59" i="2"/>
  <c r="AC59" i="2" s="1"/>
  <c r="AU59" i="2"/>
  <c r="AT59" i="2"/>
  <c r="AR59" i="2"/>
  <c r="AQ59" i="2"/>
  <c r="AL59" i="2" s="1"/>
  <c r="AN59" i="2"/>
  <c r="AM59" i="2"/>
  <c r="AK59" i="2"/>
  <c r="AJ59" i="2"/>
  <c r="AI59" i="2"/>
  <c r="AH59" i="2"/>
  <c r="AG59" i="2"/>
  <c r="AF59" i="2"/>
  <c r="AA59" i="2"/>
  <c r="BA58" i="2"/>
  <c r="AD58" i="2" s="1"/>
  <c r="AZ58" i="2"/>
  <c r="AY58" i="2"/>
  <c r="AV58" i="2"/>
  <c r="AC58" i="2" s="1"/>
  <c r="AU58" i="2"/>
  <c r="AT58" i="2"/>
  <c r="AR58" i="2"/>
  <c r="AQ58" i="2"/>
  <c r="AL58" i="2" s="1"/>
  <c r="AN58" i="2"/>
  <c r="AM58" i="2"/>
  <c r="AK58" i="2"/>
  <c r="AJ58" i="2"/>
  <c r="AI58" i="2"/>
  <c r="AH58" i="2"/>
  <c r="AG58" i="2"/>
  <c r="AF58" i="2"/>
  <c r="AA58" i="2"/>
  <c r="BA57" i="2"/>
  <c r="AD57" i="2" s="1"/>
  <c r="AZ57" i="2"/>
  <c r="AY57" i="2"/>
  <c r="AV57" i="2"/>
  <c r="AC57" i="2" s="1"/>
  <c r="AU57" i="2"/>
  <c r="AT57" i="2"/>
  <c r="AR57" i="2"/>
  <c r="AQ57" i="2"/>
  <c r="AL57" i="2" s="1"/>
  <c r="AN57" i="2"/>
  <c r="AM57" i="2"/>
  <c r="AK57" i="2"/>
  <c r="AJ57" i="2"/>
  <c r="AI57" i="2"/>
  <c r="AH57" i="2"/>
  <c r="AG57" i="2"/>
  <c r="AF57" i="2"/>
  <c r="AA57" i="2"/>
  <c r="BA56" i="2"/>
  <c r="AD56" i="2" s="1"/>
  <c r="AZ56" i="2"/>
  <c r="AY56" i="2"/>
  <c r="AV56" i="2"/>
  <c r="AC56" i="2" s="1"/>
  <c r="AU56" i="2"/>
  <c r="AT56" i="2"/>
  <c r="AR56" i="2"/>
  <c r="AQ56" i="2"/>
  <c r="AL56" i="2" s="1"/>
  <c r="AN56" i="2"/>
  <c r="AM56" i="2"/>
  <c r="AK56" i="2"/>
  <c r="AJ56" i="2"/>
  <c r="AI56" i="2"/>
  <c r="AH56" i="2"/>
  <c r="AG56" i="2"/>
  <c r="AF56" i="2"/>
  <c r="AA56" i="2"/>
  <c r="BA55" i="2"/>
  <c r="AD55" i="2" s="1"/>
  <c r="AZ55" i="2"/>
  <c r="AY55" i="2"/>
  <c r="AV55" i="2"/>
  <c r="AC55" i="2" s="1"/>
  <c r="AU55" i="2"/>
  <c r="AT55" i="2"/>
  <c r="AR55" i="2"/>
  <c r="AQ55" i="2"/>
  <c r="AL55" i="2" s="1"/>
  <c r="AN55" i="2"/>
  <c r="AM55" i="2"/>
  <c r="AK55" i="2"/>
  <c r="AJ55" i="2"/>
  <c r="AI55" i="2"/>
  <c r="AH55" i="2"/>
  <c r="AG55" i="2"/>
  <c r="AF55" i="2"/>
  <c r="AA55" i="2"/>
  <c r="BA51" i="2"/>
  <c r="AD51" i="2" s="1"/>
  <c r="AZ51" i="2"/>
  <c r="AY51" i="2"/>
  <c r="AV51" i="2"/>
  <c r="AC51" i="2" s="1"/>
  <c r="AU51" i="2"/>
  <c r="AT51" i="2"/>
  <c r="AR51" i="2"/>
  <c r="AQ51" i="2"/>
  <c r="AL51" i="2" s="1"/>
  <c r="AN51" i="2"/>
  <c r="AM51" i="2"/>
  <c r="AK51" i="2"/>
  <c r="AJ51" i="2"/>
  <c r="AI51" i="2"/>
  <c r="AH51" i="2"/>
  <c r="AG51" i="2"/>
  <c r="AF51" i="2"/>
  <c r="AA51" i="2"/>
  <c r="AZ50" i="2"/>
  <c r="AY50" i="2"/>
  <c r="AV50" i="2"/>
  <c r="AC50" i="2" s="1"/>
  <c r="AU50" i="2"/>
  <c r="AT50" i="2"/>
  <c r="AR50" i="2"/>
  <c r="AQ50" i="2"/>
  <c r="AL50" i="2" s="1"/>
  <c r="AN50" i="2"/>
  <c r="AM50" i="2"/>
  <c r="AK50" i="2"/>
  <c r="AJ50" i="2"/>
  <c r="AI50" i="2"/>
  <c r="AH50" i="2"/>
  <c r="AG50" i="2"/>
  <c r="AF50" i="2"/>
  <c r="AA50" i="2"/>
  <c r="AZ46" i="2"/>
  <c r="AY46" i="2"/>
  <c r="AV46" i="2"/>
  <c r="AC46" i="2" s="1"/>
  <c r="AU46" i="2"/>
  <c r="AT46" i="2"/>
  <c r="AR46" i="2"/>
  <c r="AQ46" i="2"/>
  <c r="AL46" i="2" s="1"/>
  <c r="AN46" i="2"/>
  <c r="AM46" i="2"/>
  <c r="AK46" i="2"/>
  <c r="AJ46" i="2"/>
  <c r="AI46" i="2"/>
  <c r="AH46" i="2"/>
  <c r="AG46" i="2"/>
  <c r="AF46" i="2"/>
  <c r="AA46" i="2"/>
  <c r="AZ42" i="2"/>
  <c r="AY42" i="2"/>
  <c r="AV42" i="2"/>
  <c r="AC42" i="2" s="1"/>
  <c r="AU42" i="2"/>
  <c r="AT42" i="2"/>
  <c r="AR42" i="2"/>
  <c r="AQ42" i="2"/>
  <c r="AL42" i="2" s="1"/>
  <c r="AN42" i="2"/>
  <c r="AM42" i="2"/>
  <c r="AK42" i="2"/>
  <c r="AJ42" i="2"/>
  <c r="AI42" i="2"/>
  <c r="AH42" i="2"/>
  <c r="AG42" i="2"/>
  <c r="AF42" i="2"/>
  <c r="AA42" i="2"/>
  <c r="BA41" i="2"/>
  <c r="AD41" i="2" s="1"/>
  <c r="AZ41" i="2"/>
  <c r="AY41" i="2"/>
  <c r="AV41" i="2"/>
  <c r="AC41" i="2" s="1"/>
  <c r="AU41" i="2"/>
  <c r="AT41" i="2"/>
  <c r="AR41" i="2"/>
  <c r="AQ41" i="2"/>
  <c r="AL41" i="2" s="1"/>
  <c r="AN41" i="2"/>
  <c r="AM41" i="2"/>
  <c r="AK41" i="2"/>
  <c r="AJ41" i="2"/>
  <c r="AI41" i="2"/>
  <c r="AH41" i="2"/>
  <c r="AG41" i="2"/>
  <c r="AF41" i="2"/>
  <c r="AA41" i="2"/>
  <c r="AZ37" i="2"/>
  <c r="AY37" i="2"/>
  <c r="AV37" i="2"/>
  <c r="AC37" i="2" s="1"/>
  <c r="AU37" i="2"/>
  <c r="AT37" i="2"/>
  <c r="AR37" i="2"/>
  <c r="AQ37" i="2"/>
  <c r="AL37" i="2" s="1"/>
  <c r="AN37" i="2"/>
  <c r="AM37" i="2"/>
  <c r="AK37" i="2"/>
  <c r="AJ37" i="2"/>
  <c r="AI37" i="2"/>
  <c r="AH37" i="2"/>
  <c r="AG37" i="2"/>
  <c r="AF37" i="2"/>
  <c r="AA37" i="2"/>
  <c r="AZ33" i="2"/>
  <c r="AY33" i="2"/>
  <c r="AV33" i="2"/>
  <c r="AC33" i="2" s="1"/>
  <c r="AU33" i="2"/>
  <c r="AT33" i="2"/>
  <c r="AR33" i="2"/>
  <c r="AQ33" i="2"/>
  <c r="AL33" i="2" s="1"/>
  <c r="AN33" i="2"/>
  <c r="AM33" i="2"/>
  <c r="AK33" i="2"/>
  <c r="AJ33" i="2"/>
  <c r="AI33" i="2"/>
  <c r="AH33" i="2"/>
  <c r="AG33" i="2"/>
  <c r="AF33" i="2"/>
  <c r="AA33" i="2"/>
  <c r="AZ32" i="2"/>
  <c r="AY32" i="2"/>
  <c r="AV32" i="2"/>
  <c r="AC32" i="2" s="1"/>
  <c r="AU32" i="2"/>
  <c r="AT32" i="2"/>
  <c r="AR32" i="2"/>
  <c r="AQ32" i="2"/>
  <c r="AL32" i="2" s="1"/>
  <c r="AN32" i="2"/>
  <c r="AM32" i="2"/>
  <c r="AK32" i="2"/>
  <c r="AJ32" i="2"/>
  <c r="AI32" i="2"/>
  <c r="AH32" i="2"/>
  <c r="AG32" i="2"/>
  <c r="AF32" i="2"/>
  <c r="AA32" i="2"/>
  <c r="AZ31" i="2"/>
  <c r="AY31" i="2"/>
  <c r="AV31" i="2"/>
  <c r="AC31" i="2" s="1"/>
  <c r="AU31" i="2"/>
  <c r="AT31" i="2"/>
  <c r="AR31" i="2"/>
  <c r="AQ31" i="2"/>
  <c r="AL31" i="2" s="1"/>
  <c r="AN31" i="2"/>
  <c r="AM31" i="2"/>
  <c r="AK31" i="2"/>
  <c r="AJ31" i="2"/>
  <c r="AI31" i="2"/>
  <c r="AH31" i="2"/>
  <c r="AG31" i="2"/>
  <c r="AF31" i="2"/>
  <c r="AA31" i="2"/>
  <c r="AZ30" i="2"/>
  <c r="AY30" i="2"/>
  <c r="AV30" i="2"/>
  <c r="AC30" i="2" s="1"/>
  <c r="AU30" i="2"/>
  <c r="AT30" i="2"/>
  <c r="AR30" i="2"/>
  <c r="AQ30" i="2"/>
  <c r="AL30" i="2" s="1"/>
  <c r="AN30" i="2"/>
  <c r="AM30" i="2"/>
  <c r="AK30" i="2"/>
  <c r="AJ30" i="2"/>
  <c r="AI30" i="2"/>
  <c r="AH30" i="2"/>
  <c r="AG30" i="2"/>
  <c r="AF30" i="2"/>
  <c r="AA30" i="2"/>
  <c r="AZ29" i="2"/>
  <c r="AY29" i="2"/>
  <c r="AV29" i="2"/>
  <c r="AC29" i="2" s="1"/>
  <c r="AU29" i="2"/>
  <c r="AT29" i="2"/>
  <c r="AR29" i="2"/>
  <c r="AQ29" i="2"/>
  <c r="AL29" i="2" s="1"/>
  <c r="AN29" i="2"/>
  <c r="AM29" i="2"/>
  <c r="AK29" i="2"/>
  <c r="AJ29" i="2"/>
  <c r="AI29" i="2"/>
  <c r="AH29" i="2"/>
  <c r="AG29" i="2"/>
  <c r="AF29" i="2"/>
  <c r="AA29" i="2"/>
  <c r="AZ28" i="2"/>
  <c r="AY28" i="2"/>
  <c r="AV28" i="2"/>
  <c r="AC28" i="2" s="1"/>
  <c r="AU28" i="2"/>
  <c r="AT28" i="2"/>
  <c r="AR28" i="2"/>
  <c r="AQ28" i="2"/>
  <c r="AL28" i="2" s="1"/>
  <c r="AN28" i="2"/>
  <c r="AM28" i="2"/>
  <c r="AK28" i="2"/>
  <c r="AJ28" i="2"/>
  <c r="AI28" i="2"/>
  <c r="AH28" i="2"/>
  <c r="AG28" i="2"/>
  <c r="AF28" i="2"/>
  <c r="AA28" i="2"/>
  <c r="AZ27" i="2"/>
  <c r="AY27" i="2"/>
  <c r="AV27" i="2"/>
  <c r="AC27" i="2" s="1"/>
  <c r="AU27" i="2"/>
  <c r="AT27" i="2"/>
  <c r="AR27" i="2"/>
  <c r="AQ27" i="2"/>
  <c r="AL27" i="2" s="1"/>
  <c r="AN27" i="2"/>
  <c r="AM27" i="2"/>
  <c r="AK27" i="2"/>
  <c r="AJ27" i="2"/>
  <c r="AI27" i="2"/>
  <c r="AH27" i="2"/>
  <c r="AG27" i="2"/>
  <c r="AF27" i="2"/>
  <c r="AA27" i="2"/>
  <c r="AZ22" i="2"/>
  <c r="BA22" i="2" s="1"/>
  <c r="AD22" i="2" s="1"/>
  <c r="AY22" i="2"/>
  <c r="AV22" i="2"/>
  <c r="AC22" i="2" s="1"/>
  <c r="AU22" i="2"/>
  <c r="AT22" i="2"/>
  <c r="AR22" i="2"/>
  <c r="AQ22" i="2"/>
  <c r="AL22" i="2" s="1"/>
  <c r="AN22" i="2"/>
  <c r="AM22" i="2"/>
  <c r="AK22" i="2"/>
  <c r="AA22" i="2" s="1"/>
  <c r="AJ22" i="2"/>
  <c r="AI22" i="2"/>
  <c r="AH22" i="2"/>
  <c r="AG22" i="2"/>
  <c r="AF22" i="2"/>
  <c r="AZ21" i="2"/>
  <c r="BA21" i="2" s="1"/>
  <c r="AD21" i="2" s="1"/>
  <c r="AY21" i="2"/>
  <c r="AV21" i="2"/>
  <c r="AC21" i="2" s="1"/>
  <c r="AU21" i="2"/>
  <c r="AT21" i="2"/>
  <c r="AR21" i="2"/>
  <c r="AQ21" i="2"/>
  <c r="AL21" i="2" s="1"/>
  <c r="AN21" i="2"/>
  <c r="AM21" i="2"/>
  <c r="AK21" i="2"/>
  <c r="AA21" i="2" s="1"/>
  <c r="AJ21" i="2"/>
  <c r="AI21" i="2"/>
  <c r="AH21" i="2"/>
  <c r="AG21" i="2"/>
  <c r="AF21" i="2"/>
  <c r="AZ20" i="2"/>
  <c r="BA20" i="2" s="1"/>
  <c r="AD20" i="2" s="1"/>
  <c r="AY20" i="2"/>
  <c r="AV20" i="2"/>
  <c r="AC20" i="2" s="1"/>
  <c r="AU20" i="2"/>
  <c r="AT20" i="2"/>
  <c r="AR20" i="2"/>
  <c r="AQ20" i="2"/>
  <c r="AL20" i="2" s="1"/>
  <c r="AN20" i="2"/>
  <c r="AM20" i="2"/>
  <c r="AK20" i="2"/>
  <c r="AA20" i="2" s="1"/>
  <c r="AJ20" i="2"/>
  <c r="AI20" i="2"/>
  <c r="AH20" i="2"/>
  <c r="AG20" i="2"/>
  <c r="AF20" i="2"/>
  <c r="AZ19" i="2"/>
  <c r="BA19" i="2" s="1"/>
  <c r="AD19" i="2" s="1"/>
  <c r="AY19" i="2"/>
  <c r="AV19" i="2"/>
  <c r="AC19" i="2" s="1"/>
  <c r="AU19" i="2"/>
  <c r="AT19" i="2"/>
  <c r="AR19" i="2"/>
  <c r="AQ19" i="2"/>
  <c r="AL19" i="2" s="1"/>
  <c r="AN19" i="2"/>
  <c r="AM19" i="2"/>
  <c r="AK19" i="2"/>
  <c r="AA19" i="2" s="1"/>
  <c r="AJ19" i="2"/>
  <c r="AI19" i="2"/>
  <c r="AH19" i="2"/>
  <c r="AG19" i="2"/>
  <c r="AF19" i="2"/>
  <c r="AZ18" i="2"/>
  <c r="BA18" i="2" s="1"/>
  <c r="AD18" i="2" s="1"/>
  <c r="AY18" i="2"/>
  <c r="AV18" i="2"/>
  <c r="AC18" i="2" s="1"/>
  <c r="AU18" i="2"/>
  <c r="AT18" i="2"/>
  <c r="AR18" i="2"/>
  <c r="AQ18" i="2"/>
  <c r="AL18" i="2" s="1"/>
  <c r="AN18" i="2"/>
  <c r="AM18" i="2"/>
  <c r="AK18" i="2"/>
  <c r="AA18" i="2" s="1"/>
  <c r="AJ18" i="2"/>
  <c r="AI18" i="2"/>
  <c r="AH18" i="2"/>
  <c r="AG18" i="2"/>
  <c r="AF18" i="2"/>
  <c r="AZ17" i="2"/>
  <c r="BA17" i="2" s="1"/>
  <c r="AD17" i="2" s="1"/>
  <c r="AY17" i="2"/>
  <c r="AV17" i="2"/>
  <c r="AC17" i="2" s="1"/>
  <c r="AU17" i="2"/>
  <c r="AT17" i="2"/>
  <c r="AR17" i="2"/>
  <c r="AQ17" i="2"/>
  <c r="AL17" i="2" s="1"/>
  <c r="AN17" i="2"/>
  <c r="AM17" i="2"/>
  <c r="AK17" i="2"/>
  <c r="AA17" i="2" s="1"/>
  <c r="AJ17" i="2"/>
  <c r="AI17" i="2"/>
  <c r="AH17" i="2"/>
  <c r="AG17" i="2"/>
  <c r="AF17" i="2"/>
  <c r="AZ16" i="2"/>
  <c r="BA16" i="2" s="1"/>
  <c r="AD16" i="2" s="1"/>
  <c r="AY16" i="2"/>
  <c r="AV16" i="2"/>
  <c r="AC16" i="2" s="1"/>
  <c r="AU16" i="2"/>
  <c r="AT16" i="2"/>
  <c r="AR16" i="2"/>
  <c r="AQ16" i="2"/>
  <c r="AL16" i="2" s="1"/>
  <c r="AN16" i="2"/>
  <c r="AM16" i="2"/>
  <c r="AK16" i="2"/>
  <c r="AA16" i="2" s="1"/>
  <c r="AJ16" i="2"/>
  <c r="AI16" i="2"/>
  <c r="AH16" i="2"/>
  <c r="AG16" i="2"/>
  <c r="AF16" i="2"/>
  <c r="AZ15" i="2"/>
  <c r="BA15" i="2" s="1"/>
  <c r="AD15" i="2" s="1"/>
  <c r="AY15" i="2"/>
  <c r="AV15" i="2"/>
  <c r="AC15" i="2" s="1"/>
  <c r="AU15" i="2"/>
  <c r="AT15" i="2"/>
  <c r="AR15" i="2"/>
  <c r="AQ15" i="2"/>
  <c r="AL15" i="2" s="1"/>
  <c r="AN15" i="2"/>
  <c r="AM15" i="2"/>
  <c r="AK15" i="2"/>
  <c r="AA15" i="2" s="1"/>
  <c r="AJ15" i="2"/>
  <c r="AI15" i="2"/>
  <c r="AH15" i="2"/>
  <c r="AG15" i="2"/>
  <c r="AF15" i="2"/>
  <c r="AZ14" i="2"/>
  <c r="BA14" i="2" s="1"/>
  <c r="AD14" i="2" s="1"/>
  <c r="AY14" i="2"/>
  <c r="AV14" i="2"/>
  <c r="AC14" i="2" s="1"/>
  <c r="AU14" i="2"/>
  <c r="AT14" i="2"/>
  <c r="AR14" i="2"/>
  <c r="AQ14" i="2"/>
  <c r="AL14" i="2" s="1"/>
  <c r="AN14" i="2"/>
  <c r="AM14" i="2"/>
  <c r="AK14" i="2"/>
  <c r="AA14" i="2" s="1"/>
  <c r="AJ14" i="2"/>
  <c r="AI14" i="2"/>
  <c r="AH14" i="2"/>
  <c r="AG14" i="2"/>
  <c r="AF14" i="2"/>
  <c r="AZ13" i="2"/>
  <c r="BA13" i="2" s="1"/>
  <c r="AD13" i="2" s="1"/>
  <c r="AY13" i="2"/>
  <c r="AV13" i="2"/>
  <c r="AC13" i="2" s="1"/>
  <c r="AU13" i="2"/>
  <c r="AT13" i="2"/>
  <c r="AR13" i="2"/>
  <c r="AQ13" i="2"/>
  <c r="AL13" i="2" s="1"/>
  <c r="AN13" i="2"/>
  <c r="AM13" i="2"/>
  <c r="AK13" i="2"/>
  <c r="AA13" i="2" s="1"/>
  <c r="AJ13" i="2"/>
  <c r="AI13" i="2"/>
  <c r="AH13" i="2"/>
  <c r="AG13" i="2"/>
  <c r="AF13" i="2"/>
  <c r="AZ12" i="2"/>
  <c r="BA12" i="2" s="1"/>
  <c r="AD12" i="2" s="1"/>
  <c r="AY12" i="2"/>
  <c r="AV12" i="2"/>
  <c r="AC12" i="2" s="1"/>
  <c r="AU12" i="2"/>
  <c r="AT12" i="2"/>
  <c r="AR12" i="2"/>
  <c r="AQ12" i="2"/>
  <c r="AL12" i="2" s="1"/>
  <c r="AN12" i="2"/>
  <c r="AM12" i="2"/>
  <c r="AK12" i="2"/>
  <c r="AA12" i="2" s="1"/>
  <c r="AJ12" i="2"/>
  <c r="AI12" i="2"/>
  <c r="AH12" i="2"/>
  <c r="AG12" i="2"/>
  <c r="AF12" i="2"/>
  <c r="AZ11" i="2"/>
  <c r="AY11" i="2"/>
  <c r="AU11" i="2"/>
  <c r="AR11" i="2"/>
  <c r="AK11" i="2"/>
  <c r="AJ11" i="2"/>
  <c r="AI11" i="2"/>
  <c r="AH11" i="2"/>
  <c r="AG11" i="2"/>
  <c r="AF11" i="2"/>
  <c r="AA11" i="2"/>
  <c r="AQ9" i="1"/>
  <c r="AL9" i="1"/>
  <c r="AE9" i="1"/>
  <c r="AC9" i="1"/>
  <c r="AA9" i="1"/>
  <c r="Y9" i="1"/>
  <c r="AR10" i="48"/>
  <c r="AR9" i="48"/>
  <c r="AQ10" i="48"/>
  <c r="AQ9" i="48"/>
  <c r="AL10" i="48"/>
  <c r="AL9" i="48"/>
  <c r="AK10" i="48"/>
  <c r="AK9" i="48"/>
  <c r="AF10" i="48"/>
  <c r="AF9" i="48"/>
  <c r="AE10" i="48"/>
  <c r="AE9" i="48"/>
  <c r="AC10" i="48"/>
  <c r="AC9" i="48"/>
  <c r="AA10" i="48"/>
  <c r="AA9" i="48"/>
  <c r="Y10" i="48"/>
  <c r="Y9" i="48"/>
  <c r="AB9" i="1"/>
  <c r="AD9" i="1"/>
  <c r="AI23" i="2"/>
  <c r="C23" i="2"/>
  <c r="B23" i="2"/>
  <c r="R10" i="48"/>
  <c r="D10" i="41"/>
  <c r="C10" i="41"/>
  <c r="B10" i="41"/>
  <c r="AP13" i="41"/>
  <c r="AG13" i="41"/>
  <c r="C3" i="259"/>
  <c r="F4" i="259"/>
  <c r="AM10" i="43"/>
  <c r="AK10" i="43"/>
  <c r="AA10" i="43" s="1"/>
  <c r="AI10" i="43"/>
  <c r="AI16" i="43" s="1"/>
  <c r="AG10" i="43"/>
  <c r="AZ10" i="43"/>
  <c r="BA10" i="43" s="1"/>
  <c r="AY10" i="43"/>
  <c r="AR10" i="43"/>
  <c r="AQ10" i="43"/>
  <c r="AL10" i="43" s="1"/>
  <c r="AN10" i="43"/>
  <c r="AJ10" i="43"/>
  <c r="AH10" i="43"/>
  <c r="AF10" i="43"/>
  <c r="AS10" i="43"/>
  <c r="AT10" i="43" s="1"/>
  <c r="C16" i="43"/>
  <c r="B16" i="43"/>
  <c r="C13" i="43"/>
  <c r="B13" i="43"/>
  <c r="AX10" i="40"/>
  <c r="BG10" i="40"/>
  <c r="BB10" i="40"/>
  <c r="AZ10" i="40"/>
  <c r="AQ10" i="40"/>
  <c r="AM10" i="40"/>
  <c r="AO10" i="40"/>
  <c r="C19" i="40"/>
  <c r="B19" i="40"/>
  <c r="I12" i="51"/>
  <c r="I11" i="51"/>
  <c r="I10" i="51"/>
  <c r="I4" i="51"/>
  <c r="I3" i="51"/>
  <c r="I2" i="51"/>
  <c r="AA12" i="1" l="1"/>
  <c r="AB12" i="1"/>
  <c r="BA227" i="2"/>
  <c r="AD227" i="2" s="1"/>
  <c r="BA228" i="2"/>
  <c r="AD228" i="2" s="1"/>
  <c r="BA229" i="2"/>
  <c r="AD229" i="2" s="1"/>
  <c r="BA230" i="2"/>
  <c r="AD230" i="2" s="1"/>
  <c r="BA231" i="2"/>
  <c r="AD231" i="2" s="1"/>
  <c r="BA232" i="2"/>
  <c r="AD232" i="2" s="1"/>
  <c r="BA233" i="2"/>
  <c r="AD233" i="2" s="1"/>
  <c r="BA234" i="2"/>
  <c r="AD234" i="2" s="1"/>
  <c r="BA235" i="2"/>
  <c r="AD235" i="2" s="1"/>
  <c r="BA236" i="2"/>
  <c r="AD236" i="2" s="1"/>
  <c r="BA223" i="2"/>
  <c r="AD223" i="2" s="1"/>
  <c r="BA219" i="2"/>
  <c r="AD219" i="2" s="1"/>
  <c r="BA205" i="2"/>
  <c r="AD205" i="2" s="1"/>
  <c r="BA206" i="2"/>
  <c r="AD206" i="2" s="1"/>
  <c r="BA207" i="2"/>
  <c r="AD207" i="2" s="1"/>
  <c r="BA198" i="2"/>
  <c r="AD198" i="2" s="1"/>
  <c r="BA199" i="2"/>
  <c r="AD199" i="2" s="1"/>
  <c r="BA200" i="2"/>
  <c r="AD200" i="2" s="1"/>
  <c r="BA201" i="2"/>
  <c r="AD201" i="2" s="1"/>
  <c r="BA193" i="2"/>
  <c r="AD193" i="2" s="1"/>
  <c r="BA194" i="2"/>
  <c r="AD194" i="2" s="1"/>
  <c r="BA179" i="2"/>
  <c r="AD179" i="2" s="1"/>
  <c r="BA180" i="2"/>
  <c r="AD180" i="2" s="1"/>
  <c r="BA181" i="2"/>
  <c r="AD181" i="2" s="1"/>
  <c r="BA182" i="2"/>
  <c r="AD182" i="2" s="1"/>
  <c r="BA183" i="2"/>
  <c r="AD183" i="2" s="1"/>
  <c r="BA162" i="2"/>
  <c r="AD162" i="2" s="1"/>
  <c r="BA163" i="2"/>
  <c r="AD163" i="2" s="1"/>
  <c r="BA164" i="2"/>
  <c r="AD164" i="2" s="1"/>
  <c r="BA165" i="2"/>
  <c r="AD165" i="2" s="1"/>
  <c r="BA166" i="2"/>
  <c r="AD166" i="2" s="1"/>
  <c r="BA167" i="2"/>
  <c r="AD167" i="2" s="1"/>
  <c r="BA168" i="2"/>
  <c r="AD168" i="2" s="1"/>
  <c r="BA169" i="2"/>
  <c r="AD169" i="2" s="1"/>
  <c r="BA170" i="2"/>
  <c r="AD170" i="2" s="1"/>
  <c r="BA171" i="2"/>
  <c r="AD171" i="2" s="1"/>
  <c r="BA172" i="2"/>
  <c r="AD172" i="2" s="1"/>
  <c r="BA173" i="2"/>
  <c r="AD173" i="2" s="1"/>
  <c r="BA174" i="2"/>
  <c r="AD174" i="2" s="1"/>
  <c r="BA175" i="2"/>
  <c r="AD175" i="2" s="1"/>
  <c r="BA147" i="2"/>
  <c r="AD147" i="2" s="1"/>
  <c r="BA148" i="2"/>
  <c r="AD148" i="2" s="1"/>
  <c r="BA149" i="2"/>
  <c r="AD149" i="2" s="1"/>
  <c r="BA150" i="2"/>
  <c r="AD150" i="2" s="1"/>
  <c r="BA151" i="2"/>
  <c r="AD151" i="2" s="1"/>
  <c r="BA143" i="2"/>
  <c r="AD143" i="2" s="1"/>
  <c r="BA132" i="2"/>
  <c r="AD132" i="2" s="1"/>
  <c r="BA133" i="2"/>
  <c r="AD133" i="2" s="1"/>
  <c r="BA134" i="2"/>
  <c r="AD134" i="2" s="1"/>
  <c r="BA135" i="2"/>
  <c r="AD135" i="2" s="1"/>
  <c r="BA127" i="2"/>
  <c r="AD127" i="2" s="1"/>
  <c r="BA128" i="2"/>
  <c r="AD128" i="2" s="1"/>
  <c r="BA117" i="2"/>
  <c r="AD117" i="2" s="1"/>
  <c r="BA118" i="2"/>
  <c r="AD118" i="2" s="1"/>
  <c r="BA119" i="2"/>
  <c r="AD119" i="2" s="1"/>
  <c r="BA120" i="2"/>
  <c r="AD120" i="2" s="1"/>
  <c r="BA121" i="2"/>
  <c r="AD121" i="2" s="1"/>
  <c r="BA122" i="2"/>
  <c r="AD122" i="2" s="1"/>
  <c r="BA123" i="2"/>
  <c r="AD123" i="2" s="1"/>
  <c r="BA111" i="2"/>
  <c r="AD111" i="2" s="1"/>
  <c r="BA112" i="2"/>
  <c r="AD112" i="2" s="1"/>
  <c r="BA113" i="2"/>
  <c r="AD113" i="2" s="1"/>
  <c r="BA107" i="2"/>
  <c r="AD107" i="2" s="1"/>
  <c r="BA84" i="2"/>
  <c r="AD84" i="2" s="1"/>
  <c r="BA85" i="2"/>
  <c r="AD85" i="2" s="1"/>
  <c r="BA86" i="2"/>
  <c r="AD86" i="2" s="1"/>
  <c r="BA87" i="2"/>
  <c r="AD87" i="2" s="1"/>
  <c r="BA88" i="2"/>
  <c r="AD88" i="2" s="1"/>
  <c r="BA89" i="2"/>
  <c r="AD89" i="2" s="1"/>
  <c r="BA90" i="2"/>
  <c r="AD90" i="2" s="1"/>
  <c r="BA91" i="2"/>
  <c r="AD91" i="2" s="1"/>
  <c r="BA92" i="2"/>
  <c r="AD92" i="2" s="1"/>
  <c r="BA93" i="2"/>
  <c r="AD93" i="2" s="1"/>
  <c r="BA94" i="2"/>
  <c r="AD94" i="2" s="1"/>
  <c r="BA95" i="2"/>
  <c r="AD95" i="2" s="1"/>
  <c r="BA96" i="2"/>
  <c r="AD96" i="2" s="1"/>
  <c r="BA97" i="2"/>
  <c r="AD97" i="2" s="1"/>
  <c r="BA98" i="2"/>
  <c r="AD98" i="2" s="1"/>
  <c r="BA99" i="2"/>
  <c r="AD99" i="2" s="1"/>
  <c r="BA100" i="2"/>
  <c r="AD100" i="2" s="1"/>
  <c r="BA101" i="2"/>
  <c r="AD101" i="2" s="1"/>
  <c r="BA102" i="2"/>
  <c r="AD102" i="2" s="1"/>
  <c r="BA103" i="2"/>
  <c r="AD103" i="2" s="1"/>
  <c r="BA77" i="2"/>
  <c r="AD77" i="2" s="1"/>
  <c r="BA78" i="2"/>
  <c r="AD78" i="2" s="1"/>
  <c r="BA79" i="2"/>
  <c r="AD79" i="2" s="1"/>
  <c r="BA80" i="2"/>
  <c r="AD80" i="2" s="1"/>
  <c r="BA71" i="2"/>
  <c r="AD71" i="2" s="1"/>
  <c r="BA72" i="2"/>
  <c r="AD72" i="2" s="1"/>
  <c r="BA73" i="2"/>
  <c r="AD73" i="2" s="1"/>
  <c r="BA50" i="2"/>
  <c r="AD50" i="2" s="1"/>
  <c r="BA46" i="2"/>
  <c r="AD46" i="2" s="1"/>
  <c r="BA42" i="2"/>
  <c r="AD42" i="2" s="1"/>
  <c r="BA37" i="2"/>
  <c r="AD37" i="2" s="1"/>
  <c r="BA27" i="2"/>
  <c r="AD27" i="2" s="1"/>
  <c r="BA28" i="2"/>
  <c r="AD28" i="2" s="1"/>
  <c r="BA29" i="2"/>
  <c r="AD29" i="2" s="1"/>
  <c r="BA30" i="2"/>
  <c r="AD30" i="2" s="1"/>
  <c r="BA31" i="2"/>
  <c r="AD31" i="2" s="1"/>
  <c r="BA32" i="2"/>
  <c r="AD32" i="2" s="1"/>
  <c r="BA33" i="2"/>
  <c r="AD33" i="2" s="1"/>
  <c r="L10" i="48"/>
  <c r="AI239" i="2"/>
  <c r="C239" i="2" s="1"/>
  <c r="AU10" i="43"/>
  <c r="AV10" i="43" s="1"/>
  <c r="AC10" i="43" s="1"/>
  <c r="C11" i="43"/>
  <c r="I26" i="263"/>
  <c r="H29" i="263"/>
  <c r="I27" i="263"/>
  <c r="I37" i="263" l="1"/>
  <c r="BO14" i="2" l="1"/>
  <c r="BM14" i="2"/>
  <c r="BK14" i="2"/>
  <c r="J14" i="2"/>
  <c r="H14" i="2" l="1"/>
  <c r="F32" i="51"/>
  <c r="G32" i="51"/>
  <c r="E65" i="1" l="1"/>
  <c r="E63" i="1"/>
  <c r="S13" i="43" l="1"/>
  <c r="G43" i="263" l="1"/>
  <c r="E3" i="1" l="1"/>
  <c r="AQ11" i="2"/>
  <c r="AL11" i="2" s="1"/>
  <c r="F3" i="1"/>
  <c r="L49" i="1"/>
  <c r="L50" i="1"/>
  <c r="C4" i="263"/>
  <c r="C3" i="263"/>
  <c r="K4" i="263"/>
  <c r="K3" i="263"/>
  <c r="I38" i="263"/>
  <c r="E24" i="263" s="1"/>
  <c r="E29" i="263" s="1"/>
  <c r="I39" i="263"/>
  <c r="F24" i="263" s="1"/>
  <c r="F29" i="263" s="1"/>
  <c r="I40" i="263"/>
  <c r="G24" i="263" s="1"/>
  <c r="G29" i="263" s="1"/>
  <c r="I41" i="263"/>
  <c r="D24" i="263" s="1"/>
  <c r="D29" i="263" s="1"/>
  <c r="H43" i="263"/>
  <c r="F43" i="263"/>
  <c r="I13" i="263"/>
  <c r="K13" i="263" s="1"/>
  <c r="K14" i="263"/>
  <c r="I15" i="263"/>
  <c r="K15" i="263" s="1"/>
  <c r="K16" i="263"/>
  <c r="I17" i="263"/>
  <c r="K17" i="263" s="1"/>
  <c r="K18" i="263"/>
  <c r="X17" i="1"/>
  <c r="H31" i="44"/>
  <c r="G31" i="44"/>
  <c r="F3" i="48"/>
  <c r="E3" i="48"/>
  <c r="BP13" i="41"/>
  <c r="BO13" i="41"/>
  <c r="BN13" i="41"/>
  <c r="BM13" i="41"/>
  <c r="BL13" i="41"/>
  <c r="BK13" i="41"/>
  <c r="BJ13" i="41"/>
  <c r="AU10" i="48" s="1"/>
  <c r="BH13" i="41"/>
  <c r="AT10" i="48" s="1"/>
  <c r="BF13" i="41"/>
  <c r="BE13" i="41"/>
  <c r="BC13" i="41"/>
  <c r="BA13" i="41"/>
  <c r="AY13" i="41"/>
  <c r="AW13" i="41"/>
  <c r="AI10" i="48" s="1"/>
  <c r="AU13" i="41"/>
  <c r="AH10" i="48" s="1"/>
  <c r="AT13" i="41"/>
  <c r="AG10" i="48" s="1"/>
  <c r="AS13" i="41"/>
  <c r="AJ10" i="48" s="1"/>
  <c r="AR13" i="41"/>
  <c r="AN13" i="41"/>
  <c r="AL13" i="41"/>
  <c r="B13" i="41" s="1"/>
  <c r="AK13" i="41"/>
  <c r="AJ13" i="41"/>
  <c r="U10" i="48" s="1"/>
  <c r="AI13" i="41"/>
  <c r="T10" i="48" s="1"/>
  <c r="Q10" i="48" s="1"/>
  <c r="AH13" i="41"/>
  <c r="S10" i="48" s="1"/>
  <c r="AB13" i="41"/>
  <c r="Z10" i="41"/>
  <c r="AD10" i="41" s="1"/>
  <c r="AD13" i="41" s="1"/>
  <c r="M10" i="48" s="1"/>
  <c r="O10" i="48" s="1"/>
  <c r="Q10" i="41"/>
  <c r="K10" i="41"/>
  <c r="I10" i="41"/>
  <c r="H10" i="41"/>
  <c r="F10" i="41"/>
  <c r="E10" i="41"/>
  <c r="BP7" i="41"/>
  <c r="BN7" i="41"/>
  <c r="BL7" i="41"/>
  <c r="AB4" i="41"/>
  <c r="Q4" i="41"/>
  <c r="Q3" i="41"/>
  <c r="O3" i="41"/>
  <c r="AB2" i="41"/>
  <c r="AA2" i="41"/>
  <c r="O2" i="41"/>
  <c r="J1" i="41"/>
  <c r="A1" i="41"/>
  <c r="E16" i="43"/>
  <c r="D16" i="43"/>
  <c r="W13" i="43"/>
  <c r="Q13" i="43"/>
  <c r="K13" i="43"/>
  <c r="I13" i="43"/>
  <c r="H13" i="43"/>
  <c r="F13" i="43"/>
  <c r="E13" i="43"/>
  <c r="D13" i="43"/>
  <c r="Q11" i="43"/>
  <c r="AY16" i="43"/>
  <c r="AR16" i="43"/>
  <c r="I16" i="43" s="1"/>
  <c r="AL16" i="43"/>
  <c r="AM16" i="43"/>
  <c r="E11" i="43"/>
  <c r="D11" i="43"/>
  <c r="M10" i="43"/>
  <c r="J10" i="43"/>
  <c r="AN16" i="43"/>
  <c r="G10" i="43"/>
  <c r="BA16" i="43" s="1"/>
  <c r="U4" i="43"/>
  <c r="Q4" i="43"/>
  <c r="Q3" i="43"/>
  <c r="O3" i="43"/>
  <c r="U2" i="43"/>
  <c r="T2" i="43"/>
  <c r="O2" i="43"/>
  <c r="L1" i="43"/>
  <c r="A1" i="43"/>
  <c r="Z19" i="40"/>
  <c r="AD19" i="40" s="1"/>
  <c r="Q19" i="40"/>
  <c r="K19" i="40"/>
  <c r="I19" i="40"/>
  <c r="H19" i="40"/>
  <c r="F19" i="40"/>
  <c r="E19" i="40"/>
  <c r="D19" i="40"/>
  <c r="Q17" i="40"/>
  <c r="M10" i="40"/>
  <c r="J10" i="40"/>
  <c r="G10" i="40"/>
  <c r="BP7" i="40"/>
  <c r="BN7" i="40"/>
  <c r="BL7" i="40"/>
  <c r="AB4" i="40"/>
  <c r="Q4" i="40"/>
  <c r="Q3" i="40"/>
  <c r="O3" i="40"/>
  <c r="AB2" i="40"/>
  <c r="AA2" i="40"/>
  <c r="O2" i="40"/>
  <c r="L1" i="40"/>
  <c r="A1" i="40"/>
  <c r="M43" i="262"/>
  <c r="K27" i="262"/>
  <c r="K26" i="262"/>
  <c r="M18" i="262"/>
  <c r="G18" i="262"/>
  <c r="B13" i="262"/>
  <c r="B12" i="262"/>
  <c r="B11" i="262"/>
  <c r="M10" i="262"/>
  <c r="B10" i="262"/>
  <c r="M9" i="262"/>
  <c r="B9" i="262"/>
  <c r="B8" i="262"/>
  <c r="B7" i="262"/>
  <c r="A49" i="44"/>
  <c r="F46" i="44"/>
  <c r="G46" i="44"/>
  <c r="F45" i="44"/>
  <c r="G45" i="44"/>
  <c r="F44" i="44"/>
  <c r="G44" i="44" s="1"/>
  <c r="G49" i="44" s="1"/>
  <c r="V15" i="1" s="1"/>
  <c r="F43" i="44"/>
  <c r="G43" i="44"/>
  <c r="F42" i="44"/>
  <c r="G42" i="44"/>
  <c r="F41" i="44"/>
  <c r="G41" i="44"/>
  <c r="F39" i="44"/>
  <c r="H39" i="44" s="1"/>
  <c r="F38" i="44"/>
  <c r="H38" i="44"/>
  <c r="F37" i="44"/>
  <c r="H37" i="44"/>
  <c r="F36" i="44"/>
  <c r="H36" i="44"/>
  <c r="F35" i="44"/>
  <c r="H35" i="44" s="1"/>
  <c r="A27" i="44"/>
  <c r="F24" i="44"/>
  <c r="G24" i="44" s="1"/>
  <c r="F23" i="44"/>
  <c r="G23" i="44" s="1"/>
  <c r="F22" i="44"/>
  <c r="G22" i="44"/>
  <c r="F21" i="44"/>
  <c r="G21" i="44" s="1"/>
  <c r="F20" i="44"/>
  <c r="G20" i="44" s="1"/>
  <c r="F19" i="44"/>
  <c r="G19" i="44" s="1"/>
  <c r="F17" i="44"/>
  <c r="H17" i="44" s="1"/>
  <c r="F16" i="44"/>
  <c r="H16" i="44" s="1"/>
  <c r="F15" i="44"/>
  <c r="H15" i="44" s="1"/>
  <c r="F14" i="44"/>
  <c r="H14" i="44" s="1"/>
  <c r="F13" i="44"/>
  <c r="H13" i="44"/>
  <c r="H3" i="44"/>
  <c r="B3" i="44"/>
  <c r="H1" i="44"/>
  <c r="BO236" i="2"/>
  <c r="BM236" i="2"/>
  <c r="BK236" i="2"/>
  <c r="M236" i="2"/>
  <c r="J236" i="2"/>
  <c r="G236" i="2"/>
  <c r="BO235" i="2"/>
  <c r="BM235" i="2"/>
  <c r="BK235" i="2"/>
  <c r="M235" i="2"/>
  <c r="J235" i="2"/>
  <c r="G235" i="2"/>
  <c r="BO234" i="2"/>
  <c r="BM234" i="2"/>
  <c r="BK234" i="2"/>
  <c r="M234" i="2"/>
  <c r="J234" i="2"/>
  <c r="G234" i="2"/>
  <c r="BO233" i="2"/>
  <c r="BM233" i="2"/>
  <c r="BK233" i="2"/>
  <c r="M233" i="2"/>
  <c r="J233" i="2"/>
  <c r="G233" i="2"/>
  <c r="BO232" i="2"/>
  <c r="BM232" i="2"/>
  <c r="BK232" i="2"/>
  <c r="M232" i="2"/>
  <c r="J232" i="2"/>
  <c r="G232" i="2"/>
  <c r="BO231" i="2"/>
  <c r="BM231" i="2"/>
  <c r="BK231" i="2"/>
  <c r="M231" i="2"/>
  <c r="J231" i="2"/>
  <c r="G231" i="2"/>
  <c r="BO230" i="2"/>
  <c r="BM230" i="2"/>
  <c r="BK230" i="2"/>
  <c r="M230" i="2"/>
  <c r="J230" i="2"/>
  <c r="G230" i="2"/>
  <c r="BO229" i="2"/>
  <c r="BM229" i="2"/>
  <c r="BK229" i="2"/>
  <c r="M229" i="2"/>
  <c r="J229" i="2"/>
  <c r="G229" i="2"/>
  <c r="BO228" i="2"/>
  <c r="BM228" i="2"/>
  <c r="BK228" i="2"/>
  <c r="M228" i="2"/>
  <c r="J228" i="2"/>
  <c r="G228" i="2"/>
  <c r="BO227" i="2"/>
  <c r="BM227" i="2"/>
  <c r="BK227" i="2"/>
  <c r="M227" i="2"/>
  <c r="J227" i="2"/>
  <c r="G227" i="2"/>
  <c r="BO223" i="2"/>
  <c r="BM223" i="2"/>
  <c r="BK223" i="2"/>
  <c r="M223" i="2"/>
  <c r="J223" i="2"/>
  <c r="G223" i="2"/>
  <c r="BO219" i="2"/>
  <c r="BM219" i="2"/>
  <c r="BK219" i="2"/>
  <c r="M219" i="2"/>
  <c r="J219" i="2"/>
  <c r="G219" i="2"/>
  <c r="BO215" i="2"/>
  <c r="BM215" i="2"/>
  <c r="BK215" i="2"/>
  <c r="M215" i="2"/>
  <c r="J215" i="2"/>
  <c r="G215" i="2"/>
  <c r="BO214" i="2"/>
  <c r="BM214" i="2"/>
  <c r="BK214" i="2"/>
  <c r="M214" i="2"/>
  <c r="J214" i="2"/>
  <c r="G214" i="2"/>
  <c r="BO213" i="2"/>
  <c r="BM213" i="2"/>
  <c r="BK213" i="2"/>
  <c r="M213" i="2"/>
  <c r="J213" i="2"/>
  <c r="G213" i="2"/>
  <c r="BO212" i="2"/>
  <c r="BM212" i="2"/>
  <c r="BK212" i="2"/>
  <c r="M212" i="2"/>
  <c r="J212" i="2"/>
  <c r="G212" i="2"/>
  <c r="BO211" i="2"/>
  <c r="BM211" i="2"/>
  <c r="BK211" i="2"/>
  <c r="M211" i="2"/>
  <c r="J211" i="2"/>
  <c r="G211" i="2"/>
  <c r="BO207" i="2"/>
  <c r="BM207" i="2"/>
  <c r="BK207" i="2"/>
  <c r="M207" i="2"/>
  <c r="J207" i="2"/>
  <c r="G207" i="2"/>
  <c r="BO206" i="2"/>
  <c r="BM206" i="2"/>
  <c r="BK206" i="2"/>
  <c r="M206" i="2"/>
  <c r="J206" i="2"/>
  <c r="G206" i="2"/>
  <c r="BO205" i="2"/>
  <c r="BM205" i="2"/>
  <c r="BK205" i="2"/>
  <c r="M205" i="2"/>
  <c r="J205" i="2"/>
  <c r="G205" i="2"/>
  <c r="BO201" i="2"/>
  <c r="BM201" i="2"/>
  <c r="BK201" i="2"/>
  <c r="M201" i="2"/>
  <c r="J201" i="2"/>
  <c r="G201" i="2"/>
  <c r="BO200" i="2"/>
  <c r="BM200" i="2"/>
  <c r="BK200" i="2"/>
  <c r="M200" i="2"/>
  <c r="J200" i="2"/>
  <c r="G200" i="2"/>
  <c r="BO199" i="2"/>
  <c r="BM199" i="2"/>
  <c r="BK199" i="2"/>
  <c r="M199" i="2"/>
  <c r="J199" i="2"/>
  <c r="G199" i="2"/>
  <c r="BO198" i="2"/>
  <c r="BM198" i="2"/>
  <c r="BK198" i="2"/>
  <c r="M198" i="2"/>
  <c r="J198" i="2"/>
  <c r="G198" i="2"/>
  <c r="BO194" i="2"/>
  <c r="BM194" i="2"/>
  <c r="BK194" i="2"/>
  <c r="M194" i="2"/>
  <c r="J194" i="2"/>
  <c r="G194" i="2"/>
  <c r="BO193" i="2"/>
  <c r="BM193" i="2"/>
  <c r="BK193" i="2"/>
  <c r="M193" i="2"/>
  <c r="J193" i="2"/>
  <c r="G193" i="2"/>
  <c r="BO189" i="2"/>
  <c r="BM189" i="2"/>
  <c r="BK189" i="2"/>
  <c r="M189" i="2"/>
  <c r="J189" i="2"/>
  <c r="G189" i="2"/>
  <c r="BO188" i="2"/>
  <c r="BM188" i="2"/>
  <c r="BK188" i="2"/>
  <c r="M188" i="2"/>
  <c r="J188" i="2"/>
  <c r="G188" i="2"/>
  <c r="BO183" i="2"/>
  <c r="BM183" i="2"/>
  <c r="BK183" i="2"/>
  <c r="M183" i="2"/>
  <c r="J183" i="2"/>
  <c r="G183" i="2"/>
  <c r="BO182" i="2"/>
  <c r="BM182" i="2"/>
  <c r="BK182" i="2"/>
  <c r="M182" i="2"/>
  <c r="J182" i="2"/>
  <c r="G182" i="2"/>
  <c r="BO181" i="2"/>
  <c r="BM181" i="2"/>
  <c r="BK181" i="2"/>
  <c r="M181" i="2"/>
  <c r="J181" i="2"/>
  <c r="G181" i="2"/>
  <c r="BO180" i="2"/>
  <c r="BM180" i="2"/>
  <c r="BK180" i="2"/>
  <c r="M180" i="2"/>
  <c r="J180" i="2"/>
  <c r="G180" i="2"/>
  <c r="BO179" i="2"/>
  <c r="BM179" i="2"/>
  <c r="BK179" i="2"/>
  <c r="M179" i="2"/>
  <c r="J179" i="2"/>
  <c r="G179" i="2"/>
  <c r="BO175" i="2"/>
  <c r="BM175" i="2"/>
  <c r="BK175" i="2"/>
  <c r="M175" i="2"/>
  <c r="J175" i="2"/>
  <c r="G175" i="2"/>
  <c r="BO174" i="2"/>
  <c r="BM174" i="2"/>
  <c r="BK174" i="2"/>
  <c r="M174" i="2"/>
  <c r="J174" i="2"/>
  <c r="G174" i="2"/>
  <c r="BO173" i="2"/>
  <c r="BM173" i="2"/>
  <c r="BK173" i="2"/>
  <c r="M173" i="2"/>
  <c r="J173" i="2"/>
  <c r="G173" i="2"/>
  <c r="BO172" i="2"/>
  <c r="BM172" i="2"/>
  <c r="BK172" i="2"/>
  <c r="M172" i="2"/>
  <c r="J172" i="2"/>
  <c r="G172" i="2"/>
  <c r="BO171" i="2"/>
  <c r="BM171" i="2"/>
  <c r="BK171" i="2"/>
  <c r="M171" i="2"/>
  <c r="J171" i="2"/>
  <c r="G171" i="2"/>
  <c r="BO170" i="2"/>
  <c r="BM170" i="2"/>
  <c r="BK170" i="2"/>
  <c r="M170" i="2"/>
  <c r="J170" i="2"/>
  <c r="G170" i="2"/>
  <c r="BO169" i="2"/>
  <c r="BM169" i="2"/>
  <c r="BK169" i="2"/>
  <c r="M169" i="2"/>
  <c r="J169" i="2"/>
  <c r="G169" i="2"/>
  <c r="BO168" i="2"/>
  <c r="BM168" i="2"/>
  <c r="BK168" i="2"/>
  <c r="M168" i="2"/>
  <c r="J168" i="2"/>
  <c r="G168" i="2"/>
  <c r="BO167" i="2"/>
  <c r="BM167" i="2"/>
  <c r="BK167" i="2"/>
  <c r="M167" i="2"/>
  <c r="J167" i="2"/>
  <c r="G167" i="2"/>
  <c r="BO166" i="2"/>
  <c r="BM166" i="2"/>
  <c r="BK166" i="2"/>
  <c r="M166" i="2"/>
  <c r="J166" i="2"/>
  <c r="G166" i="2"/>
  <c r="BO165" i="2"/>
  <c r="BM165" i="2"/>
  <c r="BK165" i="2"/>
  <c r="M165" i="2"/>
  <c r="J165" i="2"/>
  <c r="G165" i="2"/>
  <c r="BO164" i="2"/>
  <c r="BM164" i="2"/>
  <c r="BK164" i="2"/>
  <c r="M164" i="2"/>
  <c r="J164" i="2"/>
  <c r="G164" i="2"/>
  <c r="BO163" i="2"/>
  <c r="BM163" i="2"/>
  <c r="BK163" i="2"/>
  <c r="M163" i="2"/>
  <c r="J163" i="2"/>
  <c r="G163" i="2"/>
  <c r="BO162" i="2"/>
  <c r="BM162" i="2"/>
  <c r="BK162" i="2"/>
  <c r="M162" i="2"/>
  <c r="J162" i="2"/>
  <c r="G162" i="2"/>
  <c r="BO158" i="2"/>
  <c r="BM158" i="2"/>
  <c r="BK158" i="2"/>
  <c r="M158" i="2"/>
  <c r="J158" i="2"/>
  <c r="G158" i="2"/>
  <c r="BO157" i="2"/>
  <c r="BM157" i="2"/>
  <c r="BK157" i="2"/>
  <c r="M157" i="2"/>
  <c r="J157" i="2"/>
  <c r="H157" i="2" s="1"/>
  <c r="G157" i="2"/>
  <c r="BO156" i="2"/>
  <c r="BM156" i="2"/>
  <c r="BK156" i="2"/>
  <c r="M156" i="2"/>
  <c r="J156" i="2"/>
  <c r="G156" i="2"/>
  <c r="BO155" i="2"/>
  <c r="BM155" i="2"/>
  <c r="BK155" i="2"/>
  <c r="M155" i="2"/>
  <c r="J155" i="2"/>
  <c r="G155" i="2"/>
  <c r="BO151" i="2"/>
  <c r="BM151" i="2"/>
  <c r="BK151" i="2"/>
  <c r="M151" i="2"/>
  <c r="J151" i="2"/>
  <c r="G151" i="2"/>
  <c r="BO150" i="2"/>
  <c r="BM150" i="2"/>
  <c r="BK150" i="2"/>
  <c r="M150" i="2"/>
  <c r="J150" i="2"/>
  <c r="G150" i="2"/>
  <c r="BO149" i="2"/>
  <c r="BM149" i="2"/>
  <c r="BK149" i="2"/>
  <c r="M149" i="2"/>
  <c r="J149" i="2"/>
  <c r="G149" i="2"/>
  <c r="BO148" i="2"/>
  <c r="BM148" i="2"/>
  <c r="BK148" i="2"/>
  <c r="M148" i="2"/>
  <c r="J148" i="2"/>
  <c r="H148" i="2" s="1"/>
  <c r="G148" i="2"/>
  <c r="BO147" i="2"/>
  <c r="BM147" i="2"/>
  <c r="BK147" i="2"/>
  <c r="M147" i="2"/>
  <c r="J147" i="2"/>
  <c r="G147" i="2"/>
  <c r="BO143" i="2"/>
  <c r="BM143" i="2"/>
  <c r="BK143" i="2"/>
  <c r="M143" i="2"/>
  <c r="J143" i="2"/>
  <c r="G143" i="2"/>
  <c r="BO139" i="2"/>
  <c r="BM139" i="2"/>
  <c r="BK139" i="2"/>
  <c r="M139" i="2"/>
  <c r="J139" i="2"/>
  <c r="G139" i="2"/>
  <c r="BO135" i="2"/>
  <c r="BM135" i="2"/>
  <c r="BK135" i="2"/>
  <c r="M135" i="2"/>
  <c r="J135" i="2"/>
  <c r="G135" i="2"/>
  <c r="BO134" i="2"/>
  <c r="BM134" i="2"/>
  <c r="BK134" i="2"/>
  <c r="M134" i="2"/>
  <c r="J134" i="2"/>
  <c r="G134" i="2"/>
  <c r="BO133" i="2"/>
  <c r="BM133" i="2"/>
  <c r="BK133" i="2"/>
  <c r="M133" i="2"/>
  <c r="J133" i="2"/>
  <c r="G133" i="2"/>
  <c r="BO132" i="2"/>
  <c r="BM132" i="2"/>
  <c r="BK132" i="2"/>
  <c r="M132" i="2"/>
  <c r="J132" i="2"/>
  <c r="G132" i="2"/>
  <c r="BO128" i="2"/>
  <c r="BM128" i="2"/>
  <c r="BK128" i="2"/>
  <c r="M128" i="2"/>
  <c r="J128" i="2"/>
  <c r="G128" i="2"/>
  <c r="BO127" i="2"/>
  <c r="BM127" i="2"/>
  <c r="BK127" i="2"/>
  <c r="M127" i="2"/>
  <c r="J127" i="2"/>
  <c r="G127" i="2"/>
  <c r="BO123" i="2"/>
  <c r="BM123" i="2"/>
  <c r="BK123" i="2"/>
  <c r="M123" i="2"/>
  <c r="J123" i="2"/>
  <c r="G123" i="2"/>
  <c r="BO122" i="2"/>
  <c r="BM122" i="2"/>
  <c r="BK122" i="2"/>
  <c r="M122" i="2"/>
  <c r="J122" i="2"/>
  <c r="G122" i="2"/>
  <c r="BO121" i="2"/>
  <c r="BM121" i="2"/>
  <c r="BK121" i="2"/>
  <c r="M121" i="2"/>
  <c r="J121" i="2"/>
  <c r="G121" i="2"/>
  <c r="BO120" i="2"/>
  <c r="BM120" i="2"/>
  <c r="BK120" i="2"/>
  <c r="M120" i="2"/>
  <c r="J120" i="2"/>
  <c r="G120" i="2"/>
  <c r="BO119" i="2"/>
  <c r="BM119" i="2"/>
  <c r="BK119" i="2"/>
  <c r="M119" i="2"/>
  <c r="J119" i="2"/>
  <c r="G119" i="2"/>
  <c r="BO118" i="2"/>
  <c r="BM118" i="2"/>
  <c r="BK118" i="2"/>
  <c r="M118" i="2"/>
  <c r="J118" i="2"/>
  <c r="G118" i="2"/>
  <c r="BO117" i="2"/>
  <c r="BM117" i="2"/>
  <c r="BK117" i="2"/>
  <c r="M117" i="2"/>
  <c r="J117" i="2"/>
  <c r="G117" i="2"/>
  <c r="BO113" i="2"/>
  <c r="BM113" i="2"/>
  <c r="BK113" i="2"/>
  <c r="M113" i="2"/>
  <c r="J113" i="2"/>
  <c r="G113" i="2"/>
  <c r="BO112" i="2"/>
  <c r="BM112" i="2"/>
  <c r="BK112" i="2"/>
  <c r="M112" i="2"/>
  <c r="J112" i="2"/>
  <c r="G112" i="2"/>
  <c r="BO111" i="2"/>
  <c r="BM111" i="2"/>
  <c r="BK111" i="2"/>
  <c r="M111" i="2"/>
  <c r="J111" i="2"/>
  <c r="G111" i="2"/>
  <c r="BO107" i="2"/>
  <c r="BM107" i="2"/>
  <c r="BK107" i="2"/>
  <c r="M107" i="2"/>
  <c r="J107" i="2"/>
  <c r="G107" i="2"/>
  <c r="BO103" i="2"/>
  <c r="BM103" i="2"/>
  <c r="BK103" i="2"/>
  <c r="M103" i="2"/>
  <c r="J103" i="2"/>
  <c r="G103" i="2"/>
  <c r="BO102" i="2"/>
  <c r="BM102" i="2"/>
  <c r="BK102" i="2"/>
  <c r="M102" i="2"/>
  <c r="J102" i="2"/>
  <c r="G102" i="2"/>
  <c r="BO101" i="2"/>
  <c r="BM101" i="2"/>
  <c r="BK101" i="2"/>
  <c r="M101" i="2"/>
  <c r="J101" i="2"/>
  <c r="G101" i="2"/>
  <c r="BO100" i="2"/>
  <c r="BM100" i="2"/>
  <c r="BK100" i="2"/>
  <c r="M100" i="2"/>
  <c r="J100" i="2"/>
  <c r="G100" i="2"/>
  <c r="BO99" i="2"/>
  <c r="BM99" i="2"/>
  <c r="BK99" i="2"/>
  <c r="M99" i="2"/>
  <c r="J99" i="2"/>
  <c r="G99" i="2"/>
  <c r="BO98" i="2"/>
  <c r="BM98" i="2"/>
  <c r="BK98" i="2"/>
  <c r="M98" i="2"/>
  <c r="J98" i="2"/>
  <c r="G98" i="2"/>
  <c r="BO97" i="2"/>
  <c r="BM97" i="2"/>
  <c r="BK97" i="2"/>
  <c r="M97" i="2"/>
  <c r="J97" i="2"/>
  <c r="G97" i="2"/>
  <c r="BO96" i="2"/>
  <c r="BM96" i="2"/>
  <c r="BK96" i="2"/>
  <c r="M96" i="2"/>
  <c r="J96" i="2"/>
  <c r="G96" i="2"/>
  <c r="BO95" i="2"/>
  <c r="BM95" i="2"/>
  <c r="BK95" i="2"/>
  <c r="M95" i="2"/>
  <c r="J95" i="2"/>
  <c r="G95" i="2"/>
  <c r="BO94" i="2"/>
  <c r="BM94" i="2"/>
  <c r="BK94" i="2"/>
  <c r="M94" i="2"/>
  <c r="J94" i="2"/>
  <c r="G94" i="2"/>
  <c r="BO93" i="2"/>
  <c r="BM93" i="2"/>
  <c r="BK93" i="2"/>
  <c r="M93" i="2"/>
  <c r="J93" i="2"/>
  <c r="G93" i="2"/>
  <c r="BO92" i="2"/>
  <c r="BM92" i="2"/>
  <c r="BK92" i="2"/>
  <c r="M92" i="2"/>
  <c r="J92" i="2"/>
  <c r="G92" i="2"/>
  <c r="BO91" i="2"/>
  <c r="BM91" i="2"/>
  <c r="BK91" i="2"/>
  <c r="M91" i="2"/>
  <c r="J91" i="2"/>
  <c r="G91" i="2"/>
  <c r="BO90" i="2"/>
  <c r="BM90" i="2"/>
  <c r="BK90" i="2"/>
  <c r="M90" i="2"/>
  <c r="J90" i="2"/>
  <c r="G90" i="2"/>
  <c r="BO89" i="2"/>
  <c r="BM89" i="2"/>
  <c r="BK89" i="2"/>
  <c r="M89" i="2"/>
  <c r="J89" i="2"/>
  <c r="G89" i="2"/>
  <c r="BO88" i="2"/>
  <c r="BM88" i="2"/>
  <c r="BK88" i="2"/>
  <c r="M88" i="2"/>
  <c r="J88" i="2"/>
  <c r="G88" i="2"/>
  <c r="BO87" i="2"/>
  <c r="BM87" i="2"/>
  <c r="BK87" i="2"/>
  <c r="M87" i="2"/>
  <c r="J87" i="2"/>
  <c r="G87" i="2"/>
  <c r="BO86" i="2"/>
  <c r="BM86" i="2"/>
  <c r="BK86" i="2"/>
  <c r="M86" i="2"/>
  <c r="J86" i="2"/>
  <c r="G86" i="2"/>
  <c r="BO85" i="2"/>
  <c r="BM85" i="2"/>
  <c r="BK85" i="2"/>
  <c r="M85" i="2"/>
  <c r="J85" i="2"/>
  <c r="G85" i="2"/>
  <c r="BO84" i="2"/>
  <c r="BM84" i="2"/>
  <c r="BK84" i="2"/>
  <c r="M84" i="2"/>
  <c r="J84" i="2"/>
  <c r="G84" i="2"/>
  <c r="BO80" i="2"/>
  <c r="BM80" i="2"/>
  <c r="BK80" i="2"/>
  <c r="M80" i="2"/>
  <c r="J80" i="2"/>
  <c r="G80" i="2"/>
  <c r="BO79" i="2"/>
  <c r="BM79" i="2"/>
  <c r="BK79" i="2"/>
  <c r="M79" i="2"/>
  <c r="J79" i="2"/>
  <c r="G79" i="2"/>
  <c r="BO78" i="2"/>
  <c r="BM78" i="2"/>
  <c r="BK78" i="2"/>
  <c r="M78" i="2"/>
  <c r="J78" i="2"/>
  <c r="G78" i="2"/>
  <c r="BO77" i="2"/>
  <c r="BM77" i="2"/>
  <c r="BK77" i="2"/>
  <c r="M77" i="2"/>
  <c r="J77" i="2"/>
  <c r="G77" i="2"/>
  <c r="BO73" i="2"/>
  <c r="BM73" i="2"/>
  <c r="BK73" i="2"/>
  <c r="M73" i="2"/>
  <c r="J73" i="2"/>
  <c r="G73" i="2"/>
  <c r="BO72" i="2"/>
  <c r="BM72" i="2"/>
  <c r="BK72" i="2"/>
  <c r="M72" i="2"/>
  <c r="J72" i="2"/>
  <c r="G72" i="2"/>
  <c r="BO71" i="2"/>
  <c r="BM71" i="2"/>
  <c r="BK71" i="2"/>
  <c r="M71" i="2"/>
  <c r="J71" i="2"/>
  <c r="G71" i="2"/>
  <c r="BO67" i="2"/>
  <c r="BM67" i="2"/>
  <c r="BK67" i="2"/>
  <c r="M67" i="2"/>
  <c r="J67" i="2"/>
  <c r="G67" i="2"/>
  <c r="BO66" i="2"/>
  <c r="BM66" i="2"/>
  <c r="BK66" i="2"/>
  <c r="M66" i="2"/>
  <c r="J66" i="2"/>
  <c r="G66" i="2"/>
  <c r="BO65" i="2"/>
  <c r="BM65" i="2"/>
  <c r="BK65" i="2"/>
  <c r="M65" i="2"/>
  <c r="J65" i="2"/>
  <c r="G65" i="2"/>
  <c r="BO64" i="2"/>
  <c r="BM64" i="2"/>
  <c r="BK64" i="2"/>
  <c r="M64" i="2"/>
  <c r="J64" i="2"/>
  <c r="G64" i="2"/>
  <c r="BO63" i="2"/>
  <c r="BM63" i="2"/>
  <c r="BK63" i="2"/>
  <c r="M63" i="2"/>
  <c r="J63" i="2"/>
  <c r="G63" i="2"/>
  <c r="BO62" i="2"/>
  <c r="BM62" i="2"/>
  <c r="BK62" i="2"/>
  <c r="M62" i="2"/>
  <c r="J62" i="2"/>
  <c r="G62" i="2"/>
  <c r="BO61" i="2"/>
  <c r="BM61" i="2"/>
  <c r="BK61" i="2"/>
  <c r="M61" i="2"/>
  <c r="J61" i="2"/>
  <c r="G61" i="2"/>
  <c r="BO60" i="2"/>
  <c r="BM60" i="2"/>
  <c r="BK60" i="2"/>
  <c r="M60" i="2"/>
  <c r="J60" i="2"/>
  <c r="G60" i="2"/>
  <c r="BO59" i="2"/>
  <c r="BM59" i="2"/>
  <c r="BK59" i="2"/>
  <c r="M59" i="2"/>
  <c r="J59" i="2"/>
  <c r="G59" i="2"/>
  <c r="BO58" i="2"/>
  <c r="BM58" i="2"/>
  <c r="BK58" i="2"/>
  <c r="M58" i="2"/>
  <c r="J58" i="2"/>
  <c r="G58" i="2"/>
  <c r="BO57" i="2"/>
  <c r="BM57" i="2"/>
  <c r="BK57" i="2"/>
  <c r="M57" i="2"/>
  <c r="J57" i="2"/>
  <c r="G57" i="2"/>
  <c r="BO56" i="2"/>
  <c r="BM56" i="2"/>
  <c r="BK56" i="2"/>
  <c r="M56" i="2"/>
  <c r="J56" i="2"/>
  <c r="G56" i="2"/>
  <c r="BO55" i="2"/>
  <c r="BM55" i="2"/>
  <c r="BK55" i="2"/>
  <c r="M55" i="2"/>
  <c r="J55" i="2"/>
  <c r="H55" i="2" s="1"/>
  <c r="G55" i="2"/>
  <c r="BO51" i="2"/>
  <c r="BM51" i="2"/>
  <c r="BK51" i="2"/>
  <c r="M51" i="2"/>
  <c r="J51" i="2"/>
  <c r="G51" i="2"/>
  <c r="BO50" i="2"/>
  <c r="BM50" i="2"/>
  <c r="BK50" i="2"/>
  <c r="H50" i="2"/>
  <c r="M50" i="2"/>
  <c r="J50" i="2"/>
  <c r="G50" i="2"/>
  <c r="BO46" i="2"/>
  <c r="BM46" i="2"/>
  <c r="BK46" i="2"/>
  <c r="M46" i="2"/>
  <c r="J46" i="2"/>
  <c r="G46" i="2"/>
  <c r="BO42" i="2"/>
  <c r="BM42" i="2"/>
  <c r="BK42" i="2"/>
  <c r="M42" i="2"/>
  <c r="J42" i="2"/>
  <c r="G42" i="2"/>
  <c r="BO41" i="2"/>
  <c r="BM41" i="2"/>
  <c r="BK41" i="2"/>
  <c r="M41" i="2"/>
  <c r="J41" i="2"/>
  <c r="G41" i="2"/>
  <c r="BO37" i="2"/>
  <c r="BM37" i="2"/>
  <c r="BK37" i="2"/>
  <c r="M37" i="2"/>
  <c r="J37" i="2"/>
  <c r="G37" i="2"/>
  <c r="BO33" i="2"/>
  <c r="BM33" i="2"/>
  <c r="BK33" i="2"/>
  <c r="M33" i="2"/>
  <c r="J33" i="2"/>
  <c r="G33" i="2"/>
  <c r="BO32" i="2"/>
  <c r="BM32" i="2"/>
  <c r="BK32" i="2"/>
  <c r="M32" i="2"/>
  <c r="J32" i="2"/>
  <c r="G32" i="2"/>
  <c r="BO31" i="2"/>
  <c r="BM31" i="2"/>
  <c r="BK31" i="2"/>
  <c r="M31" i="2"/>
  <c r="J31" i="2"/>
  <c r="G31" i="2"/>
  <c r="BO30" i="2"/>
  <c r="BM30" i="2"/>
  <c r="BK30" i="2"/>
  <c r="M30" i="2"/>
  <c r="J30" i="2"/>
  <c r="G30" i="2"/>
  <c r="BO29" i="2"/>
  <c r="BM29" i="2"/>
  <c r="BK29" i="2"/>
  <c r="M29" i="2"/>
  <c r="J29" i="2"/>
  <c r="G29" i="2"/>
  <c r="BO28" i="2"/>
  <c r="BM28" i="2"/>
  <c r="BK28" i="2"/>
  <c r="M28" i="2"/>
  <c r="J28" i="2"/>
  <c r="G28" i="2"/>
  <c r="BO27" i="2"/>
  <c r="BM27" i="2"/>
  <c r="BK27" i="2"/>
  <c r="M27" i="2"/>
  <c r="J27" i="2"/>
  <c r="G27" i="2"/>
  <c r="F23" i="2"/>
  <c r="E23" i="2"/>
  <c r="D23" i="2"/>
  <c r="BO22" i="2"/>
  <c r="BM22" i="2"/>
  <c r="BK22" i="2"/>
  <c r="J22" i="2"/>
  <c r="BO21" i="2"/>
  <c r="BM21" i="2"/>
  <c r="BK21" i="2"/>
  <c r="J21" i="2"/>
  <c r="BO20" i="2"/>
  <c r="BM20" i="2"/>
  <c r="BK20" i="2"/>
  <c r="J20" i="2"/>
  <c r="BO19" i="2"/>
  <c r="BM19" i="2"/>
  <c r="BK19" i="2"/>
  <c r="J19" i="2"/>
  <c r="BO18" i="2"/>
  <c r="BM18" i="2"/>
  <c r="BK18" i="2"/>
  <c r="J18" i="2"/>
  <c r="BO17" i="2"/>
  <c r="BM17" i="2"/>
  <c r="BK17" i="2"/>
  <c r="J17" i="2"/>
  <c r="BO16" i="2"/>
  <c r="BM16" i="2"/>
  <c r="BK16" i="2"/>
  <c r="J16" i="2"/>
  <c r="BO15" i="2"/>
  <c r="BM15" i="2"/>
  <c r="BK15" i="2"/>
  <c r="J15" i="2"/>
  <c r="BO13" i="2"/>
  <c r="BM13" i="2"/>
  <c r="BK13" i="2"/>
  <c r="J13" i="2"/>
  <c r="BO12" i="2"/>
  <c r="BM12" i="2"/>
  <c r="BK12" i="2"/>
  <c r="J12" i="2"/>
  <c r="BO11" i="2"/>
  <c r="BM11" i="2"/>
  <c r="BK11" i="2"/>
  <c r="AT11" i="2"/>
  <c r="AM11" i="2"/>
  <c r="AV11" i="2"/>
  <c r="J11" i="2"/>
  <c r="AN11" i="2" s="1"/>
  <c r="BA11" i="2"/>
  <c r="AD11" i="2" s="1"/>
  <c r="BP7" i="2"/>
  <c r="BP163" i="2" s="1"/>
  <c r="BN7" i="2"/>
  <c r="BN188" i="2" s="1"/>
  <c r="BL7" i="2"/>
  <c r="BL30" i="2" s="1"/>
  <c r="W4" i="2"/>
  <c r="Q4" i="2"/>
  <c r="Q3" i="2"/>
  <c r="O3" i="2"/>
  <c r="W2" i="2"/>
  <c r="V2" i="2"/>
  <c r="O2" i="2"/>
  <c r="L1" i="2"/>
  <c r="A1" i="2"/>
  <c r="G40" i="51"/>
  <c r="G48" i="51" s="1"/>
  <c r="F40" i="51"/>
  <c r="F48" i="51" s="1"/>
  <c r="G47" i="51"/>
  <c r="F47" i="51"/>
  <c r="G25" i="51"/>
  <c r="G46" i="51" s="1"/>
  <c r="F25" i="51"/>
  <c r="F46" i="51"/>
  <c r="I23" i="51"/>
  <c r="H23" i="51"/>
  <c r="I22" i="51"/>
  <c r="H22" i="51"/>
  <c r="I21" i="51"/>
  <c r="H21" i="51"/>
  <c r="I14" i="51"/>
  <c r="G43" i="51" s="1"/>
  <c r="H14" i="51"/>
  <c r="G14" i="51"/>
  <c r="F14" i="51"/>
  <c r="F43" i="51" s="1"/>
  <c r="I6" i="51"/>
  <c r="G42" i="51" s="1"/>
  <c r="H6" i="51"/>
  <c r="G6" i="51"/>
  <c r="F6" i="51"/>
  <c r="F42" i="51" s="1"/>
  <c r="E57" i="1"/>
  <c r="I43" i="1"/>
  <c r="E35" i="1"/>
  <c r="E36" i="1" s="1"/>
  <c r="E37" i="1" s="1"/>
  <c r="E38" i="1" s="1"/>
  <c r="E39" i="1" s="1"/>
  <c r="E40" i="1" s="1"/>
  <c r="E41" i="1" s="1"/>
  <c r="E42" i="1" s="1"/>
  <c r="K34" i="1"/>
  <c r="J35" i="1" s="1"/>
  <c r="K35" i="1" s="1"/>
  <c r="L35" i="1" s="1"/>
  <c r="M31" i="1"/>
  <c r="M29" i="262"/>
  <c r="N21" i="1"/>
  <c r="O17" i="1"/>
  <c r="N12" i="1"/>
  <c r="N19" i="1" s="1"/>
  <c r="AQ12" i="1"/>
  <c r="AL12" i="1"/>
  <c r="AE12" i="1"/>
  <c r="AC12" i="1"/>
  <c r="Y12" i="1"/>
  <c r="G8" i="259"/>
  <c r="G11" i="259"/>
  <c r="G15" i="259" s="1"/>
  <c r="M19" i="262" s="1"/>
  <c r="G5" i="259"/>
  <c r="C4" i="259"/>
  <c r="M11" i="262" s="1"/>
  <c r="D16" i="262"/>
  <c r="H27" i="44"/>
  <c r="U14" i="1" s="1"/>
  <c r="G27" i="44"/>
  <c r="V14" i="1" s="1"/>
  <c r="H49" i="44"/>
  <c r="U15" i="1" s="1"/>
  <c r="V10" i="48"/>
  <c r="AM10" i="48"/>
  <c r="D13" i="41"/>
  <c r="AO10" i="48"/>
  <c r="E13" i="41"/>
  <c r="AP10" i="48"/>
  <c r="W10" i="48"/>
  <c r="AN10" i="48"/>
  <c r="I13" i="41"/>
  <c r="F49" i="44"/>
  <c r="M15" i="1" s="1"/>
  <c r="O15" i="1" s="1"/>
  <c r="F27" i="44"/>
  <c r="M14" i="1" s="1"/>
  <c r="O14" i="1" s="1"/>
  <c r="K13" i="41"/>
  <c r="Z10" i="48"/>
  <c r="AD10" i="48"/>
  <c r="M27" i="262"/>
  <c r="AT16" i="43"/>
  <c r="H98" i="2"/>
  <c r="BL56" i="2"/>
  <c r="BL17" i="2"/>
  <c r="BL19" i="2"/>
  <c r="H234" i="2"/>
  <c r="H223" i="2"/>
  <c r="H85" i="2"/>
  <c r="BL13" i="2"/>
  <c r="H158" i="2"/>
  <c r="H189" i="2"/>
  <c r="BL232" i="2"/>
  <c r="BL215" i="2"/>
  <c r="BL200" i="2"/>
  <c r="BL230" i="2"/>
  <c r="BL213" i="2"/>
  <c r="BL193" i="2"/>
  <c r="BL189" i="2"/>
  <c r="BL166" i="2"/>
  <c r="BL234" i="2"/>
  <c r="BL223" i="2"/>
  <c r="BL199" i="2"/>
  <c r="BL227" i="2"/>
  <c r="BL179" i="2"/>
  <c r="BL172" i="2"/>
  <c r="BL235" i="2"/>
  <c r="BL156" i="2"/>
  <c r="BL233" i="2"/>
  <c r="BL155" i="2"/>
  <c r="BL180" i="2"/>
  <c r="BL173" i="2"/>
  <c r="BL132" i="2"/>
  <c r="BL119" i="2"/>
  <c r="BL133" i="2"/>
  <c r="BL165" i="2"/>
  <c r="BL121" i="2"/>
  <c r="BL151" i="2"/>
  <c r="BL107" i="2"/>
  <c r="BL77" i="2"/>
  <c r="BL157" i="2"/>
  <c r="BL95" i="2"/>
  <c r="BL127" i="2"/>
  <c r="BL134" i="2"/>
  <c r="BL92" i="2"/>
  <c r="BL84" i="2"/>
  <c r="BL67" i="2"/>
  <c r="BL72" i="2"/>
  <c r="BL102" i="2"/>
  <c r="BL87" i="2"/>
  <c r="BL123" i="2"/>
  <c r="BL65" i="2"/>
  <c r="BL93" i="2"/>
  <c r="BL86" i="2"/>
  <c r="BL29" i="2"/>
  <c r="BL16" i="2"/>
  <c r="BL111" i="2"/>
  <c r="BL89" i="2"/>
  <c r="BL80" i="2"/>
  <c r="BL79" i="2"/>
  <c r="BL60" i="2"/>
  <c r="BL51" i="2"/>
  <c r="BN227" i="2"/>
  <c r="BN223" i="2"/>
  <c r="BN122" i="2"/>
  <c r="BN59" i="2"/>
  <c r="BN55" i="2"/>
  <c r="BL18" i="2"/>
  <c r="BL31" i="2"/>
  <c r="H183" i="2"/>
  <c r="H235" i="2"/>
  <c r="H207" i="2"/>
  <c r="Y10" i="40" l="1"/>
  <c r="Z10" i="40" s="1"/>
  <c r="I4" i="40"/>
  <c r="AV10" i="40" s="1"/>
  <c r="I4" i="41"/>
  <c r="I4" i="43"/>
  <c r="AO10" i="43" s="1"/>
  <c r="AP10" i="43" s="1"/>
  <c r="AB10" i="43" s="1"/>
  <c r="AB16" i="43" s="1"/>
  <c r="I4" i="2"/>
  <c r="AO230" i="2" s="1"/>
  <c r="J22" i="51"/>
  <c r="L4" i="43"/>
  <c r="AW10" i="43" s="1"/>
  <c r="AX10" i="43" s="1"/>
  <c r="K10" i="43" s="1"/>
  <c r="AR9" i="1"/>
  <c r="AK9" i="1"/>
  <c r="J23" i="51"/>
  <c r="AF9" i="1"/>
  <c r="AC11" i="2"/>
  <c r="BN80" i="2"/>
  <c r="BL85" i="2"/>
  <c r="BL46" i="2"/>
  <c r="BL101" i="2"/>
  <c r="BL117" i="2"/>
  <c r="BL88" i="2"/>
  <c r="BL143" i="2"/>
  <c r="BL188" i="2"/>
  <c r="BL211" i="2"/>
  <c r="BL174" i="2"/>
  <c r="BL214" i="2"/>
  <c r="BL28" i="2"/>
  <c r="BL71" i="2"/>
  <c r="BN102" i="2"/>
  <c r="H135" i="2"/>
  <c r="BL50" i="2"/>
  <c r="BN182" i="2"/>
  <c r="BL99" i="2"/>
  <c r="BL113" i="2"/>
  <c r="BL97" i="2"/>
  <c r="BL150" i="2"/>
  <c r="BL168" i="2"/>
  <c r="BL149" i="2"/>
  <c r="BL175" i="2"/>
  <c r="BL207" i="2"/>
  <c r="BL205" i="2"/>
  <c r="BN46" i="2"/>
  <c r="H22" i="2"/>
  <c r="H28" i="2"/>
  <c r="H56" i="2"/>
  <c r="H64" i="2"/>
  <c r="H162" i="2"/>
  <c r="BL42" i="2"/>
  <c r="BL57" i="2"/>
  <c r="BL63" i="2"/>
  <c r="BL171" i="2"/>
  <c r="BL164" i="2"/>
  <c r="BL118" i="2"/>
  <c r="BL163" i="2"/>
  <c r="BL170" i="2"/>
  <c r="BL182" i="2"/>
  <c r="BL229" i="2"/>
  <c r="BL27" i="2"/>
  <c r="H61" i="2"/>
  <c r="H118" i="2"/>
  <c r="H165" i="2"/>
  <c r="H172" i="2"/>
  <c r="H174" i="2"/>
  <c r="H201" i="2"/>
  <c r="H122" i="2"/>
  <c r="H236" i="2"/>
  <c r="H215" i="2"/>
  <c r="H166" i="2"/>
  <c r="BP227" i="2"/>
  <c r="H117" i="2"/>
  <c r="H21" i="2"/>
  <c r="H134" i="2"/>
  <c r="H214" i="2"/>
  <c r="H84" i="2"/>
  <c r="H228" i="2"/>
  <c r="H212" i="2"/>
  <c r="H123" i="2"/>
  <c r="BL90" i="2"/>
  <c r="BL94" i="2"/>
  <c r="BL41" i="2"/>
  <c r="BL62" i="2"/>
  <c r="BL73" i="2"/>
  <c r="BL122" i="2"/>
  <c r="BL96" i="2"/>
  <c r="BL135" i="2"/>
  <c r="BL206" i="2"/>
  <c r="BL147" i="2"/>
  <c r="BL198" i="2"/>
  <c r="BL236" i="2"/>
  <c r="BL11" i="2"/>
  <c r="BL21" i="2"/>
  <c r="BL32" i="2"/>
  <c r="H151" i="2"/>
  <c r="H33" i="2"/>
  <c r="H92" i="2"/>
  <c r="H96" i="2"/>
  <c r="H150" i="2"/>
  <c r="H164" i="2"/>
  <c r="H168" i="2"/>
  <c r="H198" i="2"/>
  <c r="H182" i="2"/>
  <c r="H147" i="2"/>
  <c r="BP199" i="2"/>
  <c r="H103" i="2"/>
  <c r="H101" i="2"/>
  <c r="H112" i="2"/>
  <c r="H188" i="2"/>
  <c r="H193" i="2"/>
  <c r="H11" i="2"/>
  <c r="H227" i="2"/>
  <c r="H91" i="2"/>
  <c r="H143" i="2"/>
  <c r="H107" i="2"/>
  <c r="BP113" i="2"/>
  <c r="H42" i="2"/>
  <c r="H206" i="2"/>
  <c r="H41" i="2"/>
  <c r="H51" i="2"/>
  <c r="H139" i="2"/>
  <c r="BP60" i="2"/>
  <c r="H79" i="2"/>
  <c r="H15" i="2"/>
  <c r="H59" i="2"/>
  <c r="H167" i="2"/>
  <c r="H132" i="2"/>
  <c r="H181" i="2"/>
  <c r="H113" i="2"/>
  <c r="H121" i="2"/>
  <c r="H149" i="2"/>
  <c r="H155" i="2"/>
  <c r="H156" i="2"/>
  <c r="BP87" i="2"/>
  <c r="BP22" i="2"/>
  <c r="H232" i="2"/>
  <c r="H199" i="2"/>
  <c r="BP132" i="2"/>
  <c r="H128" i="2"/>
  <c r="H17" i="2"/>
  <c r="H46" i="2"/>
  <c r="H102" i="2"/>
  <c r="H229" i="2"/>
  <c r="H100" i="2"/>
  <c r="H29" i="2"/>
  <c r="H95" i="2"/>
  <c r="BN172" i="2"/>
  <c r="BN165" i="2"/>
  <c r="BN86" i="2"/>
  <c r="BN120" i="2"/>
  <c r="BN215" i="2"/>
  <c r="BN118" i="2"/>
  <c r="BN99" i="2"/>
  <c r="BN28" i="2"/>
  <c r="BN232" i="2"/>
  <c r="BN27" i="2"/>
  <c r="BN205" i="2"/>
  <c r="BN214" i="2"/>
  <c r="BN155" i="2"/>
  <c r="BN98" i="2"/>
  <c r="BN57" i="2"/>
  <c r="BN143" i="2"/>
  <c r="BN193" i="2"/>
  <c r="BN149" i="2"/>
  <c r="BN95" i="2"/>
  <c r="BN88" i="2"/>
  <c r="BN37" i="2"/>
  <c r="BN183" i="2"/>
  <c r="BN168" i="2"/>
  <c r="BN94" i="2"/>
  <c r="BN71" i="2"/>
  <c r="BN77" i="2"/>
  <c r="BN111" i="2"/>
  <c r="BN65" i="2"/>
  <c r="BN169" i="2"/>
  <c r="BP15" i="2"/>
  <c r="BP181" i="2"/>
  <c r="BP166" i="2"/>
  <c r="BP88" i="2"/>
  <c r="BP51" i="2"/>
  <c r="BP77" i="2"/>
  <c r="BP71" i="2"/>
  <c r="BP170" i="2"/>
  <c r="BP31" i="2"/>
  <c r="BP213" i="2"/>
  <c r="BP123" i="2"/>
  <c r="BP80" i="2"/>
  <c r="BP164" i="2"/>
  <c r="BP32" i="2"/>
  <c r="BP172" i="2"/>
  <c r="BP102" i="2"/>
  <c r="BP95" i="2"/>
  <c r="BP98" i="2"/>
  <c r="BP207" i="2"/>
  <c r="BP180" i="2"/>
  <c r="BP99" i="2"/>
  <c r="BP55" i="2"/>
  <c r="BP155" i="2"/>
  <c r="BP205" i="2"/>
  <c r="H230" i="2"/>
  <c r="H180" i="2"/>
  <c r="H12" i="2"/>
  <c r="H90" i="2"/>
  <c r="H57" i="2"/>
  <c r="H111" i="2"/>
  <c r="H89" i="2"/>
  <c r="H211" i="2"/>
  <c r="AR23" i="2"/>
  <c r="D65" i="1" s="1"/>
  <c r="H213" i="2"/>
  <c r="H31" i="2"/>
  <c r="H72" i="2"/>
  <c r="BL15" i="2"/>
  <c r="BL64" i="2"/>
  <c r="BL58" i="2"/>
  <c r="BL128" i="2"/>
  <c r="BL59" i="2"/>
  <c r="BL100" i="2"/>
  <c r="BL103" i="2"/>
  <c r="BL112" i="2"/>
  <c r="BL162" i="2"/>
  <c r="BL167" i="2"/>
  <c r="BL158" i="2"/>
  <c r="BL183" i="2"/>
  <c r="BL194" i="2"/>
  <c r="BL231" i="2"/>
  <c r="H170" i="2"/>
  <c r="BL22" i="2"/>
  <c r="H173" i="2"/>
  <c r="H88" i="2"/>
  <c r="H179" i="2"/>
  <c r="J21" i="51"/>
  <c r="L4" i="40"/>
  <c r="BD10" i="40" s="1"/>
  <c r="F13" i="41"/>
  <c r="H13" i="41"/>
  <c r="AS10" i="48"/>
  <c r="C13" i="41"/>
  <c r="AB10" i="48"/>
  <c r="P10" i="48"/>
  <c r="H16" i="43"/>
  <c r="H10" i="43"/>
  <c r="H11" i="43"/>
  <c r="AA16" i="43"/>
  <c r="AD10" i="43"/>
  <c r="AD16" i="43" s="1"/>
  <c r="AK16" i="43"/>
  <c r="BH10" i="43"/>
  <c r="AG16" i="43"/>
  <c r="L4" i="41"/>
  <c r="BP14" i="2"/>
  <c r="BP17" i="2"/>
  <c r="BP18" i="2"/>
  <c r="H231" i="2"/>
  <c r="AM23" i="2"/>
  <c r="AM239" i="2" s="1"/>
  <c r="AG9" i="48" s="1"/>
  <c r="H163" i="2"/>
  <c r="BP112" i="2"/>
  <c r="BP122" i="2"/>
  <c r="BP183" i="2"/>
  <c r="BP235" i="2"/>
  <c r="BP28" i="2"/>
  <c r="BP13" i="2"/>
  <c r="BP73" i="2"/>
  <c r="BP107" i="2"/>
  <c r="BP156" i="2"/>
  <c r="BP232" i="2"/>
  <c r="BP58" i="2"/>
  <c r="BP86" i="2"/>
  <c r="BP20" i="2"/>
  <c r="BP61" i="2"/>
  <c r="BP121" i="2"/>
  <c r="BP158" i="2"/>
  <c r="BP92" i="2"/>
  <c r="BP147" i="2"/>
  <c r="BP165" i="2"/>
  <c r="BP200" i="2"/>
  <c r="BP168" i="2"/>
  <c r="BP201" i="2"/>
  <c r="BP175" i="2"/>
  <c r="BP219" i="2"/>
  <c r="BP211" i="2"/>
  <c r="BP19" i="2"/>
  <c r="BP66" i="2"/>
  <c r="BP29" i="2"/>
  <c r="BP78" i="2"/>
  <c r="BP67" i="2"/>
  <c r="BP173" i="2"/>
  <c r="BP215" i="2"/>
  <c r="BP101" i="2"/>
  <c r="BP97" i="2"/>
  <c r="BP127" i="2"/>
  <c r="BP198" i="2"/>
  <c r="BP27" i="2"/>
  <c r="H32" i="2"/>
  <c r="BP79" i="2"/>
  <c r="BP90" i="2"/>
  <c r="BP59" i="2"/>
  <c r="BP33" i="2"/>
  <c r="BP85" i="2"/>
  <c r="BP157" i="2"/>
  <c r="BP167" i="2"/>
  <c r="BP100" i="2"/>
  <c r="BP149" i="2"/>
  <c r="BP133" i="2"/>
  <c r="BP148" i="2"/>
  <c r="BP182" i="2"/>
  <c r="BP212" i="2"/>
  <c r="BP206" i="2"/>
  <c r="BP233" i="2"/>
  <c r="BP228" i="2"/>
  <c r="H58" i="2"/>
  <c r="BP72" i="2"/>
  <c r="BL14" i="2"/>
  <c r="BL20" i="2"/>
  <c r="BL12" i="2"/>
  <c r="BL78" i="2"/>
  <c r="BL33" i="2"/>
  <c r="BL201" i="2"/>
  <c r="BL228" i="2"/>
  <c r="BL212" i="2"/>
  <c r="BL219" i="2"/>
  <c r="BL169" i="2"/>
  <c r="BL181" i="2"/>
  <c r="BL148" i="2"/>
  <c r="BL98" i="2"/>
  <c r="BL139" i="2"/>
  <c r="BL120" i="2"/>
  <c r="BL91" i="2"/>
  <c r="BL66" i="2"/>
  <c r="BL61" i="2"/>
  <c r="BL37" i="2"/>
  <c r="BL55" i="2"/>
  <c r="H27" i="2"/>
  <c r="H30" i="2"/>
  <c r="H205" i="2"/>
  <c r="BP65" i="2"/>
  <c r="BP96" i="2"/>
  <c r="BP139" i="2"/>
  <c r="BP214" i="2"/>
  <c r="BP42" i="2"/>
  <c r="BP118" i="2"/>
  <c r="BP134" i="2"/>
  <c r="BP231" i="2"/>
  <c r="BP21" i="2"/>
  <c r="H119" i="2"/>
  <c r="BP50" i="2"/>
  <c r="BP64" i="2"/>
  <c r="BP56" i="2"/>
  <c r="BP111" i="2"/>
  <c r="BP89" i="2"/>
  <c r="BP188" i="2"/>
  <c r="BP117" i="2"/>
  <c r="BP169" i="2"/>
  <c r="BP135" i="2"/>
  <c r="BP162" i="2"/>
  <c r="BP229" i="2"/>
  <c r="BP189" i="2"/>
  <c r="BP230" i="2"/>
  <c r="BP223" i="2"/>
  <c r="BP236" i="2"/>
  <c r="BP12" i="2"/>
  <c r="BP46" i="2"/>
  <c r="H62" i="2"/>
  <c r="H200" i="2"/>
  <c r="BP57" i="2"/>
  <c r="BN20" i="2"/>
  <c r="BN73" i="2"/>
  <c r="BN30" i="2"/>
  <c r="AA23" i="2"/>
  <c r="AA239" i="2" s="1"/>
  <c r="S9" i="48" s="1"/>
  <c r="H13" i="2"/>
  <c r="BP16" i="2"/>
  <c r="BP94" i="2"/>
  <c r="BP128" i="2"/>
  <c r="BP11" i="2"/>
  <c r="BP84" i="2"/>
  <c r="BP174" i="2"/>
  <c r="BP194" i="2"/>
  <c r="BP30" i="2"/>
  <c r="BP119" i="2"/>
  <c r="BP103" i="2"/>
  <c r="BP62" i="2"/>
  <c r="BP93" i="2"/>
  <c r="BP63" i="2"/>
  <c r="BP91" i="2"/>
  <c r="BP120" i="2"/>
  <c r="BP150" i="2"/>
  <c r="BP143" i="2"/>
  <c r="BP171" i="2"/>
  <c r="BP151" i="2"/>
  <c r="BP193" i="2"/>
  <c r="BP179" i="2"/>
  <c r="BP234" i="2"/>
  <c r="BP41" i="2"/>
  <c r="H127" i="2"/>
  <c r="BP37" i="2"/>
  <c r="H80" i="2"/>
  <c r="H97" i="2"/>
  <c r="H87" i="2"/>
  <c r="H93" i="2"/>
  <c r="H120" i="2"/>
  <c r="H194" i="2"/>
  <c r="H77" i="2"/>
  <c r="H86" i="2"/>
  <c r="AC16" i="43"/>
  <c r="BF10" i="43"/>
  <c r="BG10" i="43" s="1"/>
  <c r="AV16" i="43"/>
  <c r="BN56" i="2"/>
  <c r="BN171" i="2"/>
  <c r="BN87" i="2"/>
  <c r="BN170" i="2"/>
  <c r="BN134" i="2"/>
  <c r="BN164" i="2"/>
  <c r="BN200" i="2"/>
  <c r="BN207" i="2"/>
  <c r="BN230" i="2"/>
  <c r="H20" i="2"/>
  <c r="BO239" i="2"/>
  <c r="AK23" i="2"/>
  <c r="AK239" i="2" s="1"/>
  <c r="H133" i="2"/>
  <c r="BN60" i="2"/>
  <c r="BN58" i="2"/>
  <c r="BN89" i="2"/>
  <c r="BN121" i="2"/>
  <c r="BN96" i="2"/>
  <c r="BN163" i="2"/>
  <c r="BN156" i="2"/>
  <c r="BN231" i="2"/>
  <c r="BN235" i="2"/>
  <c r="H16" i="2"/>
  <c r="H19" i="2"/>
  <c r="X14" i="1"/>
  <c r="BN14" i="2"/>
  <c r="BN31" i="2"/>
  <c r="BN42" i="2"/>
  <c r="BN12" i="2"/>
  <c r="BN229" i="2"/>
  <c r="BN201" i="2"/>
  <c r="BN219" i="2"/>
  <c r="BN189" i="2"/>
  <c r="BN167" i="2"/>
  <c r="BN166" i="2"/>
  <c r="BN135" i="2"/>
  <c r="BN157" i="2"/>
  <c r="BN123" i="2"/>
  <c r="BN90" i="2"/>
  <c r="BN63" i="2"/>
  <c r="BN117" i="2"/>
  <c r="BN22" i="2"/>
  <c r="BN85" i="2"/>
  <c r="BN50" i="2"/>
  <c r="BN236" i="2"/>
  <c r="BN21" i="2"/>
  <c r="BN18" i="2"/>
  <c r="BN17" i="2"/>
  <c r="BN212" i="2"/>
  <c r="BN198" i="2"/>
  <c r="BN211" i="2"/>
  <c r="BN174" i="2"/>
  <c r="BN151" i="2"/>
  <c r="BN158" i="2"/>
  <c r="BN133" i="2"/>
  <c r="BN127" i="2"/>
  <c r="BN101" i="2"/>
  <c r="BN79" i="2"/>
  <c r="BN62" i="2"/>
  <c r="BN113" i="2"/>
  <c r="BN13" i="2"/>
  <c r="BN67" i="2"/>
  <c r="BN61" i="2"/>
  <c r="BN29" i="2"/>
  <c r="BN100" i="2"/>
  <c r="BN32" i="2"/>
  <c r="BN16" i="2"/>
  <c r="BN19" i="2"/>
  <c r="BN11" i="2"/>
  <c r="BN213" i="2"/>
  <c r="BN234" i="2"/>
  <c r="BN233" i="2"/>
  <c r="BN194" i="2"/>
  <c r="BN139" i="2"/>
  <c r="BN150" i="2"/>
  <c r="BN148" i="2"/>
  <c r="BN107" i="2"/>
  <c r="BN72" i="2"/>
  <c r="BN112" i="2"/>
  <c r="BN119" i="2"/>
  <c r="BN128" i="2"/>
  <c r="BN41" i="2"/>
  <c r="BN33" i="2"/>
  <c r="BN92" i="2"/>
  <c r="BN51" i="2"/>
  <c r="BN84" i="2"/>
  <c r="BN64" i="2"/>
  <c r="BN91" i="2"/>
  <c r="BN66" i="2"/>
  <c r="BN132" i="2"/>
  <c r="BN162" i="2"/>
  <c r="BN147" i="2"/>
  <c r="BN175" i="2"/>
  <c r="BN180" i="2"/>
  <c r="BN228" i="2"/>
  <c r="BN15" i="2"/>
  <c r="H37" i="2"/>
  <c r="BN103" i="2"/>
  <c r="BN97" i="2"/>
  <c r="BN78" i="2"/>
  <c r="BN93" i="2"/>
  <c r="BN173" i="2"/>
  <c r="BN206" i="2"/>
  <c r="BN179" i="2"/>
  <c r="BN181" i="2"/>
  <c r="BN199" i="2"/>
  <c r="H73" i="2"/>
  <c r="H63" i="2"/>
  <c r="M40" i="262"/>
  <c r="M42" i="262" s="1"/>
  <c r="M44" i="262" s="1"/>
  <c r="H71" i="2"/>
  <c r="H94" i="2"/>
  <c r="H171" i="2"/>
  <c r="H60" i="2"/>
  <c r="H169" i="2"/>
  <c r="H219" i="2"/>
  <c r="AY23" i="2"/>
  <c r="AY239" i="2" s="1"/>
  <c r="AS9" i="1" s="1"/>
  <c r="AS12" i="1" s="1"/>
  <c r="D69" i="1" s="1"/>
  <c r="AG23" i="2"/>
  <c r="AG239" i="2" s="1"/>
  <c r="L4" i="2"/>
  <c r="H65" i="2"/>
  <c r="H66" i="2"/>
  <c r="G44" i="51"/>
  <c r="F4" i="2"/>
  <c r="F4" i="41"/>
  <c r="BA23" i="2"/>
  <c r="BA239" i="2" s="1"/>
  <c r="H175" i="2"/>
  <c r="H78" i="2"/>
  <c r="H99" i="2"/>
  <c r="H67" i="2"/>
  <c r="H18" i="2"/>
  <c r="H233" i="2"/>
  <c r="F44" i="51"/>
  <c r="AT23" i="2"/>
  <c r="AV23" i="2"/>
  <c r="BM239" i="2"/>
  <c r="N23" i="1"/>
  <c r="D17" i="262"/>
  <c r="C26" i="262"/>
  <c r="F4" i="43"/>
  <c r="F4" i="40"/>
  <c r="X15" i="1"/>
  <c r="AL23" i="2"/>
  <c r="J36" i="1"/>
  <c r="K36" i="1" s="1"/>
  <c r="L34" i="1"/>
  <c r="H25" i="51"/>
  <c r="I25" i="51"/>
  <c r="BK239" i="2"/>
  <c r="I43" i="263"/>
  <c r="I24" i="263"/>
  <c r="AR10" i="40" l="1"/>
  <c r="AT10" i="40"/>
  <c r="BH10" i="40"/>
  <c r="AK10" i="40" s="1"/>
  <c r="AK22" i="40" s="1"/>
  <c r="AN10" i="40"/>
  <c r="D17" i="40" s="1"/>
  <c r="BA10" i="40"/>
  <c r="AP10" i="40"/>
  <c r="AY10" i="40"/>
  <c r="AY22" i="40" s="1"/>
  <c r="AU10" i="40"/>
  <c r="AU22" i="40" s="1"/>
  <c r="BF10" i="40"/>
  <c r="BF22" i="40" s="1"/>
  <c r="AS10" i="40"/>
  <c r="AS22" i="40" s="1"/>
  <c r="BE10" i="40"/>
  <c r="BE22" i="40" s="1"/>
  <c r="AW10" i="40"/>
  <c r="AO61" i="2"/>
  <c r="AP61" i="2" s="1"/>
  <c r="AB61" i="2" s="1"/>
  <c r="AO21" i="2"/>
  <c r="AP21" i="2" s="1"/>
  <c r="AB21" i="2" s="1"/>
  <c r="AO57" i="2"/>
  <c r="AP57" i="2" s="1"/>
  <c r="AB57" i="2" s="1"/>
  <c r="AO171" i="2"/>
  <c r="AP171" i="2" s="1"/>
  <c r="AB171" i="2" s="1"/>
  <c r="AO168" i="2"/>
  <c r="AP168" i="2" s="1"/>
  <c r="AB168" i="2" s="1"/>
  <c r="AO163" i="2"/>
  <c r="AP163" i="2" s="1"/>
  <c r="AB163" i="2" s="1"/>
  <c r="AO113" i="2"/>
  <c r="AP113" i="2" s="1"/>
  <c r="AB113" i="2" s="1"/>
  <c r="AO78" i="2"/>
  <c r="AP78" i="2" s="1"/>
  <c r="AB78" i="2" s="1"/>
  <c r="AO93" i="2"/>
  <c r="AP93" i="2" s="1"/>
  <c r="AB93" i="2" s="1"/>
  <c r="AO234" i="2"/>
  <c r="AP234" i="2" s="1"/>
  <c r="AB234" i="2" s="1"/>
  <c r="AO199" i="2"/>
  <c r="AP199" i="2" s="1"/>
  <c r="AB199" i="2" s="1"/>
  <c r="AO134" i="2"/>
  <c r="AP134" i="2" s="1"/>
  <c r="AB134" i="2" s="1"/>
  <c r="AO12" i="2"/>
  <c r="AP12" i="2" s="1"/>
  <c r="AB12" i="2" s="1"/>
  <c r="AO123" i="2"/>
  <c r="AP123" i="2" s="1"/>
  <c r="AB123" i="2" s="1"/>
  <c r="AO95" i="2"/>
  <c r="AP95" i="2" s="1"/>
  <c r="AB95" i="2" s="1"/>
  <c r="AO31" i="2"/>
  <c r="AP31" i="2" s="1"/>
  <c r="AB31" i="2" s="1"/>
  <c r="AO50" i="2"/>
  <c r="AP50" i="2" s="1"/>
  <c r="AB50" i="2" s="1"/>
  <c r="AO155" i="2"/>
  <c r="AP155" i="2" s="1"/>
  <c r="AB155" i="2" s="1"/>
  <c r="AO215" i="2"/>
  <c r="AP215" i="2" s="1"/>
  <c r="AB215" i="2" s="1"/>
  <c r="AO33" i="2"/>
  <c r="AP33" i="2" s="1"/>
  <c r="AB33" i="2" s="1"/>
  <c r="AO150" i="2"/>
  <c r="AP150" i="2" s="1"/>
  <c r="AB150" i="2" s="1"/>
  <c r="AO19" i="2"/>
  <c r="AP19" i="2" s="1"/>
  <c r="AB19" i="2" s="1"/>
  <c r="AO73" i="2"/>
  <c r="AP73" i="2" s="1"/>
  <c r="AB73" i="2" s="1"/>
  <c r="AO169" i="2"/>
  <c r="AP169" i="2" s="1"/>
  <c r="AB169" i="2" s="1"/>
  <c r="AO101" i="2"/>
  <c r="AP101" i="2" s="1"/>
  <c r="AB101" i="2" s="1"/>
  <c r="AO235" i="2"/>
  <c r="AP235" i="2" s="1"/>
  <c r="AB235" i="2" s="1"/>
  <c r="AO32" i="2"/>
  <c r="AP32" i="2" s="1"/>
  <c r="AB32" i="2" s="1"/>
  <c r="AO97" i="2"/>
  <c r="AP97" i="2" s="1"/>
  <c r="AB97" i="2" s="1"/>
  <c r="AO188" i="2"/>
  <c r="AP188" i="2" s="1"/>
  <c r="AB188" i="2" s="1"/>
  <c r="AO127" i="2"/>
  <c r="AP127" i="2" s="1"/>
  <c r="AB127" i="2" s="1"/>
  <c r="AO111" i="2"/>
  <c r="AP111" i="2" s="1"/>
  <c r="AB111" i="2" s="1"/>
  <c r="AO90" i="2"/>
  <c r="AP90" i="2" s="1"/>
  <c r="AB90" i="2" s="1"/>
  <c r="AO121" i="2"/>
  <c r="AP121" i="2" s="1"/>
  <c r="AB121" i="2" s="1"/>
  <c r="AO147" i="2"/>
  <c r="AP147" i="2" s="1"/>
  <c r="AB147" i="2" s="1"/>
  <c r="AO112" i="2"/>
  <c r="AP112" i="2" s="1"/>
  <c r="AB112" i="2" s="1"/>
  <c r="AO79" i="2"/>
  <c r="AP79" i="2" s="1"/>
  <c r="AB79" i="2" s="1"/>
  <c r="AO92" i="2"/>
  <c r="AP92" i="2" s="1"/>
  <c r="AB92" i="2" s="1"/>
  <c r="AO156" i="2"/>
  <c r="AP156" i="2" s="1"/>
  <c r="AB156" i="2" s="1"/>
  <c r="AO42" i="2"/>
  <c r="AP42" i="2" s="1"/>
  <c r="AB42" i="2" s="1"/>
  <c r="AO227" i="2"/>
  <c r="AP227" i="2" s="1"/>
  <c r="AB227" i="2" s="1"/>
  <c r="AO84" i="2"/>
  <c r="AP84" i="2" s="1"/>
  <c r="AB84" i="2" s="1"/>
  <c r="AO94" i="2"/>
  <c r="AP94" i="2" s="1"/>
  <c r="AB94" i="2" s="1"/>
  <c r="AO122" i="2"/>
  <c r="AP122" i="2" s="1"/>
  <c r="AB122" i="2" s="1"/>
  <c r="AO58" i="2"/>
  <c r="AP58" i="2" s="1"/>
  <c r="AB58" i="2" s="1"/>
  <c r="AO89" i="2"/>
  <c r="AP89" i="2" s="1"/>
  <c r="AB89" i="2" s="1"/>
  <c r="AO117" i="2"/>
  <c r="AP117" i="2" s="1"/>
  <c r="AB117" i="2" s="1"/>
  <c r="AO96" i="2"/>
  <c r="AP96" i="2" s="1"/>
  <c r="AB96" i="2" s="1"/>
  <c r="AO170" i="2"/>
  <c r="AP170" i="2" s="1"/>
  <c r="AB170" i="2" s="1"/>
  <c r="AO174" i="2"/>
  <c r="AP174" i="2" s="1"/>
  <c r="AB174" i="2" s="1"/>
  <c r="AO28" i="2"/>
  <c r="AP28" i="2" s="1"/>
  <c r="AB28" i="2" s="1"/>
  <c r="AO229" i="2"/>
  <c r="AP229" i="2" s="1"/>
  <c r="AB229" i="2" s="1"/>
  <c r="AO86" i="2"/>
  <c r="AP86" i="2" s="1"/>
  <c r="AB86" i="2" s="1"/>
  <c r="AO183" i="2"/>
  <c r="AP183" i="2" s="1"/>
  <c r="AB183" i="2" s="1"/>
  <c r="AO85" i="2"/>
  <c r="AP85" i="2" s="1"/>
  <c r="AB85" i="2" s="1"/>
  <c r="AO99" i="2"/>
  <c r="AP99" i="2" s="1"/>
  <c r="AB99" i="2" s="1"/>
  <c r="AO30" i="2"/>
  <c r="AP30" i="2" s="1"/>
  <c r="AB30" i="2" s="1"/>
  <c r="AO120" i="2"/>
  <c r="AP120" i="2" s="1"/>
  <c r="AB120" i="2" s="1"/>
  <c r="AO60" i="2"/>
  <c r="AP60" i="2" s="1"/>
  <c r="AB60" i="2" s="1"/>
  <c r="AO91" i="2"/>
  <c r="AP91" i="2" s="1"/>
  <c r="AB91" i="2" s="1"/>
  <c r="AO158" i="2"/>
  <c r="AP158" i="2" s="1"/>
  <c r="AB158" i="2" s="1"/>
  <c r="AO119" i="2"/>
  <c r="AP119" i="2" s="1"/>
  <c r="AB119" i="2" s="1"/>
  <c r="AO207" i="2"/>
  <c r="AP207" i="2" s="1"/>
  <c r="AB207" i="2" s="1"/>
  <c r="AO132" i="2"/>
  <c r="AP132" i="2" s="1"/>
  <c r="AB132" i="2" s="1"/>
  <c r="AO232" i="2"/>
  <c r="AP232" i="2" s="1"/>
  <c r="AB232" i="2" s="1"/>
  <c r="AO77" i="2"/>
  <c r="AP77" i="2" s="1"/>
  <c r="AB77" i="2" s="1"/>
  <c r="AO88" i="2"/>
  <c r="AP88" i="2" s="1"/>
  <c r="AB88" i="2" s="1"/>
  <c r="AO98" i="2"/>
  <c r="AP98" i="2" s="1"/>
  <c r="AB98" i="2" s="1"/>
  <c r="AO65" i="2"/>
  <c r="AP65" i="2" s="1"/>
  <c r="AB65" i="2" s="1"/>
  <c r="AO17" i="2"/>
  <c r="AP17" i="2" s="1"/>
  <c r="AB17" i="2" s="1"/>
  <c r="AO180" i="2"/>
  <c r="AP180" i="2" s="1"/>
  <c r="AB180" i="2" s="1"/>
  <c r="AO22" i="2"/>
  <c r="AP22" i="2" s="1"/>
  <c r="AB22" i="2" s="1"/>
  <c r="AO102" i="2"/>
  <c r="AP102" i="2" s="1"/>
  <c r="AB102" i="2" s="1"/>
  <c r="AO201" i="2"/>
  <c r="AP201" i="2" s="1"/>
  <c r="AB201" i="2" s="1"/>
  <c r="AO211" i="2"/>
  <c r="AP211" i="2" s="1"/>
  <c r="AB211" i="2" s="1"/>
  <c r="AO148" i="2"/>
  <c r="AP148" i="2" s="1"/>
  <c r="AB148" i="2" s="1"/>
  <c r="AO139" i="2"/>
  <c r="AP139" i="2" s="1"/>
  <c r="AB139" i="2" s="1"/>
  <c r="AO18" i="2"/>
  <c r="AP18" i="2" s="1"/>
  <c r="AB18" i="2" s="1"/>
  <c r="AO198" i="2"/>
  <c r="AP198" i="2" s="1"/>
  <c r="AB198" i="2" s="1"/>
  <c r="AO151" i="2"/>
  <c r="AP151" i="2" s="1"/>
  <c r="AB151" i="2" s="1"/>
  <c r="AO67" i="2"/>
  <c r="AP67" i="2" s="1"/>
  <c r="AB67" i="2" s="1"/>
  <c r="AO56" i="2"/>
  <c r="AP56" i="2" s="1"/>
  <c r="AB56" i="2" s="1"/>
  <c r="AO189" i="2"/>
  <c r="AP189" i="2" s="1"/>
  <c r="AB189" i="2" s="1"/>
  <c r="AO71" i="2"/>
  <c r="AP71" i="2" s="1"/>
  <c r="AB71" i="2" s="1"/>
  <c r="AO128" i="2"/>
  <c r="AP128" i="2" s="1"/>
  <c r="AB128" i="2" s="1"/>
  <c r="AO206" i="2"/>
  <c r="AP206" i="2" s="1"/>
  <c r="AB206" i="2" s="1"/>
  <c r="AO214" i="2"/>
  <c r="AP214" i="2" s="1"/>
  <c r="AB214" i="2" s="1"/>
  <c r="AO166" i="2"/>
  <c r="AP166" i="2" s="1"/>
  <c r="AB166" i="2" s="1"/>
  <c r="AO157" i="2"/>
  <c r="AP157" i="2" s="1"/>
  <c r="AB157" i="2" s="1"/>
  <c r="AO46" i="2"/>
  <c r="AP46" i="2" s="1"/>
  <c r="AB46" i="2" s="1"/>
  <c r="AO200" i="2"/>
  <c r="AP200" i="2" s="1"/>
  <c r="AB200" i="2" s="1"/>
  <c r="AO175" i="2"/>
  <c r="AP175" i="2" s="1"/>
  <c r="AB175" i="2" s="1"/>
  <c r="AO164" i="2"/>
  <c r="AP164" i="2" s="1"/>
  <c r="AB164" i="2" s="1"/>
  <c r="AO87" i="2"/>
  <c r="AP87" i="2" s="1"/>
  <c r="AB87" i="2" s="1"/>
  <c r="AO80" i="2"/>
  <c r="AP80" i="2" s="1"/>
  <c r="AB80" i="2" s="1"/>
  <c r="AO194" i="2"/>
  <c r="AP194" i="2" s="1"/>
  <c r="AB194" i="2" s="1"/>
  <c r="AO20" i="2"/>
  <c r="AP20" i="2" s="1"/>
  <c r="AB20" i="2" s="1"/>
  <c r="AO149" i="2"/>
  <c r="AP149" i="2" s="1"/>
  <c r="AB149" i="2" s="1"/>
  <c r="AO236" i="2"/>
  <c r="AP236" i="2" s="1"/>
  <c r="AB236" i="2" s="1"/>
  <c r="AO223" i="2"/>
  <c r="AP223" i="2" s="1"/>
  <c r="AB223" i="2" s="1"/>
  <c r="AO181" i="2"/>
  <c r="AP181" i="2" s="1"/>
  <c r="AB181" i="2" s="1"/>
  <c r="AO173" i="2"/>
  <c r="AP173" i="2" s="1"/>
  <c r="AB173" i="2" s="1"/>
  <c r="AO59" i="2"/>
  <c r="AP59" i="2" s="1"/>
  <c r="AB59" i="2" s="1"/>
  <c r="AO205" i="2"/>
  <c r="AP205" i="2" s="1"/>
  <c r="AB205" i="2" s="1"/>
  <c r="AO11" i="2"/>
  <c r="AP11" i="2" s="1"/>
  <c r="AB11" i="2" s="1"/>
  <c r="AO162" i="2"/>
  <c r="AP162" i="2" s="1"/>
  <c r="AB162" i="2" s="1"/>
  <c r="AO100" i="2"/>
  <c r="AP100" i="2" s="1"/>
  <c r="AB100" i="2" s="1"/>
  <c r="AO165" i="2"/>
  <c r="AP165" i="2" s="1"/>
  <c r="AB165" i="2" s="1"/>
  <c r="AO62" i="2"/>
  <c r="AP62" i="2" s="1"/>
  <c r="AB62" i="2" s="1"/>
  <c r="AO55" i="2"/>
  <c r="AP55" i="2" s="1"/>
  <c r="AB55" i="2" s="1"/>
  <c r="AO167" i="2"/>
  <c r="AP167" i="2" s="1"/>
  <c r="AB167" i="2" s="1"/>
  <c r="AO179" i="2"/>
  <c r="AP179" i="2" s="1"/>
  <c r="AB179" i="2" s="1"/>
  <c r="AO16" i="2"/>
  <c r="AP16" i="2" s="1"/>
  <c r="AB16" i="2" s="1"/>
  <c r="AO233" i="2"/>
  <c r="AP233" i="2" s="1"/>
  <c r="AB233" i="2" s="1"/>
  <c r="AO193" i="2"/>
  <c r="AP193" i="2" s="1"/>
  <c r="AB193" i="2" s="1"/>
  <c r="AO13" i="2"/>
  <c r="AP13" i="2" s="1"/>
  <c r="AB13" i="2" s="1"/>
  <c r="AO213" i="2"/>
  <c r="AP213" i="2" s="1"/>
  <c r="AB213" i="2" s="1"/>
  <c r="AO135" i="2"/>
  <c r="AP135" i="2" s="1"/>
  <c r="AB135" i="2" s="1"/>
  <c r="AO118" i="2"/>
  <c r="AP118" i="2" s="1"/>
  <c r="AB118" i="2" s="1"/>
  <c r="AO172" i="2"/>
  <c r="AP172" i="2" s="1"/>
  <c r="AB172" i="2" s="1"/>
  <c r="AO37" i="2"/>
  <c r="AP37" i="2" s="1"/>
  <c r="AB37" i="2" s="1"/>
  <c r="AO107" i="2"/>
  <c r="AP107" i="2" s="1"/>
  <c r="AB107" i="2" s="1"/>
  <c r="AO182" i="2"/>
  <c r="AP182" i="2" s="1"/>
  <c r="AB182" i="2" s="1"/>
  <c r="AO231" i="2"/>
  <c r="AP231" i="2" s="1"/>
  <c r="AB231" i="2" s="1"/>
  <c r="AO27" i="2"/>
  <c r="AP27" i="2" s="1"/>
  <c r="AB27" i="2" s="1"/>
  <c r="AO41" i="2"/>
  <c r="AP41" i="2" s="1"/>
  <c r="AB41" i="2" s="1"/>
  <c r="AO228" i="2"/>
  <c r="AP228" i="2" s="1"/>
  <c r="AB228" i="2" s="1"/>
  <c r="AO51" i="2"/>
  <c r="AP51" i="2" s="1"/>
  <c r="AB51" i="2" s="1"/>
  <c r="AO219" i="2"/>
  <c r="AP219" i="2" s="1"/>
  <c r="AB219" i="2" s="1"/>
  <c r="AO14" i="2"/>
  <c r="AP14" i="2" s="1"/>
  <c r="AB14" i="2" s="1"/>
  <c r="AO133" i="2"/>
  <c r="AP133" i="2" s="1"/>
  <c r="AB133" i="2" s="1"/>
  <c r="AO15" i="2"/>
  <c r="AP15" i="2" s="1"/>
  <c r="AB15" i="2" s="1"/>
  <c r="AO63" i="2"/>
  <c r="AP63" i="2" s="1"/>
  <c r="AB63" i="2" s="1"/>
  <c r="AO143" i="2"/>
  <c r="AP143" i="2" s="1"/>
  <c r="AB143" i="2" s="1"/>
  <c r="AO212" i="2"/>
  <c r="AP212" i="2" s="1"/>
  <c r="AB212" i="2" s="1"/>
  <c r="AO72" i="2"/>
  <c r="AP72" i="2" s="1"/>
  <c r="AB72" i="2" s="1"/>
  <c r="AO29" i="2"/>
  <c r="AP29" i="2" s="1"/>
  <c r="AB29" i="2" s="1"/>
  <c r="AO64" i="2"/>
  <c r="AP64" i="2" s="1"/>
  <c r="AB64" i="2" s="1"/>
  <c r="AO103" i="2"/>
  <c r="AP103" i="2" s="1"/>
  <c r="AB103" i="2" s="1"/>
  <c r="AO66" i="2"/>
  <c r="AP66" i="2" s="1"/>
  <c r="AB66" i="2" s="1"/>
  <c r="J25" i="51"/>
  <c r="AF12" i="1"/>
  <c r="AP16" i="43"/>
  <c r="AR12" i="1"/>
  <c r="BB22" i="2"/>
  <c r="BC22" i="2" s="1"/>
  <c r="BB15" i="2"/>
  <c r="BC15" i="2" s="1"/>
  <c r="BB20" i="2"/>
  <c r="BC20" i="2" s="1"/>
  <c r="BB156" i="2"/>
  <c r="BC156" i="2" s="1"/>
  <c r="BB213" i="2"/>
  <c r="BC213" i="2" s="1"/>
  <c r="BB157" i="2"/>
  <c r="BC157" i="2" s="1"/>
  <c r="BB139" i="2"/>
  <c r="BC139" i="2" s="1"/>
  <c r="BB13" i="2"/>
  <c r="BC13" i="2" s="1"/>
  <c r="BB214" i="2"/>
  <c r="BC214" i="2" s="1"/>
  <c r="BB211" i="2"/>
  <c r="BC211" i="2" s="1"/>
  <c r="BB12" i="2"/>
  <c r="BC12" i="2" s="1"/>
  <c r="BB14" i="2"/>
  <c r="BC14" i="2" s="1"/>
  <c r="BB11" i="2"/>
  <c r="BC11" i="2" s="1"/>
  <c r="BB158" i="2"/>
  <c r="BC158" i="2" s="1"/>
  <c r="BB18" i="2"/>
  <c r="BC18" i="2" s="1"/>
  <c r="BB16" i="2"/>
  <c r="BC16" i="2" s="1"/>
  <c r="BB155" i="2"/>
  <c r="BC155" i="2" s="1"/>
  <c r="BB215" i="2"/>
  <c r="BC215" i="2" s="1"/>
  <c r="BB212" i="2"/>
  <c r="BC212" i="2" s="1"/>
  <c r="BB21" i="2"/>
  <c r="BC21" i="2" s="1"/>
  <c r="BB19" i="2"/>
  <c r="BC19" i="2" s="1"/>
  <c r="BB17" i="2"/>
  <c r="BC17" i="2" s="1"/>
  <c r="BB46" i="2"/>
  <c r="BC46" i="2" s="1"/>
  <c r="BB119" i="2"/>
  <c r="BC119" i="2" s="1"/>
  <c r="BB92" i="2"/>
  <c r="BC92" i="2" s="1"/>
  <c r="BB57" i="2"/>
  <c r="BC57" i="2" s="1"/>
  <c r="BB194" i="2"/>
  <c r="BC194" i="2" s="1"/>
  <c r="BB122" i="2"/>
  <c r="BC122" i="2" s="1"/>
  <c r="BB228" i="2"/>
  <c r="BC228" i="2" s="1"/>
  <c r="BB205" i="2"/>
  <c r="BC205" i="2" s="1"/>
  <c r="BB163" i="2"/>
  <c r="BC163" i="2" s="1"/>
  <c r="BB207" i="2"/>
  <c r="BC207" i="2" s="1"/>
  <c r="BB189" i="2"/>
  <c r="BC189" i="2" s="1"/>
  <c r="BB91" i="2"/>
  <c r="BC91" i="2" s="1"/>
  <c r="BB175" i="2"/>
  <c r="BC175" i="2" s="1"/>
  <c r="BB219" i="2"/>
  <c r="BC219" i="2" s="1"/>
  <c r="BB232" i="2"/>
  <c r="BC232" i="2" s="1"/>
  <c r="BB93" i="2"/>
  <c r="BC93" i="2" s="1"/>
  <c r="BB223" i="2"/>
  <c r="BC223" i="2" s="1"/>
  <c r="BB112" i="2"/>
  <c r="BC112" i="2" s="1"/>
  <c r="BB149" i="2"/>
  <c r="BC149" i="2" s="1"/>
  <c r="BB72" i="2"/>
  <c r="BC72" i="2" s="1"/>
  <c r="BB164" i="2"/>
  <c r="BC164" i="2" s="1"/>
  <c r="BB230" i="2"/>
  <c r="BC230" i="2" s="1"/>
  <c r="BB183" i="2"/>
  <c r="BC183" i="2" s="1"/>
  <c r="BB95" i="2"/>
  <c r="BC95" i="2" s="1"/>
  <c r="BB31" i="2"/>
  <c r="BC31" i="2" s="1"/>
  <c r="BB171" i="2"/>
  <c r="BC171" i="2" s="1"/>
  <c r="BB236" i="2"/>
  <c r="BC236" i="2" s="1"/>
  <c r="BB150" i="2"/>
  <c r="BC150" i="2" s="1"/>
  <c r="BB61" i="2"/>
  <c r="BC61" i="2" s="1"/>
  <c r="BB78" i="2"/>
  <c r="BC78" i="2" s="1"/>
  <c r="BB37" i="2"/>
  <c r="BC37" i="2" s="1"/>
  <c r="BB86" i="2"/>
  <c r="BC86" i="2" s="1"/>
  <c r="BB133" i="2"/>
  <c r="BC133" i="2" s="1"/>
  <c r="BB181" i="2"/>
  <c r="BC181" i="2" s="1"/>
  <c r="BB123" i="2"/>
  <c r="BC123" i="2" s="1"/>
  <c r="BB182" i="2"/>
  <c r="BC182" i="2" s="1"/>
  <c r="BB51" i="2"/>
  <c r="BC51" i="2" s="1"/>
  <c r="BB147" i="2"/>
  <c r="BC147" i="2" s="1"/>
  <c r="BB134" i="2"/>
  <c r="BC134" i="2" s="1"/>
  <c r="BB107" i="2"/>
  <c r="BC107" i="2" s="1"/>
  <c r="BB59" i="2"/>
  <c r="BC59" i="2" s="1"/>
  <c r="BB206" i="2"/>
  <c r="BC206" i="2" s="1"/>
  <c r="BB120" i="2"/>
  <c r="BC120" i="2" s="1"/>
  <c r="BB67" i="2"/>
  <c r="BC67" i="2" s="1"/>
  <c r="BB143" i="2"/>
  <c r="BC143" i="2" s="1"/>
  <c r="BB55" i="2"/>
  <c r="BC55" i="2" s="1"/>
  <c r="BB229" i="2"/>
  <c r="BC229" i="2" s="1"/>
  <c r="BB166" i="2"/>
  <c r="BC166" i="2" s="1"/>
  <c r="BB151" i="2"/>
  <c r="BC151" i="2" s="1"/>
  <c r="BB96" i="2"/>
  <c r="BC96" i="2" s="1"/>
  <c r="BB179" i="2"/>
  <c r="BC179" i="2" s="1"/>
  <c r="BB56" i="2"/>
  <c r="BC56" i="2" s="1"/>
  <c r="BB32" i="2"/>
  <c r="BC32" i="2" s="1"/>
  <c r="BB28" i="2"/>
  <c r="BC28" i="2" s="1"/>
  <c r="BB118" i="2"/>
  <c r="BC118" i="2" s="1"/>
  <c r="BB66" i="2"/>
  <c r="BC66" i="2" s="1"/>
  <c r="BB50" i="2"/>
  <c r="BC50" i="2" s="1"/>
  <c r="BB188" i="2"/>
  <c r="BC188" i="2" s="1"/>
  <c r="BB128" i="2"/>
  <c r="BC128" i="2" s="1"/>
  <c r="BB62" i="2"/>
  <c r="BC62" i="2" s="1"/>
  <c r="BB173" i="2"/>
  <c r="BC173" i="2" s="1"/>
  <c r="BB102" i="2"/>
  <c r="BC102" i="2" s="1"/>
  <c r="BB33" i="2"/>
  <c r="BC33" i="2" s="1"/>
  <c r="BB167" i="2"/>
  <c r="BC167" i="2" s="1"/>
  <c r="BB235" i="2"/>
  <c r="BC235" i="2" s="1"/>
  <c r="BB30" i="2"/>
  <c r="BC30" i="2" s="1"/>
  <c r="BB64" i="2"/>
  <c r="BC64" i="2" s="1"/>
  <c r="BB201" i="2"/>
  <c r="BC201" i="2" s="1"/>
  <c r="BB135" i="2"/>
  <c r="BC135" i="2" s="1"/>
  <c r="BB65" i="2"/>
  <c r="BC65" i="2" s="1"/>
  <c r="BB174" i="2"/>
  <c r="BC174" i="2" s="1"/>
  <c r="BB103" i="2"/>
  <c r="BC103" i="2" s="1"/>
  <c r="BB71" i="2"/>
  <c r="BC71" i="2" s="1"/>
  <c r="BB85" i="2"/>
  <c r="BC85" i="2" s="1"/>
  <c r="BB172" i="2"/>
  <c r="BC172" i="2" s="1"/>
  <c r="BB162" i="2"/>
  <c r="BC162" i="2" s="1"/>
  <c r="BB90" i="2"/>
  <c r="BC90" i="2" s="1"/>
  <c r="BB111" i="2"/>
  <c r="BC111" i="2" s="1"/>
  <c r="BB73" i="2"/>
  <c r="BC73" i="2" s="1"/>
  <c r="BB63" i="2"/>
  <c r="BC63" i="2" s="1"/>
  <c r="BB60" i="2"/>
  <c r="BC60" i="2" s="1"/>
  <c r="BB231" i="2"/>
  <c r="BC231" i="2" s="1"/>
  <c r="BB100" i="2"/>
  <c r="BC100" i="2" s="1"/>
  <c r="BB227" i="2"/>
  <c r="BC227" i="2" s="1"/>
  <c r="BB97" i="2"/>
  <c r="BC97" i="2" s="1"/>
  <c r="BB77" i="2"/>
  <c r="BC77" i="2" s="1"/>
  <c r="BB168" i="2"/>
  <c r="BC168" i="2" s="1"/>
  <c r="BB80" i="2"/>
  <c r="BC80" i="2" s="1"/>
  <c r="BB58" i="2"/>
  <c r="BC58" i="2" s="1"/>
  <c r="BB117" i="2"/>
  <c r="BC117" i="2" s="1"/>
  <c r="BB29" i="2"/>
  <c r="BC29" i="2" s="1"/>
  <c r="BB169" i="2"/>
  <c r="BC169" i="2" s="1"/>
  <c r="BB79" i="2"/>
  <c r="BC79" i="2" s="1"/>
  <c r="BB234" i="2"/>
  <c r="BC234" i="2" s="1"/>
  <c r="BB41" i="2"/>
  <c r="BC41" i="2" s="1"/>
  <c r="BB99" i="2"/>
  <c r="BC99" i="2" s="1"/>
  <c r="BB87" i="2"/>
  <c r="BC87" i="2" s="1"/>
  <c r="BB101" i="2"/>
  <c r="BC101" i="2" s="1"/>
  <c r="BB89" i="2"/>
  <c r="BC89" i="2" s="1"/>
  <c r="BB132" i="2"/>
  <c r="BC132" i="2" s="1"/>
  <c r="BB233" i="2"/>
  <c r="BC233" i="2" s="1"/>
  <c r="BB88" i="2"/>
  <c r="BC88" i="2" s="1"/>
  <c r="BB94" i="2"/>
  <c r="BC94" i="2" s="1"/>
  <c r="BB42" i="2"/>
  <c r="BC42" i="2" s="1"/>
  <c r="BB199" i="2"/>
  <c r="BC199" i="2" s="1"/>
  <c r="BB180" i="2"/>
  <c r="BC180" i="2" s="1"/>
  <c r="BB148" i="2"/>
  <c r="BC148" i="2" s="1"/>
  <c r="BB193" i="2"/>
  <c r="BC193" i="2" s="1"/>
  <c r="BB98" i="2"/>
  <c r="BC98" i="2" s="1"/>
  <c r="BB165" i="2"/>
  <c r="BC165" i="2" s="1"/>
  <c r="BB84" i="2"/>
  <c r="BC84" i="2" s="1"/>
  <c r="BB198" i="2"/>
  <c r="BC198" i="2" s="1"/>
  <c r="BB127" i="2"/>
  <c r="BC127" i="2" s="1"/>
  <c r="BB200" i="2"/>
  <c r="BC200" i="2" s="1"/>
  <c r="BB121" i="2"/>
  <c r="BC121" i="2" s="1"/>
  <c r="BB113" i="2"/>
  <c r="BC113" i="2" s="1"/>
  <c r="BB170" i="2"/>
  <c r="BC170" i="2" s="1"/>
  <c r="BB27" i="2"/>
  <c r="BC27" i="2" s="1"/>
  <c r="AP230" i="2"/>
  <c r="AB230" i="2" s="1"/>
  <c r="AK12" i="1"/>
  <c r="AW236" i="2"/>
  <c r="AX236" i="2" s="1"/>
  <c r="K236" i="2" s="1"/>
  <c r="AW206" i="2"/>
  <c r="AX206" i="2" s="1"/>
  <c r="K206" i="2" s="1"/>
  <c r="AW188" i="2"/>
  <c r="AX188" i="2" s="1"/>
  <c r="K188" i="2" s="1"/>
  <c r="AW229" i="2"/>
  <c r="AX229" i="2" s="1"/>
  <c r="K229" i="2" s="1"/>
  <c r="AW201" i="2"/>
  <c r="AX201" i="2" s="1"/>
  <c r="K201" i="2" s="1"/>
  <c r="AW199" i="2"/>
  <c r="AX199" i="2" s="1"/>
  <c r="K199" i="2" s="1"/>
  <c r="AW194" i="2"/>
  <c r="AX194" i="2" s="1"/>
  <c r="K194" i="2" s="1"/>
  <c r="AW174" i="2"/>
  <c r="AX174" i="2" s="1"/>
  <c r="K174" i="2" s="1"/>
  <c r="AW162" i="2"/>
  <c r="AX162" i="2" s="1"/>
  <c r="K162" i="2" s="1"/>
  <c r="AW151" i="2"/>
  <c r="AX151" i="2" s="1"/>
  <c r="K151" i="2" s="1"/>
  <c r="AW120" i="2"/>
  <c r="AX120" i="2" s="1"/>
  <c r="K120" i="2" s="1"/>
  <c r="AW107" i="2"/>
  <c r="AX107" i="2" s="1"/>
  <c r="K107" i="2" s="1"/>
  <c r="AW97" i="2"/>
  <c r="AX97" i="2" s="1"/>
  <c r="K97" i="2" s="1"/>
  <c r="AW60" i="2"/>
  <c r="AX60" i="2" s="1"/>
  <c r="K60" i="2" s="1"/>
  <c r="AW19" i="2"/>
  <c r="AX19" i="2" s="1"/>
  <c r="K19" i="2" s="1"/>
  <c r="AW50" i="2"/>
  <c r="AX50" i="2" s="1"/>
  <c r="K50" i="2" s="1"/>
  <c r="AW12" i="2"/>
  <c r="AX12" i="2" s="1"/>
  <c r="K12" i="2" s="1"/>
  <c r="AW17" i="2"/>
  <c r="AX17" i="2" s="1"/>
  <c r="AW234" i="2"/>
  <c r="AX234" i="2" s="1"/>
  <c r="K234" i="2" s="1"/>
  <c r="AW182" i="2"/>
  <c r="AX182" i="2" s="1"/>
  <c r="AW167" i="2"/>
  <c r="AX167" i="2" s="1"/>
  <c r="K167" i="2" s="1"/>
  <c r="AW135" i="2"/>
  <c r="AX135" i="2" s="1"/>
  <c r="K135" i="2" s="1"/>
  <c r="AW133" i="2"/>
  <c r="AX133" i="2" s="1"/>
  <c r="K133" i="2" s="1"/>
  <c r="AW128" i="2"/>
  <c r="AX128" i="2" s="1"/>
  <c r="K128" i="2" s="1"/>
  <c r="AW102" i="2"/>
  <c r="AX102" i="2" s="1"/>
  <c r="K102" i="2" s="1"/>
  <c r="AW65" i="2"/>
  <c r="AX65" i="2" s="1"/>
  <c r="K65" i="2" s="1"/>
  <c r="AW42" i="2"/>
  <c r="AX42" i="2" s="1"/>
  <c r="K42" i="2" s="1"/>
  <c r="AW227" i="2"/>
  <c r="AX227" i="2" s="1"/>
  <c r="K227" i="2" s="1"/>
  <c r="AW215" i="2"/>
  <c r="AX215" i="2" s="1"/>
  <c r="K215" i="2" s="1"/>
  <c r="AW212" i="2"/>
  <c r="AX212" i="2" s="1"/>
  <c r="K212" i="2" s="1"/>
  <c r="AW172" i="2"/>
  <c r="AX172" i="2" s="1"/>
  <c r="K172" i="2" s="1"/>
  <c r="AW149" i="2"/>
  <c r="AX149" i="2" s="1"/>
  <c r="K149" i="2" s="1"/>
  <c r="AW118" i="2"/>
  <c r="AX118" i="2" s="1"/>
  <c r="AW95" i="2"/>
  <c r="AX95" i="2" s="1"/>
  <c r="K95" i="2" s="1"/>
  <c r="AW93" i="2"/>
  <c r="AX93" i="2" s="1"/>
  <c r="AW91" i="2"/>
  <c r="AX91" i="2" s="1"/>
  <c r="AW89" i="2"/>
  <c r="AX89" i="2" s="1"/>
  <c r="K89" i="2" s="1"/>
  <c r="AW87" i="2"/>
  <c r="AX87" i="2" s="1"/>
  <c r="K87" i="2" s="1"/>
  <c r="AW58" i="2"/>
  <c r="AX58" i="2" s="1"/>
  <c r="K58" i="2" s="1"/>
  <c r="AW232" i="2"/>
  <c r="AX232" i="2" s="1"/>
  <c r="K232" i="2" s="1"/>
  <c r="AW189" i="2"/>
  <c r="AX189" i="2" s="1"/>
  <c r="K189" i="2" s="1"/>
  <c r="AW180" i="2"/>
  <c r="AX180" i="2" s="1"/>
  <c r="K180" i="2" s="1"/>
  <c r="AW165" i="2"/>
  <c r="AX165" i="2" s="1"/>
  <c r="K165" i="2" s="1"/>
  <c r="AW155" i="2"/>
  <c r="AX155" i="2" s="1"/>
  <c r="K155" i="2" s="1"/>
  <c r="AW123" i="2"/>
  <c r="AX123" i="2" s="1"/>
  <c r="K123" i="2" s="1"/>
  <c r="AW100" i="2"/>
  <c r="AX100" i="2" s="1"/>
  <c r="K100" i="2" s="1"/>
  <c r="AW85" i="2"/>
  <c r="AX85" i="2" s="1"/>
  <c r="K85" i="2" s="1"/>
  <c r="AW63" i="2"/>
  <c r="AX63" i="2" s="1"/>
  <c r="K63" i="2" s="1"/>
  <c r="AW37" i="2"/>
  <c r="AW32" i="2"/>
  <c r="AX32" i="2" s="1"/>
  <c r="K32" i="2" s="1"/>
  <c r="AW30" i="2"/>
  <c r="AX30" i="2" s="1"/>
  <c r="K30" i="2" s="1"/>
  <c r="AW28" i="2"/>
  <c r="AX28" i="2" s="1"/>
  <c r="K28" i="2" s="1"/>
  <c r="AW207" i="2"/>
  <c r="AX207" i="2" s="1"/>
  <c r="K207" i="2" s="1"/>
  <c r="AW170" i="2"/>
  <c r="AX170" i="2" s="1"/>
  <c r="K170" i="2" s="1"/>
  <c r="AW147" i="2"/>
  <c r="AX147" i="2" s="1"/>
  <c r="K147" i="2" s="1"/>
  <c r="AW113" i="2"/>
  <c r="AX113" i="2" s="1"/>
  <c r="K113" i="2" s="1"/>
  <c r="AW73" i="2"/>
  <c r="AX73" i="2" s="1"/>
  <c r="K73" i="2" s="1"/>
  <c r="AW230" i="2"/>
  <c r="AX230" i="2" s="1"/>
  <c r="K230" i="2" s="1"/>
  <c r="AW219" i="2"/>
  <c r="AX219" i="2" s="1"/>
  <c r="AW235" i="2"/>
  <c r="AX235" i="2" s="1"/>
  <c r="K235" i="2" s="1"/>
  <c r="AW213" i="2"/>
  <c r="AX213" i="2" s="1"/>
  <c r="AW205" i="2"/>
  <c r="AX205" i="2" s="1"/>
  <c r="K205" i="2" s="1"/>
  <c r="AW200" i="2"/>
  <c r="AX200" i="2" s="1"/>
  <c r="K200" i="2" s="1"/>
  <c r="AW198" i="2"/>
  <c r="AX198" i="2" s="1"/>
  <c r="AW183" i="2"/>
  <c r="AX183" i="2" s="1"/>
  <c r="K183" i="2" s="1"/>
  <c r="AW228" i="2"/>
  <c r="AX228" i="2" s="1"/>
  <c r="K228" i="2" s="1"/>
  <c r="AW233" i="2"/>
  <c r="AX233" i="2" s="1"/>
  <c r="K233" i="2" s="1"/>
  <c r="AW181" i="2"/>
  <c r="AX181" i="2" s="1"/>
  <c r="K181" i="2" s="1"/>
  <c r="AW166" i="2"/>
  <c r="AX166" i="2" s="1"/>
  <c r="K166" i="2" s="1"/>
  <c r="AW127" i="2"/>
  <c r="AX127" i="2" s="1"/>
  <c r="K127" i="2" s="1"/>
  <c r="AW101" i="2"/>
  <c r="AX101" i="2" s="1"/>
  <c r="K101" i="2" s="1"/>
  <c r="AW94" i="2"/>
  <c r="AX94" i="2" s="1"/>
  <c r="K94" i="2" s="1"/>
  <c r="AW92" i="2"/>
  <c r="AX92" i="2" s="1"/>
  <c r="K92" i="2" s="1"/>
  <c r="AW90" i="2"/>
  <c r="AX90" i="2" s="1"/>
  <c r="K90" i="2" s="1"/>
  <c r="AW88" i="2"/>
  <c r="AX88" i="2" s="1"/>
  <c r="K88" i="2" s="1"/>
  <c r="AW223" i="2"/>
  <c r="AX223" i="2" s="1"/>
  <c r="K223" i="2" s="1"/>
  <c r="AW231" i="2"/>
  <c r="AX231" i="2" s="1"/>
  <c r="K231" i="2" s="1"/>
  <c r="AW214" i="2"/>
  <c r="AX214" i="2" s="1"/>
  <c r="K214" i="2" s="1"/>
  <c r="AW103" i="2"/>
  <c r="AX103" i="2" s="1"/>
  <c r="AW158" i="2"/>
  <c r="AX158" i="2" s="1"/>
  <c r="K158" i="2" s="1"/>
  <c r="AW156" i="2"/>
  <c r="AX156" i="2" s="1"/>
  <c r="K156" i="2" s="1"/>
  <c r="AW139" i="2"/>
  <c r="AX139" i="2" s="1"/>
  <c r="K139" i="2" s="1"/>
  <c r="AW51" i="2"/>
  <c r="AX51" i="2" s="1"/>
  <c r="K51" i="2" s="1"/>
  <c r="AW21" i="2"/>
  <c r="AX21" i="2" s="1"/>
  <c r="K21" i="2" s="1"/>
  <c r="AW211" i="2"/>
  <c r="AX211" i="2" s="1"/>
  <c r="K211" i="2" s="1"/>
  <c r="AW111" i="2"/>
  <c r="AX111" i="2" s="1"/>
  <c r="K111" i="2" s="1"/>
  <c r="AW98" i="2"/>
  <c r="AX98" i="2" s="1"/>
  <c r="K98" i="2" s="1"/>
  <c r="AW96" i="2"/>
  <c r="AX96" i="2" s="1"/>
  <c r="K96" i="2" s="1"/>
  <c r="AW72" i="2"/>
  <c r="AX72" i="2" s="1"/>
  <c r="AW67" i="2"/>
  <c r="AX67" i="2" s="1"/>
  <c r="AW27" i="2"/>
  <c r="AX27" i="2" s="1"/>
  <c r="K27" i="2" s="1"/>
  <c r="AW84" i="2"/>
  <c r="AX84" i="2" s="1"/>
  <c r="K84" i="2" s="1"/>
  <c r="AW31" i="2"/>
  <c r="AX31" i="2" s="1"/>
  <c r="K31" i="2" s="1"/>
  <c r="AW20" i="2"/>
  <c r="AX20" i="2" s="1"/>
  <c r="K20" i="2" s="1"/>
  <c r="AW18" i="2"/>
  <c r="AX18" i="2" s="1"/>
  <c r="K18" i="2" s="1"/>
  <c r="AW71" i="2"/>
  <c r="AX71" i="2" s="1"/>
  <c r="K71" i="2" s="1"/>
  <c r="AW132" i="2"/>
  <c r="AX132" i="2" s="1"/>
  <c r="AW99" i="2"/>
  <c r="AX99" i="2" s="1"/>
  <c r="K99" i="2" s="1"/>
  <c r="AW175" i="2"/>
  <c r="AX175" i="2" s="1"/>
  <c r="K175" i="2" s="1"/>
  <c r="AW168" i="2"/>
  <c r="AX168" i="2" s="1"/>
  <c r="K168" i="2" s="1"/>
  <c r="AW169" i="2"/>
  <c r="AX169" i="2" s="1"/>
  <c r="K169" i="2" s="1"/>
  <c r="AW79" i="2"/>
  <c r="AX79" i="2" s="1"/>
  <c r="K79" i="2" s="1"/>
  <c r="AW143" i="2"/>
  <c r="AX143" i="2" s="1"/>
  <c r="AW16" i="2"/>
  <c r="AX16" i="2" s="1"/>
  <c r="K16" i="2" s="1"/>
  <c r="AW148" i="2"/>
  <c r="AX148" i="2" s="1"/>
  <c r="K148" i="2" s="1"/>
  <c r="AW193" i="2"/>
  <c r="AX193" i="2" s="1"/>
  <c r="K193" i="2" s="1"/>
  <c r="AW179" i="2"/>
  <c r="AX179" i="2" s="1"/>
  <c r="K179" i="2" s="1"/>
  <c r="AW122" i="2"/>
  <c r="AX122" i="2" s="1"/>
  <c r="K122" i="2" s="1"/>
  <c r="AW77" i="2"/>
  <c r="AX77" i="2" s="1"/>
  <c r="K77" i="2" s="1"/>
  <c r="AW61" i="2"/>
  <c r="AX61" i="2" s="1"/>
  <c r="K61" i="2" s="1"/>
  <c r="AW29" i="2"/>
  <c r="AX29" i="2" s="1"/>
  <c r="K29" i="2" s="1"/>
  <c r="AW171" i="2"/>
  <c r="AX171" i="2" s="1"/>
  <c r="AW164" i="2"/>
  <c r="AX164" i="2" s="1"/>
  <c r="K164" i="2" s="1"/>
  <c r="AW59" i="2"/>
  <c r="AX59" i="2" s="1"/>
  <c r="AW57" i="2"/>
  <c r="AX57" i="2" s="1"/>
  <c r="AW14" i="2"/>
  <c r="AX14" i="2" s="1"/>
  <c r="K14" i="2" s="1"/>
  <c r="AW55" i="2"/>
  <c r="AX55" i="2" s="1"/>
  <c r="K55" i="2" s="1"/>
  <c r="AW173" i="2"/>
  <c r="AX173" i="2" s="1"/>
  <c r="AW157" i="2"/>
  <c r="AX157" i="2" s="1"/>
  <c r="K157" i="2" s="1"/>
  <c r="AW112" i="2"/>
  <c r="AX112" i="2" s="1"/>
  <c r="K112" i="2" s="1"/>
  <c r="AW22" i="2"/>
  <c r="AX22" i="2" s="1"/>
  <c r="K22" i="2" s="1"/>
  <c r="AW117" i="2"/>
  <c r="AX117" i="2" s="1"/>
  <c r="K117" i="2" s="1"/>
  <c r="AW86" i="2"/>
  <c r="AX86" i="2" s="1"/>
  <c r="K86" i="2" s="1"/>
  <c r="AW33" i="2"/>
  <c r="AX33" i="2" s="1"/>
  <c r="K33" i="2" s="1"/>
  <c r="AW41" i="2"/>
  <c r="AX41" i="2" s="1"/>
  <c r="K41" i="2" s="1"/>
  <c r="AW46" i="2"/>
  <c r="AX46" i="2" s="1"/>
  <c r="K46" i="2" s="1"/>
  <c r="AW15" i="2"/>
  <c r="AX15" i="2" s="1"/>
  <c r="K15" i="2" s="1"/>
  <c r="AW78" i="2"/>
  <c r="AX78" i="2" s="1"/>
  <c r="K78" i="2" s="1"/>
  <c r="AW62" i="2"/>
  <c r="AX62" i="2" s="1"/>
  <c r="K62" i="2" s="1"/>
  <c r="AW163" i="2"/>
  <c r="AX163" i="2" s="1"/>
  <c r="AW64" i="2"/>
  <c r="AX64" i="2" s="1"/>
  <c r="K64" i="2" s="1"/>
  <c r="AW150" i="2"/>
  <c r="AX150" i="2" s="1"/>
  <c r="K150" i="2" s="1"/>
  <c r="AW66" i="2"/>
  <c r="AX66" i="2" s="1"/>
  <c r="K66" i="2" s="1"/>
  <c r="AW134" i="2"/>
  <c r="AX134" i="2" s="1"/>
  <c r="K134" i="2" s="1"/>
  <c r="AW56" i="2"/>
  <c r="AX56" i="2" s="1"/>
  <c r="K56" i="2" s="1"/>
  <c r="AW119" i="2"/>
  <c r="AX119" i="2" s="1"/>
  <c r="K119" i="2" s="1"/>
  <c r="AW13" i="2"/>
  <c r="AX13" i="2" s="1"/>
  <c r="K13" i="2" s="1"/>
  <c r="AW121" i="2"/>
  <c r="AX121" i="2" s="1"/>
  <c r="K121" i="2" s="1"/>
  <c r="AW80" i="2"/>
  <c r="AX80" i="2" s="1"/>
  <c r="K80" i="2" s="1"/>
  <c r="AW11" i="2"/>
  <c r="AX11" i="2" s="1"/>
  <c r="AR239" i="2"/>
  <c r="AD12" i="1"/>
  <c r="D62" i="1" s="1"/>
  <c r="L48" i="51" s="1"/>
  <c r="N48" i="51" s="1"/>
  <c r="AS9" i="48"/>
  <c r="BP239" i="2"/>
  <c r="D239" i="2"/>
  <c r="AB9" i="48"/>
  <c r="AD23" i="2"/>
  <c r="AD239" i="2" s="1"/>
  <c r="I11" i="43"/>
  <c r="BD10" i="43"/>
  <c r="BE10" i="43" s="1"/>
  <c r="BE16" i="43" s="1"/>
  <c r="BI10" i="40"/>
  <c r="AA10" i="40" s="1"/>
  <c r="AB10" i="40" s="1"/>
  <c r="BB10" i="43"/>
  <c r="AX16" i="43"/>
  <c r="K16" i="43" s="1"/>
  <c r="K11" i="43"/>
  <c r="AP22" i="40"/>
  <c r="C22" i="40" s="1"/>
  <c r="C17" i="40"/>
  <c r="BC10" i="40"/>
  <c r="BH16" i="43"/>
  <c r="BI10" i="43"/>
  <c r="BI16" i="43" s="1"/>
  <c r="AT22" i="40"/>
  <c r="BA22" i="40"/>
  <c r="E17" i="40"/>
  <c r="AH10" i="40"/>
  <c r="AR22" i="40"/>
  <c r="E22" i="40" s="1"/>
  <c r="BL239" i="2"/>
  <c r="Z9" i="48"/>
  <c r="AN23" i="2"/>
  <c r="AN239" i="2" s="1"/>
  <c r="S9" i="1"/>
  <c r="S12" i="1" s="1"/>
  <c r="S19" i="1" s="1"/>
  <c r="D11" i="263" s="1"/>
  <c r="D31" i="263" s="1"/>
  <c r="AG9" i="1"/>
  <c r="AG12" i="1" s="1"/>
  <c r="D57" i="1" s="1"/>
  <c r="I60" i="1" s="1"/>
  <c r="Z9" i="1"/>
  <c r="BN239" i="2"/>
  <c r="K2" i="262"/>
  <c r="K29" i="263"/>
  <c r="I29" i="263"/>
  <c r="AC23" i="2"/>
  <c r="F11" i="263" s="1"/>
  <c r="F31" i="263" s="1"/>
  <c r="H23" i="2"/>
  <c r="E239" i="2"/>
  <c r="AD9" i="48"/>
  <c r="BF16" i="43"/>
  <c r="BG16" i="43"/>
  <c r="B41" i="262"/>
  <c r="AV239" i="2"/>
  <c r="AO9" i="48" s="1"/>
  <c r="AT9" i="48"/>
  <c r="AT9" i="1"/>
  <c r="AT12" i="1" s="1"/>
  <c r="D70" i="1" s="1"/>
  <c r="L43" i="51" s="1"/>
  <c r="N43" i="51" s="1"/>
  <c r="AM9" i="48"/>
  <c r="AM9" i="1"/>
  <c r="AM12" i="1" s="1"/>
  <c r="D66" i="1" s="1"/>
  <c r="AT239" i="2"/>
  <c r="AN9" i="1" s="1"/>
  <c r="AN12" i="1" s="1"/>
  <c r="D68" i="1" s="1"/>
  <c r="AL239" i="2"/>
  <c r="AJ9" i="48" s="1"/>
  <c r="L47" i="51"/>
  <c r="N47" i="51" s="1"/>
  <c r="I45" i="263"/>
  <c r="J37" i="1"/>
  <c r="L36" i="1"/>
  <c r="K10" i="40" l="1"/>
  <c r="AI10" i="40"/>
  <c r="BH22" i="40"/>
  <c r="K17" i="40"/>
  <c r="I17" i="40"/>
  <c r="H17" i="40"/>
  <c r="H10" i="40"/>
  <c r="AJ10" i="40"/>
  <c r="AJ22" i="40" s="1"/>
  <c r="AW22" i="40"/>
  <c r="I22" i="40" s="1"/>
  <c r="BK10" i="40"/>
  <c r="BK22" i="40" s="1"/>
  <c r="BO10" i="40"/>
  <c r="BP10" i="40" s="1"/>
  <c r="BP22" i="40" s="1"/>
  <c r="AN22" i="40"/>
  <c r="D22" i="40" s="1"/>
  <c r="T198" i="2"/>
  <c r="U198" i="2" s="1"/>
  <c r="W198" i="2" s="1"/>
  <c r="T120" i="2"/>
  <c r="U120" i="2" s="1"/>
  <c r="Z120" i="2" s="1"/>
  <c r="T148" i="2"/>
  <c r="U148" i="2" s="1"/>
  <c r="Z148" i="2" s="1"/>
  <c r="T33" i="2"/>
  <c r="U33" i="2" s="1"/>
  <c r="W33" i="2" s="1"/>
  <c r="T163" i="2"/>
  <c r="U163" i="2" s="1"/>
  <c r="Z163" i="2" s="1"/>
  <c r="T174" i="2"/>
  <c r="U174" i="2" s="1"/>
  <c r="Z174" i="2" s="1"/>
  <c r="T201" i="2"/>
  <c r="U201" i="2" s="1"/>
  <c r="W201" i="2" s="1"/>
  <c r="T63" i="2"/>
  <c r="U63" i="2" s="1"/>
  <c r="Z63" i="2" s="1"/>
  <c r="T19" i="2"/>
  <c r="U19" i="2" s="1"/>
  <c r="Z19" i="2" s="1"/>
  <c r="T206" i="2"/>
  <c r="U206" i="2" s="1"/>
  <c r="W206" i="2" s="1"/>
  <c r="T12" i="2"/>
  <c r="U12" i="2" s="1"/>
  <c r="Z12" i="2" s="1"/>
  <c r="T17" i="2"/>
  <c r="U17" i="2" s="1"/>
  <c r="W17" i="2" s="1"/>
  <c r="T31" i="2"/>
  <c r="U31" i="2" s="1"/>
  <c r="Z31" i="2" s="1"/>
  <c r="T230" i="2"/>
  <c r="U230" i="2" s="1"/>
  <c r="Z230" i="2" s="1"/>
  <c r="T236" i="2"/>
  <c r="U236" i="2" s="1"/>
  <c r="Z236" i="2" s="1"/>
  <c r="T180" i="2"/>
  <c r="U180" i="2" s="1"/>
  <c r="Z180" i="2" s="1"/>
  <c r="T139" i="2"/>
  <c r="U139" i="2" s="1"/>
  <c r="Z139" i="2" s="1"/>
  <c r="T57" i="2"/>
  <c r="U57" i="2" s="1"/>
  <c r="T189" i="2"/>
  <c r="U189" i="2" s="1"/>
  <c r="AE165" i="2"/>
  <c r="AE101" i="2"/>
  <c r="AE77" i="2"/>
  <c r="AE85" i="2"/>
  <c r="AE102" i="2"/>
  <c r="AE96" i="2"/>
  <c r="AE147" i="2"/>
  <c r="AE171" i="2"/>
  <c r="AE219" i="2"/>
  <c r="AE119" i="2"/>
  <c r="AE14" i="2"/>
  <c r="T182" i="2"/>
  <c r="U182" i="2" s="1"/>
  <c r="T233" i="2"/>
  <c r="U233" i="2" s="1"/>
  <c r="T162" i="2"/>
  <c r="U162" i="2" s="1"/>
  <c r="T194" i="2"/>
  <c r="U194" i="2" s="1"/>
  <c r="T56" i="2"/>
  <c r="U56" i="2" s="1"/>
  <c r="T171" i="2"/>
  <c r="U171" i="2" s="1"/>
  <c r="T50" i="2"/>
  <c r="U50" i="2" s="1"/>
  <c r="T93" i="2"/>
  <c r="U93" i="2" s="1"/>
  <c r="T41" i="2"/>
  <c r="U41" i="2" s="1"/>
  <c r="T94" i="2"/>
  <c r="U94" i="2" s="1"/>
  <c r="T78" i="2"/>
  <c r="U78" i="2" s="1"/>
  <c r="T193" i="2"/>
  <c r="U193" i="2" s="1"/>
  <c r="AE98" i="2"/>
  <c r="AE87" i="2"/>
  <c r="AE97" i="2"/>
  <c r="AE71" i="2"/>
  <c r="AE173" i="2"/>
  <c r="AE151" i="2"/>
  <c r="AE51" i="2"/>
  <c r="AE31" i="2"/>
  <c r="AE175" i="2"/>
  <c r="AE46" i="2"/>
  <c r="AE12" i="2"/>
  <c r="T79" i="2"/>
  <c r="U79" i="2" s="1"/>
  <c r="T122" i="2"/>
  <c r="U122" i="2" s="1"/>
  <c r="T77" i="2"/>
  <c r="U77" i="2" s="1"/>
  <c r="T64" i="2"/>
  <c r="U64" i="2" s="1"/>
  <c r="T15" i="2"/>
  <c r="U15" i="2" s="1"/>
  <c r="T20" i="2"/>
  <c r="U20" i="2" s="1"/>
  <c r="T67" i="2"/>
  <c r="U67" i="2" s="1"/>
  <c r="AE193" i="2"/>
  <c r="AE99" i="2"/>
  <c r="AE227" i="2"/>
  <c r="AE103" i="2"/>
  <c r="AE62" i="2"/>
  <c r="AE166" i="2"/>
  <c r="AE182" i="2"/>
  <c r="AE95" i="2"/>
  <c r="AE91" i="2"/>
  <c r="AE17" i="2"/>
  <c r="AE211" i="2"/>
  <c r="T107" i="2"/>
  <c r="U107" i="2" s="1"/>
  <c r="T16" i="2"/>
  <c r="U16" i="2" s="1"/>
  <c r="T205" i="2"/>
  <c r="U205" i="2" s="1"/>
  <c r="T87" i="2"/>
  <c r="U87" i="2" s="1"/>
  <c r="T151" i="2"/>
  <c r="U151" i="2" s="1"/>
  <c r="T199" i="2"/>
  <c r="U199" i="2" s="1"/>
  <c r="T183" i="2"/>
  <c r="U183" i="2" s="1"/>
  <c r="T99" i="2"/>
  <c r="U99" i="2" s="1"/>
  <c r="T179" i="2"/>
  <c r="U179" i="2" s="1"/>
  <c r="T86" i="2"/>
  <c r="U86" i="2" s="1"/>
  <c r="T32" i="2"/>
  <c r="U32" i="2" s="1"/>
  <c r="T164" i="2"/>
  <c r="U164" i="2" s="1"/>
  <c r="AE148" i="2"/>
  <c r="AE41" i="2"/>
  <c r="AE100" i="2"/>
  <c r="AE174" i="2"/>
  <c r="AE128" i="2"/>
  <c r="AE229" i="2"/>
  <c r="AE123" i="2"/>
  <c r="AE183" i="2"/>
  <c r="AE189" i="2"/>
  <c r="AE19" i="2"/>
  <c r="AE214" i="2"/>
  <c r="T84" i="2"/>
  <c r="U84" i="2" s="1"/>
  <c r="T211" i="2"/>
  <c r="U211" i="2" s="1"/>
  <c r="T65" i="2"/>
  <c r="U65" i="2" s="1"/>
  <c r="T229" i="2"/>
  <c r="U229" i="2" s="1"/>
  <c r="T207" i="2"/>
  <c r="U207" i="2" s="1"/>
  <c r="T234" i="2"/>
  <c r="U234" i="2" s="1"/>
  <c r="T170" i="2"/>
  <c r="U170" i="2" s="1"/>
  <c r="T215" i="2"/>
  <c r="U215" i="2" s="1"/>
  <c r="T29" i="2"/>
  <c r="U29" i="2" s="1"/>
  <c r="T14" i="2"/>
  <c r="U14" i="2" s="1"/>
  <c r="T80" i="2"/>
  <c r="U80" i="2" s="1"/>
  <c r="AE27" i="2"/>
  <c r="AE180" i="2"/>
  <c r="AE234" i="2"/>
  <c r="AE231" i="2"/>
  <c r="AE65" i="2"/>
  <c r="AE188" i="2"/>
  <c r="AE55" i="2"/>
  <c r="AE181" i="2"/>
  <c r="AE230" i="2"/>
  <c r="AE207" i="2"/>
  <c r="AE21" i="2"/>
  <c r="AE13" i="2"/>
  <c r="T172" i="2"/>
  <c r="U172" i="2" s="1"/>
  <c r="T167" i="2"/>
  <c r="U167" i="2" s="1"/>
  <c r="T173" i="2"/>
  <c r="U173" i="2" s="1"/>
  <c r="T200" i="2"/>
  <c r="U200" i="2" s="1"/>
  <c r="T175" i="2"/>
  <c r="U175" i="2" s="1"/>
  <c r="T95" i="2"/>
  <c r="U95" i="2" s="1"/>
  <c r="T96" i="2"/>
  <c r="U96" i="2" s="1"/>
  <c r="T123" i="2"/>
  <c r="U123" i="2" s="1"/>
  <c r="T117" i="2"/>
  <c r="U117" i="2" s="1"/>
  <c r="T61" i="2"/>
  <c r="U61" i="2" s="1"/>
  <c r="AE170" i="2"/>
  <c r="AE199" i="2"/>
  <c r="AE79" i="2"/>
  <c r="AE60" i="2"/>
  <c r="AE135" i="2"/>
  <c r="AE50" i="2"/>
  <c r="AE143" i="2"/>
  <c r="AE133" i="2"/>
  <c r="AE164" i="2"/>
  <c r="AE163" i="2"/>
  <c r="AE212" i="2"/>
  <c r="AE139" i="2"/>
  <c r="T157" i="2"/>
  <c r="U157" i="2" s="1"/>
  <c r="T121" i="2"/>
  <c r="U121" i="2" s="1"/>
  <c r="T89" i="2"/>
  <c r="U89" i="2" s="1"/>
  <c r="T111" i="2"/>
  <c r="U111" i="2" s="1"/>
  <c r="T227" i="2"/>
  <c r="U227" i="2" s="1"/>
  <c r="T98" i="2"/>
  <c r="U98" i="2" s="1"/>
  <c r="T232" i="2"/>
  <c r="U232" i="2" s="1"/>
  <c r="T72" i="2"/>
  <c r="U72" i="2" s="1"/>
  <c r="T213" i="2"/>
  <c r="U213" i="2" s="1"/>
  <c r="T46" i="2"/>
  <c r="U46" i="2" s="1"/>
  <c r="AE113" i="2"/>
  <c r="AE42" i="2"/>
  <c r="AE169" i="2"/>
  <c r="AE63" i="2"/>
  <c r="AE201" i="2"/>
  <c r="AE66" i="2"/>
  <c r="AE67" i="2"/>
  <c r="AE86" i="2"/>
  <c r="AE72" i="2"/>
  <c r="AE205" i="2"/>
  <c r="AE215" i="2"/>
  <c r="AE157" i="2"/>
  <c r="T219" i="2"/>
  <c r="U219" i="2" s="1"/>
  <c r="T118" i="2"/>
  <c r="U118" i="2" s="1"/>
  <c r="T55" i="2"/>
  <c r="U55" i="2" s="1"/>
  <c r="T181" i="2"/>
  <c r="U181" i="2" s="1"/>
  <c r="T166" i="2"/>
  <c r="U166" i="2" s="1"/>
  <c r="T235" i="2"/>
  <c r="U235" i="2" s="1"/>
  <c r="T112" i="2"/>
  <c r="U112" i="2" s="1"/>
  <c r="T101" i="2"/>
  <c r="U101" i="2" s="1"/>
  <c r="T85" i="2"/>
  <c r="U85" i="2" s="1"/>
  <c r="T51" i="2"/>
  <c r="U51" i="2" s="1"/>
  <c r="T169" i="2"/>
  <c r="U169" i="2" s="1"/>
  <c r="T113" i="2"/>
  <c r="U113" i="2" s="1"/>
  <c r="AE121" i="2"/>
  <c r="AE94" i="2"/>
  <c r="AE29" i="2"/>
  <c r="AE73" i="2"/>
  <c r="AE64" i="2"/>
  <c r="AE118" i="2"/>
  <c r="AE120" i="2"/>
  <c r="AE149" i="2"/>
  <c r="AE228" i="2"/>
  <c r="AE155" i="2"/>
  <c r="AE213" i="2"/>
  <c r="T150" i="2"/>
  <c r="U150" i="2" s="1"/>
  <c r="T73" i="2"/>
  <c r="U73" i="2" s="1"/>
  <c r="T134" i="2"/>
  <c r="U134" i="2" s="1"/>
  <c r="T28" i="2"/>
  <c r="U28" i="2" s="1"/>
  <c r="T132" i="2"/>
  <c r="U132" i="2" s="1"/>
  <c r="T30" i="2"/>
  <c r="U30" i="2" s="1"/>
  <c r="T212" i="2"/>
  <c r="U212" i="2" s="1"/>
  <c r="T62" i="2"/>
  <c r="U62" i="2" s="1"/>
  <c r="T214" i="2"/>
  <c r="U214" i="2" s="1"/>
  <c r="AE200" i="2"/>
  <c r="AE88" i="2"/>
  <c r="AE117" i="2"/>
  <c r="AE111" i="2"/>
  <c r="AE30" i="2"/>
  <c r="AE28" i="2"/>
  <c r="AE206" i="2"/>
  <c r="AE78" i="2"/>
  <c r="AE112" i="2"/>
  <c r="AE122" i="2"/>
  <c r="AE16" i="2"/>
  <c r="AE156" i="2"/>
  <c r="T102" i="2"/>
  <c r="U102" i="2" s="1"/>
  <c r="T27" i="2"/>
  <c r="U27" i="2" s="1"/>
  <c r="T135" i="2"/>
  <c r="U135" i="2" s="1"/>
  <c r="T165" i="2"/>
  <c r="U165" i="2" s="1"/>
  <c r="T223" i="2"/>
  <c r="U223" i="2" s="1"/>
  <c r="T119" i="2"/>
  <c r="U119" i="2" s="1"/>
  <c r="T21" i="2"/>
  <c r="U21" i="2" s="1"/>
  <c r="T91" i="2"/>
  <c r="U91" i="2" s="1"/>
  <c r="T133" i="2"/>
  <c r="U133" i="2" s="1"/>
  <c r="AE127" i="2"/>
  <c r="AE233" i="2"/>
  <c r="AE58" i="2"/>
  <c r="AE90" i="2"/>
  <c r="AE235" i="2"/>
  <c r="AE32" i="2"/>
  <c r="AE59" i="2"/>
  <c r="AE61" i="2"/>
  <c r="AE223" i="2"/>
  <c r="AE194" i="2"/>
  <c r="AE18" i="2"/>
  <c r="AE20" i="2"/>
  <c r="T37" i="2"/>
  <c r="U37" i="2" s="1"/>
  <c r="AX37" i="2"/>
  <c r="K37" i="2" s="1"/>
  <c r="T18" i="2"/>
  <c r="U18" i="2" s="1"/>
  <c r="T22" i="2"/>
  <c r="U22" i="2" s="1"/>
  <c r="T66" i="2"/>
  <c r="U66" i="2" s="1"/>
  <c r="T155" i="2"/>
  <c r="U155" i="2" s="1"/>
  <c r="T158" i="2"/>
  <c r="U158" i="2" s="1"/>
  <c r="T156" i="2"/>
  <c r="U156" i="2" s="1"/>
  <c r="T92" i="2"/>
  <c r="U92" i="2" s="1"/>
  <c r="T60" i="2"/>
  <c r="U60" i="2" s="1"/>
  <c r="T90" i="2"/>
  <c r="U90" i="2" s="1"/>
  <c r="T58" i="2"/>
  <c r="U58" i="2" s="1"/>
  <c r="T88" i="2"/>
  <c r="U88" i="2" s="1"/>
  <c r="T42" i="2"/>
  <c r="U42" i="2" s="1"/>
  <c r="T143" i="2"/>
  <c r="U143" i="2" s="1"/>
  <c r="T59" i="2"/>
  <c r="U59" i="2" s="1"/>
  <c r="T128" i="2"/>
  <c r="U128" i="2" s="1"/>
  <c r="AE198" i="2"/>
  <c r="AE132" i="2"/>
  <c r="AE80" i="2"/>
  <c r="AE162" i="2"/>
  <c r="AE167" i="2"/>
  <c r="AE56" i="2"/>
  <c r="AE107" i="2"/>
  <c r="AE150" i="2"/>
  <c r="AE93" i="2"/>
  <c r="AE57" i="2"/>
  <c r="AE158" i="2"/>
  <c r="AE15" i="2"/>
  <c r="T231" i="2"/>
  <c r="U231" i="2" s="1"/>
  <c r="T13" i="2"/>
  <c r="U13" i="2" s="1"/>
  <c r="T100" i="2"/>
  <c r="U100" i="2" s="1"/>
  <c r="T149" i="2"/>
  <c r="U149" i="2" s="1"/>
  <c r="T71" i="2"/>
  <c r="U71" i="2" s="1"/>
  <c r="T127" i="2"/>
  <c r="U127" i="2" s="1"/>
  <c r="T147" i="2"/>
  <c r="U147" i="2" s="1"/>
  <c r="T188" i="2"/>
  <c r="U188" i="2" s="1"/>
  <c r="T103" i="2"/>
  <c r="U103" i="2" s="1"/>
  <c r="T168" i="2"/>
  <c r="U168" i="2" s="1"/>
  <c r="T97" i="2"/>
  <c r="U97" i="2" s="1"/>
  <c r="T228" i="2"/>
  <c r="U228" i="2" s="1"/>
  <c r="AE84" i="2"/>
  <c r="AE89" i="2"/>
  <c r="AE168" i="2"/>
  <c r="AE172" i="2"/>
  <c r="AE33" i="2"/>
  <c r="AE179" i="2"/>
  <c r="AE134" i="2"/>
  <c r="AE236" i="2"/>
  <c r="AE232" i="2"/>
  <c r="AE92" i="2"/>
  <c r="AE22" i="2"/>
  <c r="T11" i="2"/>
  <c r="U11" i="2" s="1"/>
  <c r="Z11" i="2" s="1"/>
  <c r="K11" i="2"/>
  <c r="AE11" i="2"/>
  <c r="Z12" i="1"/>
  <c r="V9" i="48"/>
  <c r="V9" i="1"/>
  <c r="V12" i="1" s="1"/>
  <c r="V19" i="1" s="1"/>
  <c r="H11" i="263" s="1"/>
  <c r="H31" i="263" s="1"/>
  <c r="K57" i="2"/>
  <c r="AC239" i="2"/>
  <c r="U9" i="1" s="1"/>
  <c r="U12" i="1" s="1"/>
  <c r="U19" i="1" s="1"/>
  <c r="K213" i="2"/>
  <c r="BD16" i="43"/>
  <c r="BC10" i="43"/>
  <c r="T10" i="43"/>
  <c r="U10" i="43" s="1"/>
  <c r="Z10" i="43" s="1"/>
  <c r="Z16" i="43" s="1"/>
  <c r="K173" i="2"/>
  <c r="K118" i="2"/>
  <c r="BJ10" i="40"/>
  <c r="H22" i="40"/>
  <c r="BM10" i="40"/>
  <c r="BM22" i="40" s="1"/>
  <c r="AH22" i="40"/>
  <c r="AI22" i="40"/>
  <c r="BC22" i="40"/>
  <c r="K22" i="40" s="1"/>
  <c r="Z17" i="40"/>
  <c r="AD17" i="40" s="1"/>
  <c r="AG10" i="40"/>
  <c r="AG22" i="40" s="1"/>
  <c r="BO22" i="40"/>
  <c r="K91" i="2"/>
  <c r="K163" i="2"/>
  <c r="K103" i="2"/>
  <c r="D56" i="1"/>
  <c r="K72" i="2"/>
  <c r="K219" i="2"/>
  <c r="K171" i="2"/>
  <c r="BC23" i="2"/>
  <c r="BC239" i="2" s="1"/>
  <c r="AU9" i="1" s="1"/>
  <c r="AU12" i="1" s="1"/>
  <c r="K67" i="2"/>
  <c r="K198" i="2"/>
  <c r="K132" i="2"/>
  <c r="K59" i="2"/>
  <c r="AN9" i="48"/>
  <c r="K143" i="2"/>
  <c r="K93" i="2"/>
  <c r="K17" i="2"/>
  <c r="K182" i="2"/>
  <c r="AD10" i="40"/>
  <c r="AP23" i="2"/>
  <c r="AP239" i="2" s="1"/>
  <c r="AI9" i="1" s="1"/>
  <c r="AB23" i="2"/>
  <c r="AB239" i="2" s="1"/>
  <c r="T9" i="48" s="1"/>
  <c r="Q9" i="48" s="1"/>
  <c r="AO9" i="1"/>
  <c r="AO12" i="1" s="1"/>
  <c r="D67" i="1" s="1"/>
  <c r="L42" i="51" s="1"/>
  <c r="N42" i="51" s="1"/>
  <c r="AH9" i="48"/>
  <c r="AH9" i="1"/>
  <c r="AH12" i="1" s="1"/>
  <c r="D58" i="1" s="1"/>
  <c r="A239" i="2"/>
  <c r="H239" i="2"/>
  <c r="AJ9" i="1"/>
  <c r="AJ12" i="1" s="1"/>
  <c r="D63" i="1" s="1"/>
  <c r="K37" i="1"/>
  <c r="W174" i="2" l="1"/>
  <c r="BN10" i="40"/>
  <c r="BN22" i="40" s="1"/>
  <c r="BL10" i="40"/>
  <c r="BL22" i="40" s="1"/>
  <c r="W63" i="2"/>
  <c r="W120" i="2"/>
  <c r="W148" i="2"/>
  <c r="Z198" i="2"/>
  <c r="Z201" i="2"/>
  <c r="Z33" i="2"/>
  <c r="W236" i="2"/>
  <c r="W19" i="2"/>
  <c r="W12" i="2"/>
  <c r="W230" i="2"/>
  <c r="W139" i="2"/>
  <c r="W163" i="2"/>
  <c r="W180" i="2"/>
  <c r="AE37" i="2"/>
  <c r="W31" i="2"/>
  <c r="Z17" i="2"/>
  <c r="Z206" i="2"/>
  <c r="Z100" i="2"/>
  <c r="W100" i="2"/>
  <c r="W73" i="2"/>
  <c r="Z73" i="2"/>
  <c r="Z13" i="2"/>
  <c r="W13" i="2"/>
  <c r="W219" i="2"/>
  <c r="Z219" i="2"/>
  <c r="W117" i="2"/>
  <c r="Z117" i="2"/>
  <c r="W205" i="2"/>
  <c r="Z205" i="2"/>
  <c r="Z94" i="2"/>
  <c r="W94" i="2"/>
  <c r="W102" i="2"/>
  <c r="Z102" i="2"/>
  <c r="Z46" i="2"/>
  <c r="W46" i="2"/>
  <c r="Z170" i="2"/>
  <c r="W170" i="2"/>
  <c r="W16" i="2"/>
  <c r="Z16" i="2"/>
  <c r="W41" i="2"/>
  <c r="Z41" i="2"/>
  <c r="Z128" i="2"/>
  <c r="W128" i="2"/>
  <c r="Z169" i="2"/>
  <c r="W169" i="2"/>
  <c r="Z234" i="2"/>
  <c r="W234" i="2"/>
  <c r="Z67" i="2"/>
  <c r="W67" i="2"/>
  <c r="Z93" i="2"/>
  <c r="W93" i="2"/>
  <c r="Z133" i="2"/>
  <c r="W133" i="2"/>
  <c r="Z72" i="2"/>
  <c r="W72" i="2"/>
  <c r="W207" i="2"/>
  <c r="Z207" i="2"/>
  <c r="W20" i="2"/>
  <c r="Z20" i="2"/>
  <c r="Z50" i="2"/>
  <c r="W50" i="2"/>
  <c r="Z143" i="2"/>
  <c r="W143" i="2"/>
  <c r="Z91" i="2"/>
  <c r="W91" i="2"/>
  <c r="Z85" i="2"/>
  <c r="W85" i="2"/>
  <c r="Z232" i="2"/>
  <c r="W232" i="2"/>
  <c r="Z175" i="2"/>
  <c r="W175" i="2"/>
  <c r="Z32" i="2"/>
  <c r="W32" i="2"/>
  <c r="Z42" i="2"/>
  <c r="W42" i="2"/>
  <c r="Z21" i="2"/>
  <c r="W21" i="2"/>
  <c r="Z62" i="2"/>
  <c r="W62" i="2"/>
  <c r="W101" i="2"/>
  <c r="Z101" i="2"/>
  <c r="Z98" i="2"/>
  <c r="W98" i="2"/>
  <c r="Z200" i="2"/>
  <c r="W200" i="2"/>
  <c r="W65" i="2"/>
  <c r="Z65" i="2"/>
  <c r="Z86" i="2"/>
  <c r="W86" i="2"/>
  <c r="Z64" i="2"/>
  <c r="W64" i="2"/>
  <c r="Z56" i="2"/>
  <c r="W56" i="2"/>
  <c r="W188" i="2"/>
  <c r="Z188" i="2"/>
  <c r="W88" i="2"/>
  <c r="Z88" i="2"/>
  <c r="Z119" i="2"/>
  <c r="W119" i="2"/>
  <c r="W212" i="2"/>
  <c r="Z212" i="2"/>
  <c r="W112" i="2"/>
  <c r="Z112" i="2"/>
  <c r="Z227" i="2"/>
  <c r="W227" i="2"/>
  <c r="Z173" i="2"/>
  <c r="W173" i="2"/>
  <c r="W211" i="2"/>
  <c r="Z211" i="2"/>
  <c r="Z179" i="2"/>
  <c r="W179" i="2"/>
  <c r="W77" i="2"/>
  <c r="Z77" i="2"/>
  <c r="Z194" i="2"/>
  <c r="W194" i="2"/>
  <c r="Z156" i="2"/>
  <c r="W156" i="2"/>
  <c r="Z78" i="2"/>
  <c r="W78" i="2"/>
  <c r="W215" i="2"/>
  <c r="Z215" i="2"/>
  <c r="W113" i="2"/>
  <c r="Z113" i="2"/>
  <c r="Z96" i="2"/>
  <c r="W96" i="2"/>
  <c r="Z59" i="2"/>
  <c r="W59" i="2"/>
  <c r="Z51" i="2"/>
  <c r="W51" i="2"/>
  <c r="Z164" i="2"/>
  <c r="W164" i="2"/>
  <c r="Z168" i="2"/>
  <c r="W168" i="2"/>
  <c r="W214" i="2"/>
  <c r="Z214" i="2"/>
  <c r="Z171" i="2"/>
  <c r="W171" i="2"/>
  <c r="Z103" i="2"/>
  <c r="W103" i="2"/>
  <c r="Z147" i="2"/>
  <c r="W147" i="2"/>
  <c r="Z58" i="2"/>
  <c r="W58" i="2"/>
  <c r="Z30" i="2"/>
  <c r="W30" i="2"/>
  <c r="Z235" i="2"/>
  <c r="W235" i="2"/>
  <c r="Z111" i="2"/>
  <c r="W111" i="2"/>
  <c r="W167" i="2"/>
  <c r="Z167" i="2"/>
  <c r="Z84" i="2"/>
  <c r="W84" i="2"/>
  <c r="W99" i="2"/>
  <c r="Z99" i="2"/>
  <c r="Z122" i="2"/>
  <c r="W122" i="2"/>
  <c r="Z162" i="2"/>
  <c r="W162" i="2"/>
  <c r="Z135" i="2"/>
  <c r="W135" i="2"/>
  <c r="Z29" i="2"/>
  <c r="W29" i="2"/>
  <c r="Z150" i="2"/>
  <c r="W150" i="2"/>
  <c r="Z155" i="2"/>
  <c r="W155" i="2"/>
  <c r="W118" i="2"/>
  <c r="Z118" i="2"/>
  <c r="W123" i="2"/>
  <c r="Z123" i="2"/>
  <c r="W213" i="2"/>
  <c r="Z213" i="2"/>
  <c r="Z107" i="2"/>
  <c r="W107" i="2"/>
  <c r="Z97" i="2"/>
  <c r="W97" i="2"/>
  <c r="Z127" i="2"/>
  <c r="W127" i="2"/>
  <c r="W132" i="2"/>
  <c r="Z132" i="2"/>
  <c r="Z80" i="2"/>
  <c r="W80" i="2"/>
  <c r="Z182" i="2"/>
  <c r="W182" i="2"/>
  <c r="W189" i="2"/>
  <c r="Z189" i="2"/>
  <c r="W61" i="2"/>
  <c r="Z61" i="2"/>
  <c r="W87" i="2"/>
  <c r="Z87" i="2"/>
  <c r="Z158" i="2"/>
  <c r="W158" i="2"/>
  <c r="W27" i="2"/>
  <c r="Z27" i="2"/>
  <c r="Z231" i="2"/>
  <c r="W231" i="2"/>
  <c r="Z228" i="2"/>
  <c r="W228" i="2"/>
  <c r="Z66" i="2"/>
  <c r="W66" i="2"/>
  <c r="Z22" i="2"/>
  <c r="W22" i="2"/>
  <c r="Z95" i="2"/>
  <c r="W95" i="2"/>
  <c r="Z18" i="2"/>
  <c r="W18" i="2"/>
  <c r="Z229" i="2"/>
  <c r="W229" i="2"/>
  <c r="W15" i="2"/>
  <c r="Z15" i="2"/>
  <c r="Z90" i="2"/>
  <c r="W90" i="2"/>
  <c r="W166" i="2"/>
  <c r="Z166" i="2"/>
  <c r="Z89" i="2"/>
  <c r="W89" i="2"/>
  <c r="Z172" i="2"/>
  <c r="W172" i="2"/>
  <c r="Z183" i="2"/>
  <c r="W183" i="2"/>
  <c r="Z79" i="2"/>
  <c r="W79" i="2"/>
  <c r="Z233" i="2"/>
  <c r="W233" i="2"/>
  <c r="Z71" i="2"/>
  <c r="W71" i="2"/>
  <c r="W60" i="2"/>
  <c r="Z60" i="2"/>
  <c r="W223" i="2"/>
  <c r="Z223" i="2"/>
  <c r="W28" i="2"/>
  <c r="Z28" i="2"/>
  <c r="W181" i="2"/>
  <c r="Z181" i="2"/>
  <c r="Z121" i="2"/>
  <c r="W121" i="2"/>
  <c r="W199" i="2"/>
  <c r="Z199" i="2"/>
  <c r="Z149" i="2"/>
  <c r="W149" i="2"/>
  <c r="Z92" i="2"/>
  <c r="W92" i="2"/>
  <c r="Z37" i="2"/>
  <c r="W37" i="2"/>
  <c r="W165" i="2"/>
  <c r="Z165" i="2"/>
  <c r="Z134" i="2"/>
  <c r="W134" i="2"/>
  <c r="Z55" i="2"/>
  <c r="W55" i="2"/>
  <c r="Z157" i="2"/>
  <c r="W157" i="2"/>
  <c r="W14" i="2"/>
  <c r="Z14" i="2"/>
  <c r="Z151" i="2"/>
  <c r="W151" i="2"/>
  <c r="Z193" i="2"/>
  <c r="W193" i="2"/>
  <c r="Z57" i="2"/>
  <c r="W57" i="2"/>
  <c r="K23" i="2"/>
  <c r="W11" i="2"/>
  <c r="U9" i="48"/>
  <c r="S11" i="43"/>
  <c r="W11" i="43" s="1"/>
  <c r="W10" i="43"/>
  <c r="BJ22" i="40"/>
  <c r="F22" i="40" s="1"/>
  <c r="F17" i="40"/>
  <c r="AL10" i="40"/>
  <c r="AE10" i="43"/>
  <c r="BC16" i="43"/>
  <c r="F16" i="43" s="1"/>
  <c r="F11" i="43"/>
  <c r="AB9" i="40"/>
  <c r="AB22" i="40" s="1"/>
  <c r="U16" i="43"/>
  <c r="AD22" i="40"/>
  <c r="D59" i="1"/>
  <c r="AX23" i="2"/>
  <c r="AX239" i="2" s="1"/>
  <c r="AP9" i="48" s="1"/>
  <c r="P9" i="48"/>
  <c r="G11" i="263"/>
  <c r="G31" i="263" s="1"/>
  <c r="AI9" i="48"/>
  <c r="U239" i="2"/>
  <c r="T9" i="1"/>
  <c r="T12" i="1" s="1"/>
  <c r="I239" i="2"/>
  <c r="AE23" i="2"/>
  <c r="AU9" i="48"/>
  <c r="F239" i="2"/>
  <c r="AI12" i="1"/>
  <c r="D64" i="1" s="1"/>
  <c r="L37" i="1"/>
  <c r="J38" i="1"/>
  <c r="W16" i="43" l="1"/>
  <c r="L9" i="48"/>
  <c r="Z23" i="2"/>
  <c r="Z239" i="2" s="1"/>
  <c r="B11" i="43"/>
  <c r="AE16" i="43"/>
  <c r="AL22" i="40"/>
  <c r="B22" i="40" s="1"/>
  <c r="B17" i="40"/>
  <c r="AE239" i="2"/>
  <c r="Q9" i="1"/>
  <c r="Q12" i="1" s="1"/>
  <c r="K239" i="2"/>
  <c r="AP9" i="1"/>
  <c r="W239" i="2"/>
  <c r="T19" i="1"/>
  <c r="E11" i="263" s="1"/>
  <c r="L46" i="51"/>
  <c r="N46" i="51" s="1"/>
  <c r="K38" i="1"/>
  <c r="L9" i="1" l="1"/>
  <c r="L12" i="1" s="1"/>
  <c r="W9" i="1"/>
  <c r="W12" i="1" s="1"/>
  <c r="W19" i="1" s="1"/>
  <c r="J11" i="263" s="1"/>
  <c r="B239" i="2"/>
  <c r="P9" i="1"/>
  <c r="P12" i="1" s="1"/>
  <c r="W9" i="48"/>
  <c r="R9" i="1"/>
  <c r="R12" i="1" s="1"/>
  <c r="R19" i="1" s="1"/>
  <c r="R9" i="48"/>
  <c r="D60" i="1"/>
  <c r="AP12" i="1"/>
  <c r="D71" i="1" s="1"/>
  <c r="M9" i="1"/>
  <c r="M9" i="48"/>
  <c r="O9" i="48" s="1"/>
  <c r="I11" i="263"/>
  <c r="E31" i="263"/>
  <c r="L38" i="1"/>
  <c r="J39" i="1"/>
  <c r="X12" i="1" l="1"/>
  <c r="X19" i="1" s="1"/>
  <c r="G17" i="51"/>
  <c r="G45" i="51" s="1"/>
  <c r="G50" i="51" s="1"/>
  <c r="D72" i="1"/>
  <c r="B71" i="1" s="1"/>
  <c r="L19" i="1"/>
  <c r="F17" i="51"/>
  <c r="F45" i="51" s="1"/>
  <c r="F50" i="51" s="1"/>
  <c r="O9" i="1"/>
  <c r="M12" i="1"/>
  <c r="D73" i="1"/>
  <c r="L45" i="51"/>
  <c r="K11" i="263"/>
  <c r="K39" i="1"/>
  <c r="F60" i="1" l="1"/>
  <c r="B73" i="1"/>
  <c r="B64" i="1"/>
  <c r="B65" i="1"/>
  <c r="B63" i="1"/>
  <c r="B72" i="1" s="1"/>
  <c r="B69" i="1"/>
  <c r="B62" i="1"/>
  <c r="B66" i="1"/>
  <c r="B68" i="1"/>
  <c r="B70" i="1"/>
  <c r="B67" i="1"/>
  <c r="H45" i="51"/>
  <c r="M19" i="1"/>
  <c r="O12" i="1"/>
  <c r="O19" i="1" s="1"/>
  <c r="N45" i="51"/>
  <c r="N50" i="51" s="1"/>
  <c r="L50" i="51"/>
  <c r="L39" i="1"/>
  <c r="J41" i="1"/>
  <c r="K41" i="1" s="1"/>
  <c r="L41" i="1" s="1"/>
  <c r="J40" i="1"/>
  <c r="K40" i="1" s="1"/>
  <c r="L40" i="1" s="1"/>
  <c r="M51" i="1" l="1"/>
  <c r="K51" i="1"/>
  <c r="M50" i="1"/>
  <c r="M49" i="1"/>
  <c r="G17" i="259"/>
  <c r="J42" i="1"/>
  <c r="L47" i="1" l="1"/>
  <c r="M47" i="1" s="1"/>
  <c r="M53" i="1" s="1"/>
  <c r="M54" i="1" s="1"/>
  <c r="M21" i="1" s="1"/>
  <c r="I12" i="263" s="1"/>
  <c r="K42" i="1"/>
  <c r="L42" i="1" s="1"/>
  <c r="J43" i="1"/>
  <c r="M23" i="1" l="1"/>
  <c r="M27" i="1" s="1"/>
  <c r="G18" i="259" s="1"/>
  <c r="O21" i="1"/>
  <c r="O23" i="1" s="1"/>
  <c r="G19" i="259"/>
  <c r="K12" i="263"/>
  <c r="K20" i="263" s="1"/>
  <c r="K31" i="263" s="1"/>
  <c r="I20" i="263"/>
  <c r="I31" i="26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Johnston</author>
  </authors>
  <commentList>
    <comment ref="D3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Richard Johnston:</t>
        </r>
        <r>
          <rPr>
            <sz val="9"/>
            <color indexed="81"/>
            <rFont val="Tahoma"/>
            <family val="2"/>
          </rPr>
          <t xml:space="preserve">
this cell should always be zero
</t>
        </r>
      </text>
    </comment>
  </commentList>
</comments>
</file>

<file path=xl/sharedStrings.xml><?xml version="1.0" encoding="utf-8"?>
<sst xmlns="http://schemas.openxmlformats.org/spreadsheetml/2006/main" count="1609" uniqueCount="516">
  <si>
    <t>AMALGAMATED BUILDERS LTD</t>
  </si>
  <si>
    <t>JOB NAME:</t>
  </si>
  <si>
    <t>Rate/Margin</t>
  </si>
  <si>
    <t>TRADE SUMMARY SHEET</t>
  </si>
  <si>
    <t>DATE:</t>
  </si>
  <si>
    <t>QUOTATION DETAILS</t>
  </si>
  <si>
    <t>PROGRESS CLAIM DETAILS</t>
  </si>
  <si>
    <t>SUMS</t>
  </si>
  <si>
    <t>LABOUR</t>
  </si>
  <si>
    <t>MATERIAL</t>
  </si>
  <si>
    <t>SUB</t>
  </si>
  <si>
    <t>SECTION</t>
  </si>
  <si>
    <t>TRADE</t>
  </si>
  <si>
    <t>CLAIM TO DATE</t>
  </si>
  <si>
    <t>SUBS</t>
  </si>
  <si>
    <t>TOTAL</t>
  </si>
  <si>
    <t>REF</t>
  </si>
  <si>
    <t>SOQ</t>
  </si>
  <si>
    <t>CLAIM</t>
  </si>
  <si>
    <t>01</t>
  </si>
  <si>
    <t>PRELIMINARY &amp; GENERAL</t>
  </si>
  <si>
    <t>MATERIALS ON SITE</t>
  </si>
  <si>
    <t>MATERIALS OFF SITE</t>
  </si>
  <si>
    <t>VARIATIONS</t>
  </si>
  <si>
    <t>GROSS TOTALS</t>
  </si>
  <si>
    <t>LESS RETENTIONS</t>
  </si>
  <si>
    <t>LESS PREVIOUS NETT CLAIMS</t>
  </si>
  <si>
    <t>Invoice No</t>
  </si>
  <si>
    <t>Cert</t>
  </si>
  <si>
    <t>Invoice Date</t>
  </si>
  <si>
    <t>Gross Value</t>
  </si>
  <si>
    <t>Retention</t>
  </si>
  <si>
    <t>Less Paid</t>
  </si>
  <si>
    <t>Net Payment</t>
  </si>
  <si>
    <t>GST incl</t>
  </si>
  <si>
    <t>GST %</t>
  </si>
  <si>
    <t>GST Incl</t>
  </si>
  <si>
    <t>RETENTIONS</t>
  </si>
  <si>
    <t>MAXIMUM</t>
  </si>
  <si>
    <t>up to</t>
  </si>
  <si>
    <t>NEXT</t>
  </si>
  <si>
    <t>REST</t>
  </si>
  <si>
    <t>TOTAL RETENTION VALUE</t>
  </si>
  <si>
    <t>Men Required</t>
  </si>
  <si>
    <t>&lt;Overheads</t>
  </si>
  <si>
    <t>Hours Worked per Week</t>
  </si>
  <si>
    <t>&lt;P&amp;G</t>
  </si>
  <si>
    <t>Lead/End Weeks</t>
  </si>
  <si>
    <t>Total Estimated Weeks</t>
  </si>
  <si>
    <t>Wks Stated Contract Period</t>
  </si>
  <si>
    <t>&lt;Contract price</t>
  </si>
  <si>
    <t>&lt;Profit</t>
  </si>
  <si>
    <t>SHEET NO</t>
  </si>
  <si>
    <t>Fixings&gt;&gt;</t>
  </si>
  <si>
    <t>SECTION:</t>
  </si>
  <si>
    <t>NOTES</t>
  </si>
  <si>
    <t>SUM</t>
  </si>
  <si>
    <t>PAGE/ITEM</t>
  </si>
  <si>
    <t>DESCRIPTION</t>
  </si>
  <si>
    <t>UNIT</t>
  </si>
  <si>
    <t>QUANTITY</t>
  </si>
  <si>
    <t>COMBINED</t>
  </si>
  <si>
    <t>%</t>
  </si>
  <si>
    <t>RATE</t>
  </si>
  <si>
    <t>CONSTANT</t>
  </si>
  <si>
    <t>COMPLETE</t>
  </si>
  <si>
    <t>Profit</t>
  </si>
  <si>
    <t>Contingency</t>
  </si>
  <si>
    <t>SECTION TOTALS</t>
  </si>
  <si>
    <t>CLAIMED</t>
  </si>
  <si>
    <t>PROFIT</t>
  </si>
  <si>
    <t>HOURS</t>
  </si>
  <si>
    <t>FIX RATE</t>
  </si>
  <si>
    <t>PROFIT RATE</t>
  </si>
  <si>
    <t>FIX TOTAL</t>
  </si>
  <si>
    <t>PROFIT TOT</t>
  </si>
  <si>
    <t>MATERIAL SOQ</t>
  </si>
  <si>
    <t>FIXINGS</t>
  </si>
  <si>
    <t>SUBS SOQ</t>
  </si>
  <si>
    <t>$ TOTAL</t>
  </si>
  <si>
    <t>LABOUR SOQ</t>
  </si>
  <si>
    <t>MATERIAL SUMRY</t>
  </si>
  <si>
    <t>LABOUR SUMRY</t>
  </si>
  <si>
    <t>SUBS SUMRY</t>
  </si>
  <si>
    <t>&lt;Total Materials Net</t>
  </si>
  <si>
    <t>&lt;Total Subs Net</t>
  </si>
  <si>
    <t>SOQ PROGRESS CLAIM DETAILS</t>
  </si>
  <si>
    <t>DIMENSIONS</t>
  </si>
  <si>
    <t>L</t>
  </si>
  <si>
    <t>W</t>
  </si>
  <si>
    <t>D</t>
  </si>
  <si>
    <t>X</t>
  </si>
  <si>
    <t>RATE COSTINGS</t>
  </si>
  <si>
    <t>UNIT TOTAL</t>
  </si>
  <si>
    <t>NET TOTAL</t>
  </si>
  <si>
    <t>QUOTE NO:</t>
  </si>
  <si>
    <t>ls</t>
  </si>
  <si>
    <t>PROFIT LUMP</t>
  </si>
  <si>
    <t>SUM TOTAL</t>
  </si>
  <si>
    <t>LUMP SUM</t>
  </si>
  <si>
    <t>QUOTE LUMP SUM PRICES</t>
  </si>
  <si>
    <t>Element</t>
  </si>
  <si>
    <t>End Of Section</t>
  </si>
  <si>
    <t/>
  </si>
  <si>
    <t>RATES AND CONSTANTS</t>
  </si>
  <si>
    <t>Waste</t>
  </si>
  <si>
    <t>SUM RATE</t>
  </si>
  <si>
    <t>LOAD RATE</t>
  </si>
  <si>
    <t>LOAD TOTAL</t>
  </si>
  <si>
    <t>LOADING</t>
  </si>
  <si>
    <t>&lt;Total Fixings Net</t>
  </si>
  <si>
    <t>PREVIOUS</t>
  </si>
  <si>
    <t>THIS CLAIM</t>
  </si>
  <si>
    <t>HRS LOAD</t>
  </si>
  <si>
    <t>$ LOADING</t>
  </si>
  <si>
    <t>&lt;Hours Loading</t>
  </si>
  <si>
    <t>LOAD HRS</t>
  </si>
  <si>
    <t>Note: Net totals in this claim section include any loadings</t>
  </si>
  <si>
    <t>&lt; Material Loading</t>
  </si>
  <si>
    <t>&lt;Subs Loading</t>
  </si>
  <si>
    <t>USED</t>
  </si>
  <si>
    <t>REMAINING</t>
  </si>
  <si>
    <t>SOQ PROFIT</t>
  </si>
  <si>
    <t>BASE HRS</t>
  </si>
  <si>
    <t>BASE RATE</t>
  </si>
  <si>
    <t>BASE TOTAL</t>
  </si>
  <si>
    <t>Note: Totals in this claim section include any loadings,fixings etc</t>
  </si>
  <si>
    <t>00.00.00</t>
  </si>
  <si>
    <t xml:space="preserve">The due date for payment of this Payment Claim is :  </t>
  </si>
  <si>
    <t>NET TOTALS</t>
  </si>
  <si>
    <t>NET TOTAL (Excl GST) PAYMENT CLAIM NUMBER</t>
  </si>
  <si>
    <t>.</t>
  </si>
  <si>
    <t>SECTION NAME</t>
  </si>
  <si>
    <t>PROPOSED SUBCONTRACTOR</t>
  </si>
  <si>
    <t>TOTAL (Excl GST)</t>
  </si>
  <si>
    <t>Description</t>
  </si>
  <si>
    <t>Item No</t>
  </si>
  <si>
    <t>Quantity</t>
  </si>
  <si>
    <t>Total Value</t>
  </si>
  <si>
    <t>ON SITE MATERIALS CLAIM</t>
  </si>
  <si>
    <t>OFF SITE MATERIALS CLAIM</t>
  </si>
  <si>
    <t>Rate</t>
  </si>
  <si>
    <t>Unit</t>
  </si>
  <si>
    <t>AMALGAMATED BUILDERS LIMITED</t>
  </si>
  <si>
    <t xml:space="preserve">QUOTE NO: </t>
  </si>
  <si>
    <t xml:space="preserve">DATE: </t>
  </si>
  <si>
    <t>SUMMARY OF ON/OFF SITE CLAIMS</t>
  </si>
  <si>
    <t>Figures in blue can be altered</t>
  </si>
  <si>
    <t>Excludes Labour &amp; Sums</t>
  </si>
  <si>
    <t>BUDGET\CLAIM ANALYSIS</t>
  </si>
  <si>
    <t>Main Contractor Materials</t>
  </si>
  <si>
    <t>Subontractor Materials</t>
  </si>
  <si>
    <t>|</t>
  </si>
  <si>
    <t>LOAD</t>
  </si>
  <si>
    <t>LABR</t>
  </si>
  <si>
    <t>MAT</t>
  </si>
  <si>
    <t>Consultants Instructions - Cross reference</t>
  </si>
  <si>
    <t>Cost</t>
  </si>
  <si>
    <t>AD</t>
  </si>
  <si>
    <t>AV</t>
  </si>
  <si>
    <t>Architects Directions (AD)</t>
  </si>
  <si>
    <t>Imply</t>
  </si>
  <si>
    <t>Ref</t>
  </si>
  <si>
    <t>Structural Engineers Instructions (ST)</t>
  </si>
  <si>
    <t>Mechanical Instructions (M)</t>
  </si>
  <si>
    <t>Plumbing &amp; Drainage Instructions (P)</t>
  </si>
  <si>
    <t>Electrical Instructions (EL)</t>
  </si>
  <si>
    <t>General Instructions (G)</t>
  </si>
  <si>
    <t>LOADRATE</t>
  </si>
  <si>
    <t>PROFITRATE</t>
  </si>
  <si>
    <t xml:space="preserve"> T</t>
  </si>
  <si>
    <t>Q</t>
  </si>
  <si>
    <t>SwitchMarginOff=0 On=1&gt;&gt;</t>
  </si>
  <si>
    <t>Margin/Rate &amp; Loadings&gt;</t>
  </si>
  <si>
    <t>This Payment Claim is made under the Construction Contracts Act 2002 and includes all work completed</t>
  </si>
  <si>
    <t>for the Payment Claim period beginning</t>
  </si>
  <si>
    <t>and ending on</t>
  </si>
  <si>
    <t>PARTIAL RELEASE OF RETENTIONS</t>
  </si>
  <si>
    <t>Switch cell of column K on this row to 0 for no retentions</t>
  </si>
  <si>
    <t>BUDGET</t>
  </si>
  <si>
    <t>Labour</t>
  </si>
  <si>
    <t>Phase</t>
  </si>
  <si>
    <t>Total</t>
  </si>
  <si>
    <t>Claimed</t>
  </si>
  <si>
    <t>Total Hrs</t>
  </si>
  <si>
    <t>Hrs Claimed</t>
  </si>
  <si>
    <t>Total Labour</t>
  </si>
  <si>
    <t>Materials</t>
  </si>
  <si>
    <t>Mats on/off</t>
  </si>
  <si>
    <t>Total Materials</t>
  </si>
  <si>
    <t>Sums</t>
  </si>
  <si>
    <t>Tabs</t>
  </si>
  <si>
    <t>Subcontractors</t>
  </si>
  <si>
    <t>Contract Total</t>
  </si>
  <si>
    <t>Total Sums</t>
  </si>
  <si>
    <t>Total Subcontractors</t>
  </si>
  <si>
    <t>Subcontractor Name</t>
  </si>
  <si>
    <t>Code</t>
  </si>
  <si>
    <t>PHASE</t>
  </si>
  <si>
    <t>n</t>
  </si>
  <si>
    <t>Sum</t>
  </si>
  <si>
    <t>Material</t>
  </si>
  <si>
    <t>Trade</t>
  </si>
  <si>
    <t>SN</t>
  </si>
  <si>
    <t>HRS TOTAL</t>
  </si>
  <si>
    <t xml:space="preserve">MATERIAL </t>
  </si>
  <si>
    <t xml:space="preserve">Description </t>
  </si>
  <si>
    <t>&lt;Overheads &amp; Profit</t>
  </si>
  <si>
    <t>Tender Valuation</t>
  </si>
  <si>
    <t>DESIGN COSTS</t>
  </si>
  <si>
    <t>Architectural Engineer</t>
  </si>
  <si>
    <t>sum</t>
  </si>
  <si>
    <t>Structrual Engineer</t>
  </si>
  <si>
    <t>Civil Engineer</t>
  </si>
  <si>
    <t>Mechanical Engineer</t>
  </si>
  <si>
    <t xml:space="preserve">Electrical Engineer </t>
  </si>
  <si>
    <t>Fire Engineer</t>
  </si>
  <si>
    <t>Other</t>
  </si>
  <si>
    <t>BUILDING APPROVAL FEES</t>
  </si>
  <si>
    <t>Building approval fees &amp; other charges</t>
  </si>
  <si>
    <t>INSURANCES</t>
  </si>
  <si>
    <t>C.A.R policy</t>
  </si>
  <si>
    <t>P.L policy</t>
  </si>
  <si>
    <t>k</t>
  </si>
  <si>
    <t>BOND</t>
  </si>
  <si>
    <t>Bond</t>
  </si>
  <si>
    <t>SITE ACCESS</t>
  </si>
  <si>
    <t>Crossings</t>
  </si>
  <si>
    <t>Temp. roads, makegood</t>
  </si>
  <si>
    <t xml:space="preserve">SITE ACCOMMODATION </t>
  </si>
  <si>
    <t>Office</t>
  </si>
  <si>
    <t>wks</t>
  </si>
  <si>
    <t>Staff room</t>
  </si>
  <si>
    <t>Stores</t>
  </si>
  <si>
    <t>Toilets</t>
  </si>
  <si>
    <t>Transport  - In</t>
  </si>
  <si>
    <t>no</t>
  </si>
  <si>
    <t>Transport - Out</t>
  </si>
  <si>
    <t>Office equipment</t>
  </si>
  <si>
    <t>Office consumables</t>
  </si>
  <si>
    <t>Office furniture</t>
  </si>
  <si>
    <t>Sundry materials</t>
  </si>
  <si>
    <t xml:space="preserve">Plumbing &amp; drainage </t>
  </si>
  <si>
    <t>Power installation</t>
  </si>
  <si>
    <t>Other:</t>
  </si>
  <si>
    <t>POWER</t>
  </si>
  <si>
    <t>Temporary power</t>
  </si>
  <si>
    <t>Sundry leads &amp; fittings</t>
  </si>
  <si>
    <t>Power use</t>
  </si>
  <si>
    <t>mths</t>
  </si>
  <si>
    <t>WATER</t>
  </si>
  <si>
    <t>Dewatering</t>
  </si>
  <si>
    <t>Connection</t>
  </si>
  <si>
    <t>Sundry</t>
  </si>
  <si>
    <t>Drinking water</t>
  </si>
  <si>
    <t>TELEPHONE, COPYING &amp; COMPUTING</t>
  </si>
  <si>
    <t>Site Tel.</t>
  </si>
  <si>
    <t>Hardware</t>
  </si>
  <si>
    <t>Line installation</t>
  </si>
  <si>
    <t>Line rental</t>
  </si>
  <si>
    <t>Calls</t>
  </si>
  <si>
    <t>Mobiles:</t>
  </si>
  <si>
    <t>Service contract</t>
  </si>
  <si>
    <t>Facimilie:</t>
  </si>
  <si>
    <t>Copying</t>
  </si>
  <si>
    <t>Consumeables</t>
  </si>
  <si>
    <t>Plan copying</t>
  </si>
  <si>
    <t>Computing</t>
  </si>
  <si>
    <t>Installation</t>
  </si>
  <si>
    <t>Service costs</t>
  </si>
  <si>
    <t>Data line installation</t>
  </si>
  <si>
    <t>Data service fees/usage</t>
  </si>
  <si>
    <t>FIRE PROTECTION</t>
  </si>
  <si>
    <t>Equipment</t>
  </si>
  <si>
    <t>ENVIRONMENT CONTROL</t>
  </si>
  <si>
    <t>Temporary control of heat / fumes etc</t>
  </si>
  <si>
    <t>HOARDINGS, FENCES AND GANTRIES</t>
  </si>
  <si>
    <t>Internal Hoarding</t>
  </si>
  <si>
    <t>Fences</t>
  </si>
  <si>
    <t>m</t>
  </si>
  <si>
    <t>Plywood fencing</t>
  </si>
  <si>
    <t>Overhead protection</t>
  </si>
  <si>
    <t>Lighting</t>
  </si>
  <si>
    <t>Footpath / road fees</t>
  </si>
  <si>
    <t>Parking fees</t>
  </si>
  <si>
    <t>SIGNS</t>
  </si>
  <si>
    <t>Owners signs</t>
  </si>
  <si>
    <t>Builders signs</t>
  </si>
  <si>
    <t>Project Manager</t>
  </si>
  <si>
    <t xml:space="preserve">Quantity Surveyor </t>
  </si>
  <si>
    <t xml:space="preserve">External Quantity Surveyor </t>
  </si>
  <si>
    <t>Programming</t>
  </si>
  <si>
    <t>Forman</t>
  </si>
  <si>
    <t>Leading hands</t>
  </si>
  <si>
    <t>Office administration</t>
  </si>
  <si>
    <t>Additional documents</t>
  </si>
  <si>
    <t>Site meetings</t>
  </si>
  <si>
    <t>Environmental management plan</t>
  </si>
  <si>
    <t>Quality management plan</t>
  </si>
  <si>
    <t>VEHICLES AND TRANSPORTATION</t>
  </si>
  <si>
    <t>QS</t>
  </si>
  <si>
    <t>Lease</t>
  </si>
  <si>
    <t>Fuel</t>
  </si>
  <si>
    <t>TRAVELLING TIME</t>
  </si>
  <si>
    <t>ACCOMMODATION &amp; MEALS</t>
  </si>
  <si>
    <t>Descrition</t>
  </si>
  <si>
    <t>CRANES AND HOISTS</t>
  </si>
  <si>
    <t>Tower cranes</t>
  </si>
  <si>
    <t>Mobile cranes</t>
  </si>
  <si>
    <t>Hoists / lifts</t>
  </si>
  <si>
    <t>Drivers / dogmen</t>
  </si>
  <si>
    <t>Communication</t>
  </si>
  <si>
    <t>TRAFFIC MANAGEMENT</t>
  </si>
  <si>
    <t>Plan</t>
  </si>
  <si>
    <t>License to occupy</t>
  </si>
  <si>
    <t xml:space="preserve">Labour </t>
  </si>
  <si>
    <t>SCAFFOLD &amp; ACCESS</t>
  </si>
  <si>
    <t>E &amp; D</t>
  </si>
  <si>
    <t>External</t>
  </si>
  <si>
    <t>Internal</t>
  </si>
  <si>
    <t>Mobiles</t>
  </si>
  <si>
    <t>Handrails</t>
  </si>
  <si>
    <t>Stairs (usually 2 to 3 adjustments)</t>
  </si>
  <si>
    <t>Voids</t>
  </si>
  <si>
    <t>Hire</t>
  </si>
  <si>
    <t>External - All terrain x 1</t>
  </si>
  <si>
    <t>Internal - Scissors lift x 2 x 350/wk</t>
  </si>
  <si>
    <t>Mobiles - 2 x 150/wk</t>
  </si>
  <si>
    <t>PLANT / CARTAGE &amp; GEAR HIRE</t>
  </si>
  <si>
    <t>Builders plant, small tools &amp; consumables</t>
  </si>
  <si>
    <t>Generators</t>
  </si>
  <si>
    <t>Compressors</t>
  </si>
  <si>
    <t>Other Plant</t>
  </si>
  <si>
    <t>Cartage</t>
  </si>
  <si>
    <t>HEALTH &amp; SAFETY, FIRST AID</t>
  </si>
  <si>
    <t>OSH Kit</t>
  </si>
  <si>
    <t>H&amp;S Manager</t>
  </si>
  <si>
    <t>SETTING OUT</t>
  </si>
  <si>
    <t>Surveyor costs</t>
  </si>
  <si>
    <t>Builder</t>
  </si>
  <si>
    <t>PROTECTION</t>
  </si>
  <si>
    <t>Dilapidation survey</t>
  </si>
  <si>
    <t>Weather</t>
  </si>
  <si>
    <t>Damage</t>
  </si>
  <si>
    <t>Reinstatement</t>
  </si>
  <si>
    <t>NON PRODUCTIVE TIME</t>
  </si>
  <si>
    <t>CLEAN UP</t>
  </si>
  <si>
    <t>Bins</t>
  </si>
  <si>
    <t>Bin chutes</t>
  </si>
  <si>
    <t xml:space="preserve">During progress </t>
  </si>
  <si>
    <t>Final clean</t>
  </si>
  <si>
    <t>DEFECTS LIABILITY &amp; MAINTAINENCE</t>
  </si>
  <si>
    <t>SITE RECORDS, ASBUILT DRAWINGS &amp; GUARANTEES</t>
  </si>
  <si>
    <t>Quantity Surveyor</t>
  </si>
  <si>
    <t xml:space="preserve">OTHER COSTS </t>
  </si>
  <si>
    <t>Risks</t>
  </si>
  <si>
    <t xml:space="preserve">Finance </t>
  </si>
  <si>
    <t xml:space="preserve">Escalation </t>
  </si>
  <si>
    <t>Liquidated damages</t>
  </si>
  <si>
    <t>Security of payment</t>
  </si>
  <si>
    <t>Tests &amp; samples</t>
  </si>
  <si>
    <t>Masterbuild Gaurantee</t>
  </si>
  <si>
    <t>Adjustments</t>
  </si>
  <si>
    <t>PROJECT/SITE MANAGEMENT</t>
  </si>
  <si>
    <t>&lt;Total Hours</t>
  </si>
  <si>
    <t>&lt;Total Site Labour Loadings</t>
  </si>
  <si>
    <t>Difference</t>
  </si>
  <si>
    <t xml:space="preserve">Subcontractor Name </t>
  </si>
  <si>
    <t>Site Labour</t>
  </si>
  <si>
    <t>Sub Total</t>
  </si>
  <si>
    <t>Labour Rate</t>
  </si>
  <si>
    <t>Labour Cost</t>
  </si>
  <si>
    <t>PROGRESS CLAIM SUBMISSION</t>
  </si>
  <si>
    <t>PROGRESS</t>
  </si>
  <si>
    <t>FINAL</t>
  </si>
  <si>
    <t>DISTRIBUTION:</t>
  </si>
  <si>
    <t>FINANCIAL CONTROLLER</t>
  </si>
  <si>
    <t>AREA MANAGER</t>
  </si>
  <si>
    <t>FILE</t>
  </si>
  <si>
    <t>Paid Amount</t>
  </si>
  <si>
    <t>Date</t>
  </si>
  <si>
    <t>]</t>
  </si>
  <si>
    <t>[</t>
  </si>
  <si>
    <t xml:space="preserve">JOB NAME: </t>
  </si>
  <si>
    <t xml:space="preserve">JOB NO: </t>
  </si>
  <si>
    <t xml:space="preserve">CLAIM NO:  </t>
  </si>
  <si>
    <t xml:space="preserve">CLAIM PERIOD ENDING DATE:      </t>
  </si>
  <si>
    <t xml:space="preserve">TIME FOR PROV PAYMENT SCHEDULE ISSUE:    </t>
  </si>
  <si>
    <t>Working Days</t>
  </si>
  <si>
    <t xml:space="preserve">PROJECTED PROV PAYMENT SCHEDULE DATE:  </t>
  </si>
  <si>
    <t xml:space="preserve">TIME FOR CLIENT TO ALTER  PAYMENT SCHEDULE:    </t>
  </si>
  <si>
    <t>ACTUAL PAYMENT SCHEDULE DATE:</t>
  </si>
  <si>
    <t>INVOICE NO. AND DATE:</t>
  </si>
  <si>
    <t>TIME FOR PAYMENT FROM PAY SCHEDULE ISSUE:</t>
  </si>
  <si>
    <t xml:space="preserve">PROJECTED PAYMENT DUE DATE: </t>
  </si>
  <si>
    <t>ACTUAL PAYMENT DUE:</t>
  </si>
  <si>
    <t>NETT PROJECTED CLAIM VALUE TO DATE (GST excl)</t>
  </si>
  <si>
    <t>NETT PROJECTED CLAIM VALUE (GST excl)</t>
  </si>
  <si>
    <t>NETT RETENTION TO DATE (GST excl)</t>
  </si>
  <si>
    <t>ACTUAL CLAIM VALUE TO DATE (GST excl)</t>
  </si>
  <si>
    <t>ACTUAL CLAIM VALUE (GST excl)</t>
  </si>
  <si>
    <t>ACTUAL RETENTION TO DATE (GST excl)</t>
  </si>
  <si>
    <t>TOTAL NETT CLAIM TO DATE INCL DIRECT CHARGES</t>
  </si>
  <si>
    <t>NOTES:</t>
  </si>
  <si>
    <t>0/0/0</t>
  </si>
  <si>
    <t>TAX  INVOICE</t>
  </si>
  <si>
    <t xml:space="preserve"> </t>
  </si>
  <si>
    <t>GST NO:</t>
  </si>
  <si>
    <t>70 - 246 - 724</t>
  </si>
  <si>
    <t>Date:</t>
  </si>
  <si>
    <t>Customer ID:</t>
  </si>
  <si>
    <t>Job No:</t>
  </si>
  <si>
    <t>Phase No:</t>
  </si>
  <si>
    <t>G/L Area:</t>
  </si>
  <si>
    <t>Contract Name:</t>
  </si>
  <si>
    <t>Payment Claim No:</t>
  </si>
  <si>
    <t>Payment Claim Period Date Beginning</t>
  </si>
  <si>
    <t>Claim Period Ends</t>
  </si>
  <si>
    <t>The Due Date For Payment Of This Claim Is:</t>
  </si>
  <si>
    <t>This is a Payment Claim Made Under The Construction Contracts Act 2002</t>
  </si>
  <si>
    <t xml:space="preserve">SubTotal  </t>
  </si>
  <si>
    <t>Tax Rate(s)</t>
  </si>
  <si>
    <t xml:space="preserve">TOTAL  </t>
  </si>
  <si>
    <t>Our Bank Account Details should you wish to make this payment by Direct Credit are:-  Westpac Invercargill Bank Account Number 03 - 0931 - 0203359 - 00 and please reference the invoice number</t>
  </si>
  <si>
    <t xml:space="preserve">INVOICE INFORMATION </t>
  </si>
  <si>
    <t>Invoice Address:</t>
  </si>
  <si>
    <t>Line 1</t>
  </si>
  <si>
    <t>Line 2</t>
  </si>
  <si>
    <t>Line 3</t>
  </si>
  <si>
    <t>Line 4</t>
  </si>
  <si>
    <t>Line 5</t>
  </si>
  <si>
    <t>Line 6</t>
  </si>
  <si>
    <t>Line 7</t>
  </si>
  <si>
    <t xml:space="preserve">Less Retentions </t>
  </si>
  <si>
    <t>Less Previously Claimed</t>
  </si>
  <si>
    <t>DRAFT</t>
  </si>
  <si>
    <t>00/00/0000</t>
  </si>
  <si>
    <t>`</t>
  </si>
  <si>
    <t>&lt;Sums &amp; Contingency</t>
  </si>
  <si>
    <t>Subs</t>
  </si>
  <si>
    <t>Suppliers</t>
  </si>
  <si>
    <t>CLAIM NO:</t>
  </si>
  <si>
    <t>JOB NO:</t>
  </si>
  <si>
    <t>Analysis of Income v Costs</t>
  </si>
  <si>
    <t xml:space="preserve">Materials </t>
  </si>
  <si>
    <t>Income</t>
  </si>
  <si>
    <t>Claimed/Certified</t>
  </si>
  <si>
    <t>incl in labour</t>
  </si>
  <si>
    <t>columns D, E, G and H should link to summary sheet</t>
  </si>
  <si>
    <t>Less Retentions</t>
  </si>
  <si>
    <t>Area 2</t>
  </si>
  <si>
    <t>Area 3</t>
  </si>
  <si>
    <t>Area 4</t>
  </si>
  <si>
    <t>Total Claimed by ABL</t>
  </si>
  <si>
    <t>Costs</t>
  </si>
  <si>
    <t>Invoiced costs</t>
  </si>
  <si>
    <t>Less Held Items on subs</t>
  </si>
  <si>
    <t>Less Retentions on subs</t>
  </si>
  <si>
    <t>Total Costs ABL after holds and retentions</t>
  </si>
  <si>
    <t>Positive Cash Flow</t>
  </si>
  <si>
    <t>Cash flow including profit</t>
  </si>
  <si>
    <t>CB2</t>
  </si>
  <si>
    <t>Subclm</t>
  </si>
  <si>
    <t>Accruals</t>
  </si>
  <si>
    <t>Payments to subs</t>
  </si>
  <si>
    <t>This value is subclm total column S</t>
  </si>
  <si>
    <t>Labour costs</t>
  </si>
  <si>
    <t>Accurals and Adjustment are QS projections</t>
  </si>
  <si>
    <t>Site Management</t>
  </si>
  <si>
    <t>Total Costs ABL</t>
  </si>
  <si>
    <t>Balancing</t>
  </si>
  <si>
    <t>XXXX</t>
  </si>
  <si>
    <t>Job Name</t>
  </si>
  <si>
    <t>Cost Management System costs with accruals.</t>
  </si>
  <si>
    <t>Subtotal</t>
  </si>
  <si>
    <t>Material costs</t>
  </si>
  <si>
    <t>Management Cost</t>
  </si>
  <si>
    <t>Total Site Management Cost</t>
  </si>
  <si>
    <t>H&amp;S Representative</t>
  </si>
  <si>
    <t>Cell H24 is value of subclm total column L</t>
  </si>
  <si>
    <t>Cell H26 is value of subclm total column L less total column N</t>
  </si>
  <si>
    <t>Cell H27 is value of subclm total column P</t>
  </si>
  <si>
    <t>Cell H29 should match subclm total column S</t>
  </si>
  <si>
    <t>Balance Hrs</t>
  </si>
  <si>
    <t>SITE MANAGEMENT</t>
  </si>
  <si>
    <t>dATE CLAIM RECEIVED BY CONSULTANT / CLIENT:</t>
  </si>
  <si>
    <t>No</t>
  </si>
  <si>
    <t>Quote Number</t>
  </si>
  <si>
    <t>Close Date</t>
  </si>
  <si>
    <t>Sub 1</t>
  </si>
  <si>
    <t>Sub 2</t>
  </si>
  <si>
    <t>Sub 3</t>
  </si>
  <si>
    <t>Sub 4</t>
  </si>
  <si>
    <t>Sub 5</t>
  </si>
  <si>
    <t>Lowest Price</t>
  </si>
  <si>
    <t>#</t>
  </si>
  <si>
    <t>Contractor</t>
  </si>
  <si>
    <t>Price</t>
  </si>
  <si>
    <t>SUBCONTRACTOR TENDER ANALYSIS</t>
  </si>
  <si>
    <t>SUBCONTRACT PACKAGE:</t>
  </si>
  <si>
    <t>CONTRACT:</t>
  </si>
  <si>
    <t>TENDER CLOSES:</t>
  </si>
  <si>
    <t>NOTES/QUERIES</t>
  </si>
  <si>
    <t>Sub1</t>
  </si>
  <si>
    <t>Sub2</t>
  </si>
  <si>
    <t>Sub3</t>
  </si>
  <si>
    <t>Sub4</t>
  </si>
  <si>
    <t>Sub5</t>
  </si>
  <si>
    <t>BID</t>
  </si>
  <si>
    <t>$</t>
  </si>
  <si>
    <t>EXCLUSIVE TAGS ETC</t>
  </si>
  <si>
    <t>Tag/Check</t>
  </si>
  <si>
    <t>END COST</t>
  </si>
  <si>
    <t>Precut Prenail Frames</t>
  </si>
  <si>
    <t>Painting Specialist finishes</t>
  </si>
  <si>
    <t>Deparmental accident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</si>
</sst>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$&quot;#,##0;[Red]\-&quot;$&quot;#,##0"/>
    <numFmt numFmtId="165" formatCode="&quot;$&quot;#,##0.00;[Red]\-&quot;$&quot;#,##0.00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&quot;$&quot;#,##0.00"/>
    <numFmt numFmtId="169" formatCode="0.000"/>
    <numFmt numFmtId="170" formatCode="0.0"/>
    <numFmt numFmtId="171" formatCode="#,##0.0"/>
    <numFmt numFmtId="172" formatCode="#,##0.000"/>
    <numFmt numFmtId="173" formatCode="#,##0.00_ ;[Red]\-#,##0.00\ "/>
    <numFmt numFmtId="174" formatCode="&quot;$&quot;#,##0;[Red]&quot;$&quot;#,##0"/>
    <numFmt numFmtId="175" formatCode="_-* #,##0_-;\-* #,##0_-;_-* &quot;-&quot;??_-;_-@_-"/>
  </numFmts>
  <fonts count="54">
    <font>
      <sz val="12"/>
      <name val="Arial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6"/>
      <name val="Arial"/>
      <family val="2"/>
    </font>
    <font>
      <b/>
      <sz val="12"/>
      <color indexed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2"/>
      <color indexed="12"/>
      <name val="Arial"/>
      <family val="2"/>
    </font>
    <font>
      <sz val="8"/>
      <color indexed="12"/>
      <name val="Arial"/>
      <family val="2"/>
    </font>
    <font>
      <b/>
      <sz val="12"/>
      <name val="Bookman"/>
      <family val="1"/>
    </font>
    <font>
      <b/>
      <sz val="12"/>
      <name val="Albertus Extra Bold"/>
      <family val="1"/>
    </font>
    <font>
      <sz val="12"/>
      <color rgb="FF000000"/>
      <name val="Arial"/>
      <family val="2"/>
    </font>
    <font>
      <b/>
      <sz val="12"/>
      <color rgb="FF0000FF"/>
      <name val="Arial"/>
      <family val="2"/>
    </font>
    <font>
      <sz val="12"/>
      <name val="Arial"/>
      <family val="2"/>
    </font>
    <font>
      <sz val="12"/>
      <color rgb="FF0000FF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sz val="12"/>
      <color theme="10"/>
      <name val="Arial"/>
      <family val="2"/>
    </font>
    <font>
      <b/>
      <sz val="12"/>
      <name val="Wingdings"/>
      <charset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0"/>
      <color indexed="10"/>
      <name val="System"/>
      <family val="2"/>
    </font>
    <font>
      <b/>
      <sz val="18"/>
      <name val="Arial"/>
      <family val="2"/>
    </font>
    <font>
      <b/>
      <i/>
      <sz val="14"/>
      <name val="Arial"/>
      <family val="2"/>
    </font>
    <font>
      <sz val="11"/>
      <name val="Arial"/>
      <family val="2"/>
    </font>
    <font>
      <b/>
      <sz val="36"/>
      <color indexed="10"/>
      <name val="Arial"/>
      <family val="2"/>
    </font>
    <font>
      <sz val="36"/>
      <color indexed="10"/>
      <name val="Arial"/>
      <family val="2"/>
    </font>
    <font>
      <sz val="10"/>
      <color theme="1"/>
      <name val="Arial"/>
      <family val="2"/>
    </font>
    <font>
      <b/>
      <sz val="20"/>
      <color rgb="FFFF000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Arial"/>
      <family val="2"/>
    </font>
    <font>
      <sz val="18"/>
      <color theme="3"/>
      <name val="Cambria"/>
      <family val="2"/>
      <scheme val="major"/>
    </font>
    <font>
      <sz val="11"/>
      <color theme="0"/>
      <name val="Arial"/>
      <family val="2"/>
    </font>
    <font>
      <b/>
      <sz val="10"/>
      <color theme="1" tint="0.34998626667073579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name val="Times New Roman"/>
      <family val="1"/>
    </font>
    <font>
      <b/>
      <i/>
      <sz val="12"/>
      <color rgb="FF0000FF"/>
      <name val="Arial"/>
      <family val="2"/>
    </font>
    <font>
      <i/>
      <sz val="12"/>
      <color rgb="FF0000FF"/>
      <name val="Arial"/>
      <family val="2"/>
    </font>
    <font>
      <sz val="2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2B555F"/>
        <bgColor indexed="64"/>
      </patternFill>
    </fill>
  </fills>
  <borders count="104">
    <border>
      <left/>
      <right/>
      <top/>
      <bottom/>
      <diagonal/>
    </border>
    <border>
      <left/>
      <right/>
      <top style="thick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ck">
        <color indexed="8"/>
      </top>
      <bottom/>
      <diagonal/>
    </border>
    <border>
      <left/>
      <right/>
      <top/>
      <bottom style="thick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ck">
        <color indexed="5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indexed="54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ck">
        <color indexed="8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/>
      <bottom style="double">
        <color auto="1"/>
      </bottom>
      <diagonal/>
    </border>
  </borders>
  <cellStyleXfs count="15">
    <xf numFmtId="1" fontId="0" fillId="0" borderId="0"/>
    <xf numFmtId="0" fontId="2" fillId="0" borderId="0"/>
    <xf numFmtId="0" fontId="2" fillId="0" borderId="0"/>
    <xf numFmtId="0" fontId="22" fillId="0" borderId="0" applyNumberFormat="0" applyFill="0" applyBorder="0" applyAlignment="0" applyProtection="0">
      <alignment vertical="top"/>
      <protection locked="0"/>
    </xf>
    <xf numFmtId="9" fontId="17" fillId="0" borderId="0" applyFont="0" applyFill="0" applyBorder="0" applyAlignment="0" applyProtection="0"/>
    <xf numFmtId="0" fontId="19" fillId="0" borderId="0"/>
    <xf numFmtId="1" fontId="18" fillId="0" borderId="0" applyNumberFormat="0" applyFill="0" applyBorder="0" applyAlignment="0" applyProtection="0"/>
    <xf numFmtId="0" fontId="24" fillId="0" borderId="0"/>
    <xf numFmtId="166" fontId="19" fillId="0" borderId="0" applyFont="0" applyFill="0" applyBorder="0" applyAlignment="0" applyProtection="0"/>
    <xf numFmtId="166" fontId="37" fillId="0" borderId="0" applyFont="0" applyFill="0" applyBorder="0" applyAlignment="0" applyProtection="0"/>
    <xf numFmtId="1" fontId="2" fillId="0" borderId="0"/>
    <xf numFmtId="167" fontId="2" fillId="0" borderId="0" applyFont="0" applyFill="0" applyBorder="0" applyAlignment="0" applyProtection="0"/>
    <xf numFmtId="0" fontId="19" fillId="0" borderId="0"/>
    <xf numFmtId="0" fontId="45" fillId="0" borderId="0" applyNumberFormat="0" applyFill="0" applyBorder="0" applyAlignment="0" applyProtection="0"/>
    <xf numFmtId="0" fontId="46" fillId="29" borderId="0"/>
  </cellStyleXfs>
  <cellXfs count="1176">
    <xf numFmtId="0" fontId="2" fillId="0" borderId="0" xfId="0" applyNumberFormat="1" applyFont="1"/>
    <xf numFmtId="0" fontId="1" fillId="2" borderId="53" xfId="8" applyNumberFormat="1" applyFont="1" applyFill="1" applyBorder="1" applyAlignment="1" applyProtection="1"/>
    <xf numFmtId="9" fontId="2" fillId="0" borderId="43" xfId="4" quotePrefix="1" applyFont="1" applyFill="1" applyBorder="1" applyAlignment="1" applyProtection="1">
      <alignment horizontal="center"/>
    </xf>
    <xf numFmtId="166" fontId="1" fillId="27" borderId="54" xfId="9" applyFont="1" applyFill="1" applyBorder="1" applyProtection="1"/>
    <xf numFmtId="166" fontId="10" fillId="27" borderId="43" xfId="9" applyFont="1" applyFill="1" applyBorder="1" applyProtection="1"/>
    <xf numFmtId="166" fontId="10" fillId="0" borderId="43" xfId="9" applyFont="1" applyFill="1" applyBorder="1" applyProtection="1"/>
    <xf numFmtId="166" fontId="10" fillId="27" borderId="55" xfId="9" applyFont="1" applyFill="1" applyBorder="1" applyProtection="1"/>
    <xf numFmtId="1" fontId="15" fillId="0" borderId="0" xfId="3" quotePrefix="1" applyNumberFormat="1" applyFont="1" applyFill="1" applyAlignment="1" applyProtection="1">
      <alignment horizontal="left"/>
    </xf>
    <xf numFmtId="1" fontId="15" fillId="0" borderId="0" xfId="3" applyNumberFormat="1" applyFont="1" applyFill="1" applyBorder="1" applyAlignment="1" applyProtection="1"/>
    <xf numFmtId="167" fontId="2" fillId="0" borderId="0" xfId="11" applyFont="1" applyProtection="1"/>
    <xf numFmtId="175" fontId="16" fillId="0" borderId="21" xfId="11" applyNumberFormat="1" applyFont="1" applyFill="1" applyBorder="1" applyAlignment="1" applyProtection="1">
      <alignment horizontal="right"/>
    </xf>
    <xf numFmtId="9" fontId="11" fillId="0" borderId="0" xfId="4" applyFont="1" applyFill="1" applyAlignment="1" applyProtection="1"/>
    <xf numFmtId="9" fontId="2" fillId="0" borderId="0" xfId="4" applyFont="1" applyAlignment="1" applyProtection="1">
      <alignment horizontal="right"/>
    </xf>
    <xf numFmtId="0" fontId="1" fillId="2" borderId="46" xfId="8" applyNumberFormat="1" applyFont="1" applyFill="1" applyBorder="1" applyAlignment="1" applyProtection="1"/>
    <xf numFmtId="166" fontId="1" fillId="27" borderId="47" xfId="9" applyFont="1" applyFill="1" applyBorder="1" applyProtection="1"/>
    <xf numFmtId="0" fontId="1" fillId="2" borderId="49" xfId="8" applyNumberFormat="1" applyFont="1" applyFill="1" applyBorder="1" applyAlignment="1" applyProtection="1"/>
    <xf numFmtId="166" fontId="1" fillId="27" borderId="50" xfId="9" applyFont="1" applyFill="1" applyBorder="1" applyProtection="1"/>
    <xf numFmtId="166" fontId="1" fillId="2" borderId="49" xfId="8" applyFont="1" applyFill="1" applyBorder="1" applyAlignment="1" applyProtection="1"/>
    <xf numFmtId="4" fontId="11" fillId="0" borderId="0" xfId="2" applyNumberFormat="1" applyFont="1" applyAlignment="1" applyProtection="1">
      <alignment vertical="top"/>
      <protection locked="0"/>
    </xf>
    <xf numFmtId="0" fontId="2" fillId="0" borderId="0" xfId="2"/>
    <xf numFmtId="0" fontId="1" fillId="0" borderId="0" xfId="0" applyNumberFormat="1" applyFont="1" applyAlignment="1">
      <alignment horizontal="left"/>
    </xf>
    <xf numFmtId="0" fontId="2" fillId="28" borderId="0" xfId="0" applyNumberFormat="1" applyFont="1" applyFill="1"/>
    <xf numFmtId="0" fontId="2" fillId="0" borderId="0" xfId="0" applyNumberFormat="1" applyFont="1" applyAlignment="1">
      <alignment vertical="center"/>
    </xf>
    <xf numFmtId="1" fontId="2" fillId="0" borderId="0" xfId="0" applyFont="1" applyAlignment="1">
      <alignment vertical="center"/>
    </xf>
    <xf numFmtId="1" fontId="1" fillId="0" borderId="0" xfId="0" applyFont="1" applyAlignment="1">
      <alignment horizontal="left" vertical="center"/>
    </xf>
    <xf numFmtId="1" fontId="1" fillId="0" borderId="0" xfId="0" applyFont="1" applyAlignment="1">
      <alignment horizontal="right" vertical="center"/>
    </xf>
    <xf numFmtId="1" fontId="8" fillId="0" borderId="0" xfId="0" applyFont="1" applyAlignment="1">
      <alignment horizontal="right" vertical="center"/>
    </xf>
    <xf numFmtId="1" fontId="5" fillId="0" borderId="0" xfId="0" applyFont="1" applyAlignment="1">
      <alignment horizontal="left" vertical="center"/>
    </xf>
    <xf numFmtId="1" fontId="5" fillId="0" borderId="0" xfId="0" applyFont="1" applyAlignment="1">
      <alignment horizontal="right" vertical="center"/>
    </xf>
    <xf numFmtId="0" fontId="8" fillId="0" borderId="0" xfId="0" applyNumberFormat="1" applyFont="1" applyAlignment="1">
      <alignment horizontal="left" vertical="center"/>
    </xf>
    <xf numFmtId="1" fontId="2" fillId="0" borderId="0" xfId="2" applyNumberFormat="1" applyAlignment="1">
      <alignment vertical="center"/>
    </xf>
    <xf numFmtId="1" fontId="1" fillId="0" borderId="0" xfId="0" applyFont="1" applyAlignment="1">
      <alignment vertical="center"/>
    </xf>
    <xf numFmtId="10" fontId="2" fillId="0" borderId="0" xfId="0" applyNumberFormat="1" applyFont="1" applyAlignment="1">
      <alignment vertical="center"/>
    </xf>
    <xf numFmtId="1" fontId="8" fillId="0" borderId="0" xfId="0" applyFont="1" applyAlignment="1">
      <alignment horizontal="left" vertical="center"/>
    </xf>
    <xf numFmtId="0" fontId="1" fillId="0" borderId="0" xfId="1" applyFont="1" applyAlignment="1">
      <alignment horizontal="right" vertical="center"/>
    </xf>
    <xf numFmtId="0" fontId="7" fillId="0" borderId="0" xfId="0" applyNumberFormat="1" applyFont="1" applyAlignment="1">
      <alignment horizontal="center" vertical="center"/>
    </xf>
    <xf numFmtId="1" fontId="1" fillId="23" borderId="0" xfId="0" applyFont="1" applyFill="1" applyAlignment="1">
      <alignment vertical="center"/>
    </xf>
    <xf numFmtId="1" fontId="1" fillId="24" borderId="0" xfId="0" applyFont="1" applyFill="1" applyAlignment="1">
      <alignment vertical="center"/>
    </xf>
    <xf numFmtId="0" fontId="2" fillId="24" borderId="0" xfId="0" applyNumberFormat="1" applyFont="1" applyFill="1" applyAlignment="1">
      <alignment vertical="center"/>
    </xf>
    <xf numFmtId="168" fontId="2" fillId="0" borderId="0" xfId="0" applyNumberFormat="1" applyFont="1"/>
    <xf numFmtId="10" fontId="2" fillId="0" borderId="0" xfId="0" applyNumberFormat="1" applyFont="1"/>
    <xf numFmtId="1" fontId="1" fillId="0" borderId="0" xfId="0" applyFont="1" applyAlignment="1">
      <alignment horizontal="left"/>
    </xf>
    <xf numFmtId="1" fontId="1" fillId="0" borderId="0" xfId="0" applyFont="1" applyAlignment="1">
      <alignment horizontal="right"/>
    </xf>
    <xf numFmtId="14" fontId="8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right" vertical="center"/>
    </xf>
    <xf numFmtId="1" fontId="2" fillId="0" borderId="0" xfId="0" applyFont="1"/>
    <xf numFmtId="0" fontId="6" fillId="0" borderId="0" xfId="0" applyNumberFormat="1" applyFont="1" applyAlignment="1">
      <alignment horizontal="left" vertical="center"/>
    </xf>
    <xf numFmtId="0" fontId="5" fillId="0" borderId="0" xfId="0" applyNumberFormat="1" applyFont="1" applyAlignment="1">
      <alignment vertical="center"/>
    </xf>
    <xf numFmtId="1" fontId="2" fillId="24" borderId="0" xfId="0" applyFont="1" applyFill="1" applyAlignment="1">
      <alignment vertical="center"/>
    </xf>
    <xf numFmtId="1" fontId="2" fillId="24" borderId="0" xfId="0" applyFont="1" applyFill="1" applyAlignment="1">
      <alignment horizontal="center" vertical="center"/>
    </xf>
    <xf numFmtId="1" fontId="6" fillId="12" borderId="0" xfId="0" applyFont="1" applyFill="1" applyAlignment="1">
      <alignment horizontal="center"/>
    </xf>
    <xf numFmtId="1" fontId="2" fillId="28" borderId="0" xfId="0" applyFont="1" applyFill="1" applyAlignment="1">
      <alignment horizontal="center"/>
    </xf>
    <xf numFmtId="1" fontId="2" fillId="7" borderId="0" xfId="0" applyFont="1" applyFill="1" applyAlignment="1">
      <alignment horizontal="center"/>
    </xf>
    <xf numFmtId="1" fontId="2" fillId="6" borderId="0" xfId="0" applyFont="1" applyFill="1" applyAlignment="1">
      <alignment horizontal="center"/>
    </xf>
    <xf numFmtId="1" fontId="2" fillId="9" borderId="0" xfId="0" applyFont="1" applyFill="1" applyAlignment="1">
      <alignment horizontal="center"/>
    </xf>
    <xf numFmtId="1" fontId="1" fillId="0" borderId="0" xfId="0" applyFont="1"/>
    <xf numFmtId="1" fontId="1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30" borderId="0" xfId="2" applyFill="1" applyAlignment="1">
      <alignment horizontal="center"/>
    </xf>
    <xf numFmtId="0" fontId="2" fillId="12" borderId="0" xfId="2" applyFill="1" applyAlignment="1">
      <alignment horizontal="center"/>
    </xf>
    <xf numFmtId="1" fontId="2" fillId="12" borderId="13" xfId="0" applyFont="1" applyFill="1" applyBorder="1" applyAlignment="1">
      <alignment horizontal="center"/>
    </xf>
    <xf numFmtId="1" fontId="2" fillId="12" borderId="14" xfId="0" applyFont="1" applyFill="1" applyBorder="1" applyAlignment="1">
      <alignment horizontal="center"/>
    </xf>
    <xf numFmtId="1" fontId="2" fillId="10" borderId="0" xfId="0" applyFont="1" applyFill="1" applyAlignment="1">
      <alignment horizontal="center"/>
    </xf>
    <xf numFmtId="1" fontId="2" fillId="0" borderId="0" xfId="0" applyFont="1" applyAlignment="1">
      <alignment horizontal="center"/>
    </xf>
    <xf numFmtId="1" fontId="2" fillId="30" borderId="0" xfId="2" applyNumberFormat="1" applyFill="1" applyAlignment="1">
      <alignment horizontal="center"/>
    </xf>
    <xf numFmtId="1" fontId="2" fillId="12" borderId="0" xfId="2" applyNumberFormat="1" applyFill="1" applyAlignment="1">
      <alignment horizontal="center"/>
    </xf>
    <xf numFmtId="1" fontId="2" fillId="12" borderId="0" xfId="0" applyFont="1" applyFill="1" applyAlignment="1">
      <alignment horizontal="center"/>
    </xf>
    <xf numFmtId="1" fontId="2" fillId="12" borderId="0" xfId="0" applyFont="1" applyFill="1"/>
    <xf numFmtId="1" fontId="2" fillId="28" borderId="0" xfId="0" applyFont="1" applyFill="1"/>
    <xf numFmtId="1" fontId="2" fillId="7" borderId="0" xfId="0" applyFont="1" applyFill="1"/>
    <xf numFmtId="1" fontId="2" fillId="6" borderId="0" xfId="0" applyFont="1" applyFill="1"/>
    <xf numFmtId="1" fontId="2" fillId="9" borderId="0" xfId="0" applyFont="1" applyFill="1"/>
    <xf numFmtId="0" fontId="2" fillId="7" borderId="0" xfId="0" applyNumberFormat="1" applyFont="1" applyFill="1"/>
    <xf numFmtId="0" fontId="2" fillId="6" borderId="0" xfId="0" applyNumberFormat="1" applyFont="1" applyFill="1"/>
    <xf numFmtId="0" fontId="2" fillId="9" borderId="0" xfId="0" applyNumberFormat="1" applyFont="1" applyFill="1"/>
    <xf numFmtId="0" fontId="2" fillId="12" borderId="0" xfId="0" applyNumberFormat="1" applyFont="1" applyFill="1"/>
    <xf numFmtId="0" fontId="2" fillId="0" borderId="9" xfId="0" applyNumberFormat="1" applyFont="1" applyBorder="1"/>
    <xf numFmtId="1" fontId="2" fillId="10" borderId="0" xfId="0" applyFont="1" applyFill="1"/>
    <xf numFmtId="1" fontId="2" fillId="0" borderId="1" xfId="0" applyFont="1" applyBorder="1"/>
    <xf numFmtId="1" fontId="2" fillId="0" borderId="4" xfId="0" applyFont="1" applyBorder="1"/>
    <xf numFmtId="0" fontId="2" fillId="0" borderId="4" xfId="0" applyNumberFormat="1" applyFont="1" applyBorder="1"/>
    <xf numFmtId="1" fontId="11" fillId="0" borderId="0" xfId="0" applyFont="1"/>
    <xf numFmtId="4" fontId="11" fillId="0" borderId="0" xfId="0" applyNumberFormat="1" applyFont="1"/>
    <xf numFmtId="2" fontId="11" fillId="0" borderId="0" xfId="0" applyNumberFormat="1" applyFont="1"/>
    <xf numFmtId="4" fontId="2" fillId="0" borderId="0" xfId="0" applyNumberFormat="1" applyFont="1"/>
    <xf numFmtId="4" fontId="18" fillId="0" borderId="0" xfId="0" applyNumberFormat="1" applyFont="1"/>
    <xf numFmtId="3" fontId="2" fillId="0" borderId="0" xfId="0" applyNumberFormat="1" applyFont="1"/>
    <xf numFmtId="1" fontId="2" fillId="0" borderId="0" xfId="0" quotePrefix="1" applyFont="1"/>
    <xf numFmtId="1" fontId="2" fillId="0" borderId="17" xfId="0" applyFont="1" applyBorder="1"/>
    <xf numFmtId="1" fontId="2" fillId="0" borderId="5" xfId="0" applyFont="1" applyBorder="1"/>
    <xf numFmtId="1" fontId="2" fillId="0" borderId="4" xfId="0" quotePrefix="1" applyFont="1" applyBorder="1"/>
    <xf numFmtId="2" fontId="2" fillId="0" borderId="4" xfId="0" applyNumberFormat="1" applyFont="1" applyBorder="1"/>
    <xf numFmtId="4" fontId="2" fillId="0" borderId="4" xfId="0" applyNumberFormat="1" applyFont="1" applyBorder="1"/>
    <xf numFmtId="4" fontId="2" fillId="0" borderId="1" xfId="0" applyNumberFormat="1" applyFont="1" applyBorder="1"/>
    <xf numFmtId="1" fontId="2" fillId="30" borderId="1" xfId="0" applyFont="1" applyFill="1" applyBorder="1"/>
    <xf numFmtId="1" fontId="2" fillId="28" borderId="1" xfId="0" applyFont="1" applyFill="1" applyBorder="1"/>
    <xf numFmtId="1" fontId="2" fillId="7" borderId="1" xfId="0" applyFont="1" applyFill="1" applyBorder="1"/>
    <xf numFmtId="1" fontId="2" fillId="6" borderId="1" xfId="0" applyFont="1" applyFill="1" applyBorder="1"/>
    <xf numFmtId="1" fontId="2" fillId="9" borderId="1" xfId="0" applyFont="1" applyFill="1" applyBorder="1"/>
    <xf numFmtId="1" fontId="2" fillId="12" borderId="1" xfId="0" applyFont="1" applyFill="1" applyBorder="1"/>
    <xf numFmtId="4" fontId="2" fillId="12" borderId="1" xfId="0" applyNumberFormat="1" applyFont="1" applyFill="1" applyBorder="1"/>
    <xf numFmtId="1" fontId="2" fillId="10" borderId="1" xfId="0" applyFont="1" applyFill="1" applyBorder="1"/>
    <xf numFmtId="1" fontId="2" fillId="12" borderId="66" xfId="0" applyFont="1" applyFill="1" applyBorder="1"/>
    <xf numFmtId="2" fontId="2" fillId="0" borderId="0" xfId="0" applyNumberFormat="1" applyFont="1"/>
    <xf numFmtId="1" fontId="5" fillId="0" borderId="0" xfId="0" applyFont="1"/>
    <xf numFmtId="4" fontId="1" fillId="0" borderId="0" xfId="0" applyNumberFormat="1" applyFont="1"/>
    <xf numFmtId="173" fontId="2" fillId="0" borderId="0" xfId="0" applyNumberFormat="1" applyFont="1"/>
    <xf numFmtId="173" fontId="2" fillId="30" borderId="0" xfId="0" applyNumberFormat="1" applyFont="1" applyFill="1"/>
    <xf numFmtId="173" fontId="2" fillId="28" borderId="0" xfId="0" applyNumberFormat="1" applyFont="1" applyFill="1"/>
    <xf numFmtId="173" fontId="2" fillId="7" borderId="0" xfId="0" applyNumberFormat="1" applyFont="1" applyFill="1"/>
    <xf numFmtId="173" fontId="2" fillId="6" borderId="0" xfId="0" applyNumberFormat="1" applyFont="1" applyFill="1"/>
    <xf numFmtId="173" fontId="2" fillId="9" borderId="0" xfId="0" applyNumberFormat="1" applyFont="1" applyFill="1"/>
    <xf numFmtId="173" fontId="2" fillId="12" borderId="0" xfId="0" applyNumberFormat="1" applyFont="1" applyFill="1"/>
    <xf numFmtId="173" fontId="1" fillId="0" borderId="0" xfId="0" applyNumberFormat="1" applyFont="1"/>
    <xf numFmtId="3" fontId="2" fillId="12" borderId="0" xfId="0" applyNumberFormat="1" applyFont="1" applyFill="1"/>
    <xf numFmtId="3" fontId="2" fillId="10" borderId="0" xfId="0" applyNumberFormat="1" applyFont="1" applyFill="1"/>
    <xf numFmtId="3" fontId="2" fillId="7" borderId="0" xfId="0" applyNumberFormat="1" applyFont="1" applyFill="1"/>
    <xf numFmtId="3" fontId="2" fillId="6" borderId="0" xfId="0" applyNumberFormat="1" applyFont="1" applyFill="1"/>
    <xf numFmtId="3" fontId="2" fillId="9" borderId="0" xfId="0" applyNumberFormat="1" applyFont="1" applyFill="1"/>
    <xf numFmtId="3" fontId="2" fillId="12" borderId="21" xfId="0" applyNumberFormat="1" applyFont="1" applyFill="1" applyBorder="1"/>
    <xf numFmtId="2" fontId="2" fillId="12" borderId="5" xfId="0" applyNumberFormat="1" applyFont="1" applyFill="1" applyBorder="1"/>
    <xf numFmtId="1" fontId="2" fillId="10" borderId="5" xfId="0" applyFont="1" applyFill="1" applyBorder="1"/>
    <xf numFmtId="1" fontId="2" fillId="7" borderId="5" xfId="0" applyFont="1" applyFill="1" applyBorder="1"/>
    <xf numFmtId="1" fontId="2" fillId="12" borderId="5" xfId="0" applyFont="1" applyFill="1" applyBorder="1"/>
    <xf numFmtId="1" fontId="2" fillId="6" borderId="5" xfId="0" applyFont="1" applyFill="1" applyBorder="1"/>
    <xf numFmtId="1" fontId="2" fillId="9" borderId="5" xfId="0" applyFont="1" applyFill="1" applyBorder="1"/>
    <xf numFmtId="1" fontId="2" fillId="12" borderId="23" xfId="0" applyFont="1" applyFill="1" applyBorder="1"/>
    <xf numFmtId="4" fontId="2" fillId="0" borderId="3" xfId="0" applyNumberFormat="1" applyFont="1" applyBorder="1"/>
    <xf numFmtId="4" fontId="11" fillId="0" borderId="3" xfId="0" applyNumberFormat="1" applyFont="1" applyBorder="1"/>
    <xf numFmtId="173" fontId="11" fillId="0" borderId="0" xfId="0" applyNumberFormat="1" applyFont="1"/>
    <xf numFmtId="173" fontId="1" fillId="0" borderId="12" xfId="0" applyNumberFormat="1" applyFont="1" applyBorder="1"/>
    <xf numFmtId="173" fontId="11" fillId="0" borderId="5" xfId="0" applyNumberFormat="1" applyFont="1" applyBorder="1"/>
    <xf numFmtId="173" fontId="11" fillId="28" borderId="5" xfId="0" applyNumberFormat="1" applyFont="1" applyFill="1" applyBorder="1"/>
    <xf numFmtId="173" fontId="18" fillId="7" borderId="5" xfId="0" applyNumberFormat="1" applyFont="1" applyFill="1" applyBorder="1"/>
    <xf numFmtId="173" fontId="18" fillId="6" borderId="5" xfId="0" applyNumberFormat="1" applyFont="1" applyFill="1" applyBorder="1"/>
    <xf numFmtId="173" fontId="18" fillId="9" borderId="5" xfId="0" applyNumberFormat="1" applyFont="1" applyFill="1" applyBorder="1"/>
    <xf numFmtId="173" fontId="18" fillId="21" borderId="5" xfId="0" applyNumberFormat="1" applyFont="1" applyFill="1" applyBorder="1"/>
    <xf numFmtId="173" fontId="1" fillId="0" borderId="68" xfId="0" applyNumberFormat="1" applyFont="1" applyBorder="1"/>
    <xf numFmtId="173" fontId="2" fillId="0" borderId="3" xfId="0" applyNumberFormat="1" applyFont="1" applyBorder="1"/>
    <xf numFmtId="173" fontId="2" fillId="21" borderId="0" xfId="0" applyNumberFormat="1" applyFont="1" applyFill="1"/>
    <xf numFmtId="173" fontId="1" fillId="0" borderId="67" xfId="0" applyNumberFormat="1" applyFont="1" applyBorder="1"/>
    <xf numFmtId="173" fontId="2" fillId="28" borderId="9" xfId="0" applyNumberFormat="1" applyFont="1" applyFill="1" applyBorder="1"/>
    <xf numFmtId="173" fontId="2" fillId="7" borderId="9" xfId="0" applyNumberFormat="1" applyFont="1" applyFill="1" applyBorder="1"/>
    <xf numFmtId="173" fontId="2" fillId="6" borderId="9" xfId="0" applyNumberFormat="1" applyFont="1" applyFill="1" applyBorder="1"/>
    <xf numFmtId="173" fontId="2" fillId="9" borderId="9" xfId="0" applyNumberFormat="1" applyFont="1" applyFill="1" applyBorder="1"/>
    <xf numFmtId="173" fontId="2" fillId="21" borderId="9" xfId="0" applyNumberFormat="1" applyFont="1" applyFill="1" applyBorder="1"/>
    <xf numFmtId="173" fontId="1" fillId="0" borderId="10" xfId="0" applyNumberFormat="1" applyFont="1" applyBorder="1"/>
    <xf numFmtId="1" fontId="2" fillId="0" borderId="0" xfId="0" applyFont="1" applyAlignment="1">
      <alignment horizontal="fill"/>
    </xf>
    <xf numFmtId="1" fontId="2" fillId="2" borderId="0" xfId="0" applyFont="1" applyFill="1"/>
    <xf numFmtId="4" fontId="2" fillId="0" borderId="5" xfId="0" applyNumberFormat="1" applyFont="1" applyBorder="1"/>
    <xf numFmtId="4" fontId="11" fillId="0" borderId="0" xfId="0" applyNumberFormat="1" applyFont="1" applyAlignment="1">
      <alignment horizontal="right" vertical="center"/>
    </xf>
    <xf numFmtId="1" fontId="8" fillId="0" borderId="0" xfId="0" applyFont="1" applyAlignment="1">
      <alignment horizontal="left"/>
    </xf>
    <xf numFmtId="1" fontId="16" fillId="0" borderId="0" xfId="0" applyFont="1" applyAlignment="1">
      <alignment horizontal="left"/>
    </xf>
    <xf numFmtId="0" fontId="5" fillId="0" borderId="6" xfId="0" applyNumberFormat="1" applyFont="1" applyBorder="1" applyAlignment="1">
      <alignment horizontal="left"/>
    </xf>
    <xf numFmtId="0" fontId="5" fillId="0" borderId="4" xfId="0" applyNumberFormat="1" applyFont="1" applyBorder="1" applyAlignment="1">
      <alignment horizontal="left"/>
    </xf>
    <xf numFmtId="0" fontId="5" fillId="0" borderId="7" xfId="0" applyNumberFormat="1" applyFont="1" applyBorder="1" applyAlignment="1">
      <alignment horizontal="right"/>
    </xf>
    <xf numFmtId="0" fontId="5" fillId="0" borderId="11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14" fontId="16" fillId="0" borderId="0" xfId="0" applyNumberFormat="1" applyFont="1" applyAlignment="1">
      <alignment horizontal="left"/>
    </xf>
    <xf numFmtId="14" fontId="16" fillId="0" borderId="12" xfId="0" applyNumberFormat="1" applyFont="1" applyBorder="1" applyAlignment="1">
      <alignment horizontal="right"/>
    </xf>
    <xf numFmtId="1" fontId="1" fillId="0" borderId="8" xfId="0" applyFont="1" applyBorder="1" applyAlignment="1">
      <alignment horizontal="left"/>
    </xf>
    <xf numFmtId="1" fontId="2" fillId="0" borderId="9" xfId="0" applyFont="1" applyBorder="1"/>
    <xf numFmtId="1" fontId="1" fillId="0" borderId="9" xfId="0" applyFont="1" applyBorder="1" applyAlignment="1">
      <alignment horizontal="right"/>
    </xf>
    <xf numFmtId="14" fontId="1" fillId="0" borderId="10" xfId="0" applyNumberFormat="1" applyFont="1" applyBorder="1" applyAlignment="1">
      <alignment horizontal="right"/>
    </xf>
    <xf numFmtId="1" fontId="2" fillId="0" borderId="0" xfId="0" applyFont="1" applyAlignment="1">
      <alignment horizontal="right"/>
    </xf>
    <xf numFmtId="49" fontId="11" fillId="0" borderId="0" xfId="0" applyNumberFormat="1" applyFont="1"/>
    <xf numFmtId="1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left" vertical="center"/>
    </xf>
    <xf numFmtId="4" fontId="11" fillId="0" borderId="0" xfId="0" applyNumberFormat="1" applyFont="1" applyAlignment="1">
      <alignment horizontal="left" vertical="center"/>
    </xf>
    <xf numFmtId="10" fontId="11" fillId="0" borderId="0" xfId="0" applyNumberFormat="1" applyFont="1"/>
    <xf numFmtId="0" fontId="19" fillId="0" borderId="0" xfId="0" applyNumberFormat="1" applyFont="1" applyAlignment="1">
      <alignment horizontal="left" vertical="center"/>
    </xf>
    <xf numFmtId="4" fontId="11" fillId="0" borderId="0" xfId="0" applyNumberFormat="1" applyFont="1" applyAlignment="1">
      <alignment horizontal="left"/>
    </xf>
    <xf numFmtId="1" fontId="11" fillId="0" borderId="65" xfId="0" applyFont="1" applyBorder="1" applyAlignment="1">
      <alignment horizontal="center"/>
    </xf>
    <xf numFmtId="14" fontId="11" fillId="0" borderId="65" xfId="0" applyNumberFormat="1" applyFont="1" applyBorder="1" applyAlignment="1">
      <alignment horizontal="left" vertical="center"/>
    </xf>
    <xf numFmtId="4" fontId="11" fillId="0" borderId="65" xfId="0" applyNumberFormat="1" applyFont="1" applyBorder="1" applyAlignment="1">
      <alignment horizontal="left"/>
    </xf>
    <xf numFmtId="4" fontId="11" fillId="0" borderId="65" xfId="0" applyNumberFormat="1" applyFont="1" applyBorder="1"/>
    <xf numFmtId="4" fontId="2" fillId="0" borderId="65" xfId="0" applyNumberFormat="1" applyFont="1" applyBorder="1"/>
    <xf numFmtId="10" fontId="11" fillId="0" borderId="65" xfId="0" applyNumberFormat="1" applyFont="1" applyBorder="1"/>
    <xf numFmtId="14" fontId="2" fillId="0" borderId="0" xfId="0" applyNumberFormat="1" applyFont="1"/>
    <xf numFmtId="1" fontId="18" fillId="0" borderId="0" xfId="0" applyFont="1"/>
    <xf numFmtId="2" fontId="2" fillId="0" borderId="2" xfId="0" applyNumberFormat="1" applyFont="1" applyBorder="1"/>
    <xf numFmtId="4" fontId="2" fillId="0" borderId="2" xfId="0" applyNumberFormat="1" applyFont="1" applyBorder="1"/>
    <xf numFmtId="4" fontId="2" fillId="6" borderId="0" xfId="0" applyNumberFormat="1" applyFont="1" applyFill="1"/>
    <xf numFmtId="1" fontId="11" fillId="2" borderId="0" xfId="0" applyFont="1" applyFill="1"/>
    <xf numFmtId="2" fontId="11" fillId="6" borderId="0" xfId="0" applyNumberFormat="1" applyFont="1" applyFill="1"/>
    <xf numFmtId="10" fontId="2" fillId="6" borderId="0" xfId="0" applyNumberFormat="1" applyFont="1" applyFill="1"/>
    <xf numFmtId="1" fontId="11" fillId="6" borderId="0" xfId="0" applyFont="1" applyFill="1"/>
    <xf numFmtId="1" fontId="2" fillId="6" borderId="0" xfId="0" quotePrefix="1" applyFont="1" applyFill="1"/>
    <xf numFmtId="9" fontId="2" fillId="6" borderId="0" xfId="0" applyNumberFormat="1" applyFont="1" applyFill="1"/>
    <xf numFmtId="2" fontId="9" fillId="0" borderId="0" xfId="0" applyNumberFormat="1" applyFont="1"/>
    <xf numFmtId="1" fontId="9" fillId="0" borderId="0" xfId="0" applyFont="1"/>
    <xf numFmtId="1" fontId="2" fillId="0" borderId="0" xfId="1" applyNumberFormat="1"/>
    <xf numFmtId="1" fontId="2" fillId="2" borderId="0" xfId="1" applyNumberFormat="1" applyFill="1"/>
    <xf numFmtId="1" fontId="2" fillId="10" borderId="0" xfId="2" applyNumberFormat="1" applyFill="1"/>
    <xf numFmtId="0" fontId="2" fillId="0" borderId="0" xfId="1"/>
    <xf numFmtId="0" fontId="2" fillId="3" borderId="0" xfId="1" applyFill="1"/>
    <xf numFmtId="10" fontId="2" fillId="0" borderId="0" xfId="1" applyNumberFormat="1"/>
    <xf numFmtId="1" fontId="1" fillId="2" borderId="0" xfId="0" applyFont="1" applyFill="1" applyAlignment="1">
      <alignment horizontal="right"/>
    </xf>
    <xf numFmtId="0" fontId="1" fillId="10" borderId="0" xfId="2" applyFont="1" applyFill="1"/>
    <xf numFmtId="0" fontId="1" fillId="10" borderId="0" xfId="2" applyFont="1" applyFill="1" applyAlignment="1">
      <alignment horizontal="right"/>
    </xf>
    <xf numFmtId="0" fontId="1" fillId="10" borderId="0" xfId="2" applyFont="1" applyFill="1" applyAlignment="1">
      <alignment horizontal="left"/>
    </xf>
    <xf numFmtId="168" fontId="2" fillId="2" borderId="0" xfId="1" applyNumberFormat="1" applyFill="1"/>
    <xf numFmtId="10" fontId="2" fillId="2" borderId="0" xfId="1" applyNumberFormat="1" applyFill="1"/>
    <xf numFmtId="9" fontId="11" fillId="0" borderId="0" xfId="2" applyNumberFormat="1" applyFont="1" applyAlignment="1">
      <alignment vertical="top"/>
    </xf>
    <xf numFmtId="15" fontId="1" fillId="10" borderId="0" xfId="2" applyNumberFormat="1" applyFont="1" applyFill="1" applyAlignment="1">
      <alignment horizontal="right"/>
    </xf>
    <xf numFmtId="1" fontId="1" fillId="2" borderId="0" xfId="2" applyNumberFormat="1" applyFont="1" applyFill="1" applyAlignment="1">
      <alignment horizontal="fill"/>
    </xf>
    <xf numFmtId="0" fontId="1" fillId="4" borderId="0" xfId="2" applyFont="1" applyFill="1" applyAlignment="1">
      <alignment horizontal="centerContinuous"/>
    </xf>
    <xf numFmtId="1" fontId="1" fillId="4" borderId="0" xfId="2" applyNumberFormat="1" applyFont="1" applyFill="1" applyAlignment="1">
      <alignment horizontal="fill"/>
    </xf>
    <xf numFmtId="0" fontId="1" fillId="4" borderId="0" xfId="1" applyFont="1" applyFill="1" applyAlignment="1">
      <alignment horizontal="centerContinuous"/>
    </xf>
    <xf numFmtId="0" fontId="2" fillId="2" borderId="0" xfId="2" applyFill="1"/>
    <xf numFmtId="0" fontId="2" fillId="10" borderId="0" xfId="2" applyFill="1" applyAlignment="1">
      <alignment horizontal="center"/>
    </xf>
    <xf numFmtId="0" fontId="2" fillId="9" borderId="0" xfId="2" applyFill="1" applyAlignment="1">
      <alignment horizontal="center"/>
    </xf>
    <xf numFmtId="0" fontId="2" fillId="14" borderId="0" xfId="2" applyFill="1" applyAlignment="1">
      <alignment horizontal="center"/>
    </xf>
    <xf numFmtId="1" fontId="2" fillId="7" borderId="0" xfId="2" applyNumberFormat="1" applyFill="1" applyAlignment="1">
      <alignment horizontal="center"/>
    </xf>
    <xf numFmtId="1" fontId="2" fillId="15" borderId="0" xfId="2" applyNumberFormat="1" applyFill="1" applyAlignment="1">
      <alignment horizontal="center"/>
    </xf>
    <xf numFmtId="1" fontId="2" fillId="6" borderId="0" xfId="2" applyNumberFormat="1" applyFill="1" applyAlignment="1">
      <alignment horizontal="center"/>
    </xf>
    <xf numFmtId="1" fontId="1" fillId="2" borderId="0" xfId="2" applyNumberFormat="1" applyFont="1" applyFill="1" applyAlignment="1">
      <alignment horizontal="center"/>
    </xf>
    <xf numFmtId="0" fontId="1" fillId="2" borderId="0" xfId="2" applyFont="1" applyFill="1" applyAlignment="1">
      <alignment horizontal="center"/>
    </xf>
    <xf numFmtId="1" fontId="1" fillId="10" borderId="0" xfId="2" applyNumberFormat="1" applyFont="1" applyFill="1" applyAlignment="1">
      <alignment horizontal="center"/>
    </xf>
    <xf numFmtId="1" fontId="2" fillId="14" borderId="0" xfId="2" applyNumberFormat="1" applyFill="1" applyAlignment="1">
      <alignment horizontal="center"/>
    </xf>
    <xf numFmtId="1" fontId="2" fillId="18" borderId="0" xfId="2" applyNumberFormat="1" applyFill="1" applyAlignment="1">
      <alignment horizontal="center"/>
    </xf>
    <xf numFmtId="1" fontId="2" fillId="9" borderId="0" xfId="2" applyNumberFormat="1" applyFill="1" applyAlignment="1">
      <alignment horizontal="center"/>
    </xf>
    <xf numFmtId="0" fontId="1" fillId="2" borderId="0" xfId="2" applyFont="1" applyFill="1"/>
    <xf numFmtId="1" fontId="2" fillId="10" borderId="0" xfId="2" applyNumberFormat="1" applyFill="1" applyAlignment="1">
      <alignment horizontal="center"/>
    </xf>
    <xf numFmtId="1" fontId="2" fillId="10" borderId="0" xfId="1" applyNumberFormat="1" applyFill="1" applyAlignment="1">
      <alignment horizontal="center"/>
    </xf>
    <xf numFmtId="1" fontId="2" fillId="7" borderId="0" xfId="1" applyNumberFormat="1" applyFill="1" applyAlignment="1">
      <alignment horizontal="center"/>
    </xf>
    <xf numFmtId="1" fontId="2" fillId="6" borderId="0" xfId="1" applyNumberFormat="1" applyFill="1" applyAlignment="1">
      <alignment horizontal="center"/>
    </xf>
    <xf numFmtId="1" fontId="2" fillId="12" borderId="0" xfId="1" applyNumberFormat="1" applyFill="1" applyAlignment="1">
      <alignment horizontal="center"/>
    </xf>
    <xf numFmtId="1" fontId="2" fillId="9" borderId="0" xfId="1" applyNumberFormat="1" applyFill="1" applyAlignment="1">
      <alignment horizontal="center"/>
    </xf>
    <xf numFmtId="1" fontId="2" fillId="0" borderId="1" xfId="2" applyNumberFormat="1" applyBorder="1"/>
    <xf numFmtId="1" fontId="1" fillId="0" borderId="1" xfId="2" applyNumberFormat="1" applyFont="1" applyBorder="1"/>
    <xf numFmtId="4" fontId="11" fillId="0" borderId="0" xfId="2" applyNumberFormat="1" applyFont="1" applyAlignment="1">
      <alignment vertical="top"/>
    </xf>
    <xf numFmtId="0" fontId="2" fillId="0" borderId="0" xfId="2" applyAlignment="1">
      <alignment vertical="top"/>
    </xf>
    <xf numFmtId="49" fontId="8" fillId="0" borderId="0" xfId="2" applyNumberFormat="1" applyFont="1"/>
    <xf numFmtId="170" fontId="1" fillId="0" borderId="0" xfId="2" quotePrefix="1" applyNumberFormat="1" applyFont="1" applyAlignment="1">
      <alignment horizontal="left" vertical="top"/>
    </xf>
    <xf numFmtId="2" fontId="2" fillId="0" borderId="0" xfId="2" applyNumberFormat="1"/>
    <xf numFmtId="2" fontId="2" fillId="0" borderId="0" xfId="1" applyNumberFormat="1"/>
    <xf numFmtId="1" fontId="2" fillId="10" borderId="1" xfId="2" applyNumberFormat="1" applyFill="1" applyBorder="1" applyAlignment="1">
      <alignment horizontal="fill"/>
    </xf>
    <xf numFmtId="0" fontId="2" fillId="14" borderId="1" xfId="2" applyFill="1" applyBorder="1" applyAlignment="1">
      <alignment horizontal="fill"/>
    </xf>
    <xf numFmtId="0" fontId="2" fillId="7" borderId="1" xfId="2" applyFill="1" applyBorder="1" applyAlignment="1">
      <alignment horizontal="fill"/>
    </xf>
    <xf numFmtId="0" fontId="2" fillId="15" borderId="1" xfId="2" applyFill="1" applyBorder="1" applyAlignment="1">
      <alignment horizontal="fill"/>
    </xf>
    <xf numFmtId="0" fontId="2" fillId="6" borderId="1" xfId="2" applyFill="1" applyBorder="1" applyAlignment="1">
      <alignment horizontal="fill"/>
    </xf>
    <xf numFmtId="0" fontId="2" fillId="18" borderId="1" xfId="2" applyFill="1" applyBorder="1" applyAlignment="1">
      <alignment horizontal="fill"/>
    </xf>
    <xf numFmtId="0" fontId="2" fillId="9" borderId="1" xfId="2" applyFill="1" applyBorder="1" applyAlignment="1">
      <alignment horizontal="fill"/>
    </xf>
    <xf numFmtId="4" fontId="2" fillId="14" borderId="0" xfId="2" applyNumberFormat="1" applyFill="1"/>
    <xf numFmtId="4" fontId="2" fillId="7" borderId="0" xfId="2" applyNumberFormat="1" applyFill="1"/>
    <xf numFmtId="4" fontId="2" fillId="15" borderId="0" xfId="2" applyNumberFormat="1" applyFill="1"/>
    <xf numFmtId="4" fontId="2" fillId="6" borderId="0" xfId="2" applyNumberFormat="1" applyFill="1"/>
    <xf numFmtId="4" fontId="2" fillId="18" borderId="0" xfId="2" applyNumberFormat="1" applyFill="1"/>
    <xf numFmtId="4" fontId="2" fillId="9" borderId="0" xfId="2" applyNumberFormat="1" applyFill="1"/>
    <xf numFmtId="1" fontId="2" fillId="10" borderId="0" xfId="2" applyNumberFormat="1" applyFill="1" applyAlignment="1">
      <alignment horizontal="fill"/>
    </xf>
    <xf numFmtId="0" fontId="2" fillId="14" borderId="0" xfId="2" applyFill="1" applyAlignment="1">
      <alignment horizontal="fill"/>
    </xf>
    <xf numFmtId="0" fontId="2" fillId="7" borderId="0" xfId="2" applyFill="1" applyAlignment="1">
      <alignment horizontal="fill"/>
    </xf>
    <xf numFmtId="0" fontId="2" fillId="15" borderId="0" xfId="2" applyFill="1" applyAlignment="1">
      <alignment horizontal="fill"/>
    </xf>
    <xf numFmtId="0" fontId="2" fillId="6" borderId="0" xfId="2" applyFill="1" applyAlignment="1">
      <alignment horizontal="fill"/>
    </xf>
    <xf numFmtId="0" fontId="2" fillId="18" borderId="0" xfId="2" applyFill="1" applyAlignment="1">
      <alignment horizontal="fill"/>
    </xf>
    <xf numFmtId="0" fontId="2" fillId="9" borderId="0" xfId="2" applyFill="1" applyAlignment="1">
      <alignment horizontal="fill"/>
    </xf>
    <xf numFmtId="0" fontId="2" fillId="2" borderId="0" xfId="0" applyNumberFormat="1" applyFont="1" applyFill="1"/>
    <xf numFmtId="1" fontId="2" fillId="2" borderId="0" xfId="2" applyNumberFormat="1" applyFill="1"/>
    <xf numFmtId="49" fontId="5" fillId="2" borderId="0" xfId="2" applyNumberFormat="1" applyFont="1" applyFill="1"/>
    <xf numFmtId="0" fontId="2" fillId="6" borderId="0" xfId="2" applyFill="1"/>
    <xf numFmtId="1" fontId="1" fillId="2" borderId="0" xfId="2" applyNumberFormat="1" applyFont="1" applyFill="1"/>
    <xf numFmtId="0" fontId="1" fillId="2" borderId="0" xfId="2" applyFont="1" applyFill="1" applyAlignment="1">
      <alignment horizontal="right"/>
    </xf>
    <xf numFmtId="0" fontId="11" fillId="2" borderId="0" xfId="2" applyFont="1" applyFill="1"/>
    <xf numFmtId="15" fontId="1" fillId="2" borderId="0" xfId="2" applyNumberFormat="1" applyFont="1" applyFill="1" applyAlignment="1">
      <alignment horizontal="right"/>
    </xf>
    <xf numFmtId="49" fontId="5" fillId="2" borderId="0" xfId="2" applyNumberFormat="1" applyFont="1" applyFill="1" applyAlignment="1">
      <alignment horizontal="fill"/>
    </xf>
    <xf numFmtId="49" fontId="5" fillId="2" borderId="0" xfId="2" applyNumberFormat="1" applyFont="1" applyFill="1" applyAlignment="1">
      <alignment horizontal="center"/>
    </xf>
    <xf numFmtId="0" fontId="2" fillId="12" borderId="15" xfId="2" applyFill="1" applyBorder="1" applyAlignment="1">
      <alignment horizontal="center"/>
    </xf>
    <xf numFmtId="1" fontId="1" fillId="2" borderId="0" xfId="2" applyNumberFormat="1" applyFont="1" applyFill="1" applyAlignment="1">
      <alignment horizontal="left"/>
    </xf>
    <xf numFmtId="1" fontId="2" fillId="12" borderId="15" xfId="2" applyNumberFormat="1" applyFill="1" applyBorder="1" applyAlignment="1">
      <alignment horizontal="center"/>
    </xf>
    <xf numFmtId="1" fontId="2" fillId="30" borderId="0" xfId="1" applyNumberFormat="1" applyFill="1" applyAlignment="1">
      <alignment horizontal="center"/>
    </xf>
    <xf numFmtId="49" fontId="5" fillId="0" borderId="0" xfId="2" applyNumberFormat="1" applyFont="1"/>
    <xf numFmtId="49" fontId="5" fillId="7" borderId="0" xfId="2" applyNumberFormat="1" applyFont="1" applyFill="1"/>
    <xf numFmtId="49" fontId="5" fillId="6" borderId="0" xfId="2" applyNumberFormat="1" applyFont="1" applyFill="1"/>
    <xf numFmtId="49" fontId="5" fillId="9" borderId="0" xfId="2" applyNumberFormat="1" applyFont="1" applyFill="1"/>
    <xf numFmtId="1" fontId="2" fillId="2" borderId="1" xfId="2" applyNumberFormat="1" applyFill="1" applyBorder="1"/>
    <xf numFmtId="1" fontId="1" fillId="0" borderId="16" xfId="2" applyNumberFormat="1" applyFont="1" applyBorder="1"/>
    <xf numFmtId="169" fontId="2" fillId="0" borderId="0" xfId="2" applyNumberFormat="1" applyAlignment="1">
      <alignment vertical="top"/>
    </xf>
    <xf numFmtId="0" fontId="1" fillId="0" borderId="0" xfId="2" applyFont="1" applyAlignment="1">
      <alignment wrapText="1"/>
    </xf>
    <xf numFmtId="170" fontId="2" fillId="0" borderId="0" xfId="2" applyNumberFormat="1"/>
    <xf numFmtId="10" fontId="2" fillId="0" borderId="0" xfId="2" applyNumberFormat="1"/>
    <xf numFmtId="4" fontId="5" fillId="0" borderId="0" xfId="2" applyNumberFormat="1" applyFont="1"/>
    <xf numFmtId="4" fontId="5" fillId="0" borderId="0" xfId="2" applyNumberFormat="1" applyFont="1" applyAlignment="1">
      <alignment vertical="top"/>
    </xf>
    <xf numFmtId="0" fontId="1" fillId="0" borderId="0" xfId="2" applyFont="1" applyAlignment="1">
      <alignment horizontal="right" wrapText="1"/>
    </xf>
    <xf numFmtId="10" fontId="5" fillId="0" borderId="0" xfId="2" applyNumberFormat="1" applyFont="1"/>
    <xf numFmtId="2" fontId="1" fillId="0" borderId="0" xfId="2" applyNumberFormat="1" applyFont="1"/>
    <xf numFmtId="2" fontId="2" fillId="0" borderId="15" xfId="2" applyNumberFormat="1" applyBorder="1"/>
    <xf numFmtId="2" fontId="1" fillId="0" borderId="15" xfId="2" applyNumberFormat="1" applyFont="1" applyBorder="1"/>
    <xf numFmtId="0" fontId="2" fillId="2" borderId="1" xfId="2" applyFill="1" applyBorder="1"/>
    <xf numFmtId="169" fontId="2" fillId="30" borderId="1" xfId="2" applyNumberFormat="1" applyFill="1" applyBorder="1" applyAlignment="1">
      <alignment horizontal="fill"/>
    </xf>
    <xf numFmtId="169" fontId="2" fillId="10" borderId="1" xfId="2" applyNumberFormat="1" applyFill="1" applyBorder="1" applyAlignment="1">
      <alignment horizontal="fill"/>
    </xf>
    <xf numFmtId="169" fontId="2" fillId="9" borderId="1" xfId="2" applyNumberFormat="1" applyFill="1" applyBorder="1" applyAlignment="1">
      <alignment horizontal="fill"/>
    </xf>
    <xf numFmtId="169" fontId="2" fillId="14" borderId="1" xfId="2" applyNumberFormat="1" applyFill="1" applyBorder="1" applyAlignment="1">
      <alignment horizontal="fill"/>
    </xf>
    <xf numFmtId="169" fontId="2" fillId="7" borderId="1" xfId="2" applyNumberFormat="1" applyFill="1" applyBorder="1" applyAlignment="1">
      <alignment horizontal="fill"/>
    </xf>
    <xf numFmtId="169" fontId="2" fillId="15" borderId="1" xfId="2" applyNumberFormat="1" applyFill="1" applyBorder="1" applyAlignment="1">
      <alignment horizontal="fill"/>
    </xf>
    <xf numFmtId="169" fontId="2" fillId="6" borderId="1" xfId="2" applyNumberFormat="1" applyFill="1" applyBorder="1" applyAlignment="1">
      <alignment horizontal="fill"/>
    </xf>
    <xf numFmtId="1" fontId="2" fillId="2" borderId="1" xfId="2" applyNumberFormat="1" applyFill="1" applyBorder="1" applyAlignment="1">
      <alignment horizontal="fill"/>
    </xf>
    <xf numFmtId="49" fontId="5" fillId="2" borderId="1" xfId="2" applyNumberFormat="1" applyFont="1" applyFill="1" applyBorder="1" applyAlignment="1">
      <alignment horizontal="fill"/>
    </xf>
    <xf numFmtId="1" fontId="2" fillId="12" borderId="16" xfId="2" applyNumberFormat="1" applyFill="1" applyBorder="1" applyAlignment="1">
      <alignment horizontal="fill"/>
    </xf>
    <xf numFmtId="1" fontId="2" fillId="12" borderId="1" xfId="2" applyNumberFormat="1" applyFill="1" applyBorder="1" applyAlignment="1">
      <alignment horizontal="fill"/>
    </xf>
    <xf numFmtId="1" fontId="2" fillId="30" borderId="1" xfId="2" applyNumberFormat="1" applyFill="1" applyBorder="1" applyAlignment="1">
      <alignment horizontal="fill"/>
    </xf>
    <xf numFmtId="0" fontId="2" fillId="30" borderId="1" xfId="2" applyFill="1" applyBorder="1" applyAlignment="1">
      <alignment horizontal="fill"/>
    </xf>
    <xf numFmtId="0" fontId="2" fillId="10" borderId="1" xfId="2" applyFill="1" applyBorder="1" applyAlignment="1">
      <alignment horizontal="fill"/>
    </xf>
    <xf numFmtId="0" fontId="2" fillId="12" borderId="1" xfId="2" applyFill="1" applyBorder="1" applyAlignment="1">
      <alignment horizontal="fill"/>
    </xf>
    <xf numFmtId="2" fontId="2" fillId="2" borderId="0" xfId="2" applyNumberFormat="1" applyFill="1"/>
    <xf numFmtId="4" fontId="2" fillId="12" borderId="0" xfId="2" applyNumberFormat="1" applyFill="1"/>
    <xf numFmtId="4" fontId="2" fillId="30" borderId="0" xfId="2" applyNumberFormat="1" applyFill="1"/>
    <xf numFmtId="4" fontId="2" fillId="10" borderId="0" xfId="2" applyNumberFormat="1" applyFill="1"/>
    <xf numFmtId="2" fontId="2" fillId="6" borderId="0" xfId="2" applyNumberFormat="1" applyFill="1"/>
    <xf numFmtId="4" fontId="1" fillId="2" borderId="0" xfId="2" applyNumberFormat="1" applyFont="1" applyFill="1"/>
    <xf numFmtId="2" fontId="1" fillId="2" borderId="0" xfId="2" applyNumberFormat="1" applyFont="1" applyFill="1"/>
    <xf numFmtId="4" fontId="1" fillId="12" borderId="15" xfId="2" applyNumberFormat="1" applyFont="1" applyFill="1" applyBorder="1"/>
    <xf numFmtId="4" fontId="1" fillId="30" borderId="0" xfId="2" applyNumberFormat="1" applyFont="1" applyFill="1"/>
    <xf numFmtId="4" fontId="1" fillId="10" borderId="0" xfId="2" applyNumberFormat="1" applyFont="1" applyFill="1"/>
    <xf numFmtId="1" fontId="2" fillId="2" borderId="0" xfId="2" applyNumberFormat="1" applyFill="1" applyAlignment="1">
      <alignment horizontal="fill"/>
    </xf>
    <xf numFmtId="1" fontId="2" fillId="30" borderId="0" xfId="2" applyNumberFormat="1" applyFill="1" applyAlignment="1">
      <alignment horizontal="fill"/>
    </xf>
    <xf numFmtId="1" fontId="2" fillId="7" borderId="0" xfId="2" applyNumberFormat="1" applyFill="1" applyAlignment="1">
      <alignment horizontal="fill"/>
    </xf>
    <xf numFmtId="1" fontId="2" fillId="6" borderId="0" xfId="2" applyNumberFormat="1" applyFill="1" applyAlignment="1">
      <alignment horizontal="fill"/>
    </xf>
    <xf numFmtId="1" fontId="2" fillId="9" borderId="0" xfId="2" applyNumberFormat="1" applyFill="1" applyAlignment="1">
      <alignment horizontal="fill"/>
    </xf>
    <xf numFmtId="1" fontId="2" fillId="12" borderId="0" xfId="2" applyNumberFormat="1" applyFill="1" applyAlignment="1">
      <alignment horizontal="fill"/>
    </xf>
    <xf numFmtId="1" fontId="2" fillId="12" borderId="15" xfId="2" applyNumberFormat="1" applyFill="1" applyBorder="1" applyAlignment="1">
      <alignment horizontal="fill"/>
    </xf>
    <xf numFmtId="0" fontId="2" fillId="30" borderId="0" xfId="2" applyFill="1" applyAlignment="1">
      <alignment horizontal="fill"/>
    </xf>
    <xf numFmtId="0" fontId="2" fillId="10" borderId="0" xfId="2" applyFill="1" applyAlignment="1">
      <alignment horizontal="fill"/>
    </xf>
    <xf numFmtId="0" fontId="2" fillId="12" borderId="0" xfId="2" applyFill="1" applyAlignment="1">
      <alignment horizontal="fill"/>
    </xf>
    <xf numFmtId="0" fontId="1" fillId="26" borderId="0" xfId="2" applyFont="1" applyFill="1"/>
    <xf numFmtId="1" fontId="2" fillId="26" borderId="0" xfId="2" applyNumberFormat="1" applyFill="1"/>
    <xf numFmtId="0" fontId="2" fillId="26" borderId="0" xfId="2" applyFill="1"/>
    <xf numFmtId="0" fontId="2" fillId="10" borderId="0" xfId="0" applyNumberFormat="1" applyFont="1" applyFill="1"/>
    <xf numFmtId="1" fontId="2" fillId="17" borderId="0" xfId="2" applyNumberFormat="1" applyFill="1"/>
    <xf numFmtId="0" fontId="2" fillId="17" borderId="0" xfId="2" applyFill="1"/>
    <xf numFmtId="0" fontId="2" fillId="11" borderId="0" xfId="2" applyFill="1" applyAlignment="1">
      <alignment horizontal="left"/>
    </xf>
    <xf numFmtId="0" fontId="2" fillId="11" borderId="0" xfId="2" applyFill="1"/>
    <xf numFmtId="14" fontId="1" fillId="2" borderId="0" xfId="2" applyNumberFormat="1" applyFont="1" applyFill="1" applyAlignment="1">
      <alignment horizontal="right"/>
    </xf>
    <xf numFmtId="0" fontId="2" fillId="11" borderId="0" xfId="2" applyFill="1" applyAlignment="1">
      <alignment horizontal="center"/>
    </xf>
    <xf numFmtId="49" fontId="8" fillId="0" borderId="1" xfId="2" applyNumberFormat="1" applyFont="1" applyBorder="1"/>
    <xf numFmtId="1" fontId="2" fillId="7" borderId="1" xfId="2" applyNumberFormat="1" applyFill="1" applyBorder="1" applyAlignment="1">
      <alignment horizontal="fill"/>
    </xf>
    <xf numFmtId="1" fontId="2" fillId="6" borderId="1" xfId="2" applyNumberFormat="1" applyFill="1" applyBorder="1" applyAlignment="1">
      <alignment horizontal="fill"/>
    </xf>
    <xf numFmtId="1" fontId="2" fillId="9" borderId="1" xfId="2" applyNumberFormat="1" applyFill="1" applyBorder="1" applyAlignment="1">
      <alignment horizontal="fill"/>
    </xf>
    <xf numFmtId="169" fontId="2" fillId="2" borderId="0" xfId="2" applyNumberFormat="1" applyFill="1" applyAlignment="1">
      <alignment horizontal="fill"/>
    </xf>
    <xf numFmtId="0" fontId="2" fillId="2" borderId="0" xfId="0" applyNumberFormat="1" applyFont="1" applyFill="1" applyAlignment="1">
      <alignment vertical="center"/>
    </xf>
    <xf numFmtId="1" fontId="2" fillId="2" borderId="0" xfId="0" applyFont="1" applyFill="1" applyAlignment="1">
      <alignment vertical="center"/>
    </xf>
    <xf numFmtId="1" fontId="1" fillId="2" borderId="0" xfId="0" applyFont="1" applyFill="1" applyAlignment="1">
      <alignment horizontal="left" vertical="center"/>
    </xf>
    <xf numFmtId="1" fontId="1" fillId="2" borderId="0" xfId="0" applyFont="1" applyFill="1" applyAlignment="1">
      <alignment horizontal="right" vertical="center"/>
    </xf>
    <xf numFmtId="1" fontId="10" fillId="0" borderId="0" xfId="0" applyFont="1" applyAlignment="1">
      <alignment horizontal="right" vertical="center"/>
    </xf>
    <xf numFmtId="1" fontId="5" fillId="2" borderId="0" xfId="0" applyFont="1" applyFill="1" applyAlignment="1">
      <alignment horizontal="left" vertical="center"/>
    </xf>
    <xf numFmtId="1" fontId="5" fillId="2" borderId="0" xfId="0" applyFont="1" applyFill="1" applyAlignment="1">
      <alignment horizontal="right" vertical="center"/>
    </xf>
    <xf numFmtId="0" fontId="8" fillId="2" borderId="0" xfId="0" applyNumberFormat="1" applyFont="1" applyFill="1" applyAlignment="1">
      <alignment horizontal="left" vertical="center"/>
    </xf>
    <xf numFmtId="1" fontId="2" fillId="2" borderId="0" xfId="2" applyNumberFormat="1" applyFill="1" applyAlignment="1">
      <alignment vertical="center"/>
    </xf>
    <xf numFmtId="1" fontId="1" fillId="2" borderId="0" xfId="0" applyFont="1" applyFill="1" applyAlignment="1">
      <alignment vertical="center"/>
    </xf>
    <xf numFmtId="10" fontId="2" fillId="2" borderId="0" xfId="0" applyNumberFormat="1" applyFont="1" applyFill="1" applyAlignment="1">
      <alignment vertical="center"/>
    </xf>
    <xf numFmtId="1" fontId="10" fillId="0" borderId="0" xfId="0" applyFont="1" applyAlignment="1">
      <alignment horizontal="left" vertical="center"/>
    </xf>
    <xf numFmtId="0" fontId="1" fillId="2" borderId="0" xfId="1" applyFont="1" applyFill="1" applyAlignment="1">
      <alignment horizontal="right" vertical="center"/>
    </xf>
    <xf numFmtId="0" fontId="7" fillId="2" borderId="0" xfId="0" applyNumberFormat="1" applyFont="1" applyFill="1" applyAlignment="1">
      <alignment horizontal="center" vertical="center"/>
    </xf>
    <xf numFmtId="168" fontId="2" fillId="2" borderId="0" xfId="0" applyNumberFormat="1" applyFont="1" applyFill="1"/>
    <xf numFmtId="10" fontId="2" fillId="2" borderId="0" xfId="0" applyNumberFormat="1" applyFont="1" applyFill="1"/>
    <xf numFmtId="1" fontId="1" fillId="2" borderId="0" xfId="0" applyFont="1" applyFill="1" applyAlignment="1">
      <alignment horizontal="left"/>
    </xf>
    <xf numFmtId="1" fontId="10" fillId="0" borderId="0" xfId="0" applyFont="1" applyAlignment="1">
      <alignment horizontal="right"/>
    </xf>
    <xf numFmtId="0" fontId="5" fillId="2" borderId="0" xfId="0" applyNumberFormat="1" applyFont="1" applyFill="1" applyAlignment="1">
      <alignment horizontal="right" vertical="center"/>
    </xf>
    <xf numFmtId="0" fontId="6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vertical="center"/>
    </xf>
    <xf numFmtId="1" fontId="2" fillId="2" borderId="0" xfId="0" applyFont="1" applyFill="1" applyAlignment="1">
      <alignment horizontal="center" vertical="center"/>
    </xf>
    <xf numFmtId="1" fontId="1" fillId="2" borderId="0" xfId="0" applyFont="1" applyFill="1"/>
    <xf numFmtId="1" fontId="1" fillId="2" borderId="0" xfId="0" applyFont="1" applyFill="1" applyAlignment="1">
      <alignment horizontal="center"/>
    </xf>
    <xf numFmtId="1" fontId="2" fillId="2" borderId="0" xfId="0" applyFont="1" applyFill="1" applyAlignment="1">
      <alignment horizontal="center"/>
    </xf>
    <xf numFmtId="1" fontId="2" fillId="2" borderId="1" xfId="0" applyFont="1" applyFill="1" applyBorder="1"/>
    <xf numFmtId="1" fontId="2" fillId="2" borderId="4" xfId="0" applyFont="1" applyFill="1" applyBorder="1"/>
    <xf numFmtId="1" fontId="2" fillId="0" borderId="0" xfId="0" applyFont="1" applyAlignment="1">
      <alignment horizontal="left"/>
    </xf>
    <xf numFmtId="1" fontId="2" fillId="2" borderId="0" xfId="0" quotePrefix="1" applyFont="1" applyFill="1"/>
    <xf numFmtId="1" fontId="2" fillId="3" borderId="0" xfId="0" applyFont="1" applyFill="1" applyAlignment="1">
      <alignment vertical="center"/>
    </xf>
    <xf numFmtId="1" fontId="2" fillId="30" borderId="0" xfId="0" applyFont="1" applyFill="1" applyAlignment="1">
      <alignment horizontal="center"/>
    </xf>
    <xf numFmtId="1" fontId="2" fillId="30" borderId="0" xfId="0" applyFont="1" applyFill="1"/>
    <xf numFmtId="0" fontId="2" fillId="30" borderId="0" xfId="0" applyNumberFormat="1" applyFont="1" applyFill="1"/>
    <xf numFmtId="1" fontId="2" fillId="0" borderId="15" xfId="0" applyFont="1" applyBorder="1"/>
    <xf numFmtId="0" fontId="2" fillId="0" borderId="13" xfId="0" applyNumberFormat="1" applyFont="1" applyBorder="1"/>
    <xf numFmtId="1" fontId="1" fillId="3" borderId="0" xfId="0" applyFont="1" applyFill="1"/>
    <xf numFmtId="1" fontId="1" fillId="3" borderId="13" xfId="0" applyFont="1" applyFill="1" applyBorder="1"/>
    <xf numFmtId="0" fontId="2" fillId="17" borderId="0" xfId="0" applyNumberFormat="1" applyFont="1" applyFill="1"/>
    <xf numFmtId="173" fontId="11" fillId="30" borderId="5" xfId="0" applyNumberFormat="1" applyFont="1" applyFill="1" applyBorder="1"/>
    <xf numFmtId="173" fontId="2" fillId="30" borderId="9" xfId="0" applyNumberFormat="1" applyFont="1" applyFill="1" applyBorder="1"/>
    <xf numFmtId="1" fontId="1" fillId="24" borderId="0" xfId="0" applyFont="1" applyFill="1"/>
    <xf numFmtId="1" fontId="1" fillId="24" borderId="13" xfId="0" applyFont="1" applyFill="1" applyBorder="1"/>
    <xf numFmtId="4" fontId="2" fillId="30" borderId="1" xfId="0" applyNumberFormat="1" applyFont="1" applyFill="1" applyBorder="1"/>
    <xf numFmtId="3" fontId="2" fillId="30" borderId="0" xfId="0" applyNumberFormat="1" applyFont="1" applyFill="1"/>
    <xf numFmtId="2" fontId="2" fillId="30" borderId="5" xfId="0" applyNumberFormat="1" applyFont="1" applyFill="1" applyBorder="1"/>
    <xf numFmtId="0" fontId="2" fillId="30" borderId="1" xfId="2" applyFill="1" applyBorder="1"/>
    <xf numFmtId="2" fontId="15" fillId="0" borderId="0" xfId="3" applyNumberFormat="1" applyFont="1" applyAlignment="1" applyProtection="1"/>
    <xf numFmtId="1" fontId="2" fillId="30" borderId="103" xfId="1" applyNumberFormat="1" applyFill="1" applyBorder="1" applyAlignment="1">
      <alignment horizontal="center"/>
    </xf>
    <xf numFmtId="1" fontId="2" fillId="3" borderId="0" xfId="0" applyFont="1" applyFill="1" applyAlignment="1">
      <alignment horizontal="center" vertical="center"/>
    </xf>
    <xf numFmtId="1" fontId="1" fillId="0" borderId="0" xfId="0" applyFont="1" applyAlignment="1">
      <alignment horizontal="left" vertical="center"/>
    </xf>
    <xf numFmtId="1" fontId="1" fillId="0" borderId="0" xfId="0" applyFont="1" applyAlignment="1">
      <alignment horizontal="left"/>
    </xf>
    <xf numFmtId="1" fontId="2" fillId="6" borderId="15" xfId="0" applyFont="1" applyFill="1" applyBorder="1" applyAlignment="1">
      <alignment horizontal="center" vertical="top"/>
    </xf>
    <xf numFmtId="0" fontId="2" fillId="6" borderId="0" xfId="0" applyNumberFormat="1" applyFont="1" applyFill="1" applyAlignment="1">
      <alignment horizontal="center" vertical="top"/>
    </xf>
    <xf numFmtId="0" fontId="2" fillId="6" borderId="13" xfId="0" applyNumberFormat="1" applyFont="1" applyFill="1" applyBorder="1" applyAlignment="1">
      <alignment horizontal="center" vertical="top"/>
    </xf>
    <xf numFmtId="1" fontId="2" fillId="9" borderId="15" xfId="0" applyFont="1" applyFill="1" applyBorder="1" applyAlignment="1">
      <alignment horizontal="center"/>
    </xf>
    <xf numFmtId="1" fontId="2" fillId="9" borderId="0" xfId="0" applyFont="1" applyFill="1" applyAlignment="1">
      <alignment horizontal="center"/>
    </xf>
    <xf numFmtId="0" fontId="2" fillId="9" borderId="13" xfId="0" applyNumberFormat="1" applyFont="1" applyFill="1" applyBorder="1" applyAlignment="1">
      <alignment horizontal="center"/>
    </xf>
    <xf numFmtId="1" fontId="2" fillId="7" borderId="15" xfId="0" applyFont="1" applyFill="1" applyBorder="1" applyAlignment="1">
      <alignment horizontal="center"/>
    </xf>
    <xf numFmtId="1" fontId="2" fillId="7" borderId="0" xfId="0" applyFont="1" applyFill="1" applyAlignment="1">
      <alignment horizontal="center"/>
    </xf>
    <xf numFmtId="0" fontId="2" fillId="7" borderId="13" xfId="0" applyNumberFormat="1" applyFont="1" applyFill="1" applyBorder="1" applyAlignment="1">
      <alignment horizontal="center"/>
    </xf>
    <xf numFmtId="1" fontId="2" fillId="6" borderId="15" xfId="0" applyFont="1" applyFill="1" applyBorder="1" applyAlignment="1">
      <alignment horizontal="center"/>
    </xf>
    <xf numFmtId="0" fontId="2" fillId="6" borderId="13" xfId="0" applyNumberFormat="1" applyFont="1" applyFill="1" applyBorder="1" applyAlignment="1">
      <alignment horizontal="center"/>
    </xf>
    <xf numFmtId="1" fontId="2" fillId="9" borderId="13" xfId="0" applyFont="1" applyFill="1" applyBorder="1" applyAlignment="1">
      <alignment horizontal="center"/>
    </xf>
    <xf numFmtId="1" fontId="2" fillId="30" borderId="15" xfId="0" applyFont="1" applyFill="1" applyBorder="1" applyAlignment="1">
      <alignment horizontal="center"/>
    </xf>
    <xf numFmtId="1" fontId="2" fillId="30" borderId="0" xfId="0" applyFont="1" applyFill="1" applyAlignment="1">
      <alignment horizontal="center"/>
    </xf>
    <xf numFmtId="1" fontId="2" fillId="20" borderId="0" xfId="2" applyNumberFormat="1" applyFill="1" applyAlignment="1">
      <alignment horizontal="center"/>
    </xf>
    <xf numFmtId="1" fontId="2" fillId="13" borderId="0" xfId="2" applyNumberFormat="1" applyFill="1" applyAlignment="1">
      <alignment horizontal="center"/>
    </xf>
    <xf numFmtId="0" fontId="2" fillId="16" borderId="0" xfId="2" applyFill="1" applyAlignment="1">
      <alignment horizontal="center"/>
    </xf>
    <xf numFmtId="0" fontId="2" fillId="10" borderId="0" xfId="2" applyFill="1" applyAlignment="1">
      <alignment horizontal="center"/>
    </xf>
    <xf numFmtId="0" fontId="2" fillId="10" borderId="13" xfId="0" applyNumberFormat="1" applyFont="1" applyFill="1" applyBorder="1" applyAlignment="1">
      <alignment horizontal="center"/>
    </xf>
    <xf numFmtId="1" fontId="2" fillId="6" borderId="15" xfId="1" applyNumberFormat="1" applyFill="1" applyBorder="1" applyAlignment="1">
      <alignment horizontal="center" vertical="top"/>
    </xf>
    <xf numFmtId="0" fontId="2" fillId="9" borderId="15" xfId="1" applyFill="1" applyBorder="1" applyAlignment="1">
      <alignment horizontal="center"/>
    </xf>
    <xf numFmtId="0" fontId="2" fillId="9" borderId="0" xfId="0" applyNumberFormat="1" applyFont="1" applyFill="1" applyAlignment="1">
      <alignment horizontal="center"/>
    </xf>
    <xf numFmtId="1" fontId="2" fillId="7" borderId="15" xfId="1" applyNumberFormat="1" applyFill="1" applyBorder="1" applyAlignment="1">
      <alignment horizontal="center" vertical="top"/>
    </xf>
    <xf numFmtId="0" fontId="2" fillId="7" borderId="0" xfId="0" applyNumberFormat="1" applyFont="1" applyFill="1" applyAlignment="1">
      <alignment horizontal="center" vertical="top"/>
    </xf>
    <xf numFmtId="0" fontId="2" fillId="7" borderId="13" xfId="0" applyNumberFormat="1" applyFont="1" applyFill="1" applyBorder="1" applyAlignment="1">
      <alignment horizontal="center" vertical="top"/>
    </xf>
    <xf numFmtId="0" fontId="2" fillId="30" borderId="0" xfId="2" applyFill="1" applyAlignment="1">
      <alignment horizontal="center"/>
    </xf>
    <xf numFmtId="0" fontId="1" fillId="10" borderId="0" xfId="0" applyNumberFormat="1" applyFont="1" applyFill="1" applyAlignment="1">
      <alignment horizontal="center"/>
    </xf>
    <xf numFmtId="0" fontId="2" fillId="0" borderId="0" xfId="0" applyNumberFormat="1" applyFont="1" applyAlignment="1">
      <alignment horizontal="center"/>
    </xf>
    <xf numFmtId="1" fontId="1" fillId="10" borderId="0" xfId="2" applyNumberFormat="1" applyFont="1" applyFill="1" applyAlignment="1">
      <alignment horizontal="center" vertical="top"/>
    </xf>
    <xf numFmtId="0" fontId="2" fillId="10" borderId="17" xfId="0" applyNumberFormat="1" applyFont="1" applyFill="1" applyBorder="1" applyAlignment="1">
      <alignment horizontal="center" vertical="top"/>
    </xf>
    <xf numFmtId="1" fontId="1" fillId="10" borderId="0" xfId="2" applyNumberFormat="1" applyFont="1" applyFill="1" applyAlignment="1">
      <alignment horizontal="center" wrapText="1"/>
    </xf>
    <xf numFmtId="0" fontId="2" fillId="10" borderId="17" xfId="0" applyNumberFormat="1" applyFont="1" applyFill="1" applyBorder="1" applyAlignment="1">
      <alignment wrapText="1"/>
    </xf>
    <xf numFmtId="0" fontId="2" fillId="30" borderId="13" xfId="0" applyNumberFormat="1" applyFont="1" applyFill="1" applyBorder="1" applyAlignment="1">
      <alignment horizontal="center"/>
    </xf>
    <xf numFmtId="4" fontId="5" fillId="0" borderId="0" xfId="0" applyNumberFormat="1" applyFont="1" applyAlignment="1">
      <alignment horizontal="right"/>
    </xf>
    <xf numFmtId="1" fontId="2" fillId="8" borderId="0" xfId="2" applyNumberFormat="1" applyFill="1" applyAlignment="1">
      <alignment horizontal="center"/>
    </xf>
    <xf numFmtId="1" fontId="1" fillId="2" borderId="0" xfId="0" applyFont="1" applyFill="1" applyAlignment="1">
      <alignment horizontal="left" vertical="center"/>
    </xf>
    <xf numFmtId="1" fontId="1" fillId="2" borderId="0" xfId="0" applyFont="1" applyFill="1" applyAlignment="1">
      <alignment horizontal="left"/>
    </xf>
    <xf numFmtId="0" fontId="20" fillId="29" borderId="78" xfId="14" applyFont="1" applyBorder="1" applyAlignment="1" applyProtection="1">
      <alignment horizontal="center" vertical="center"/>
    </xf>
    <xf numFmtId="0" fontId="20" fillId="29" borderId="30" xfId="14" applyFont="1" applyBorder="1" applyAlignment="1" applyProtection="1">
      <alignment horizontal="center" vertical="center"/>
    </xf>
    <xf numFmtId="0" fontId="20" fillId="29" borderId="79" xfId="14" applyFont="1" applyBorder="1" applyAlignment="1" applyProtection="1">
      <alignment horizontal="center" vertical="center"/>
    </xf>
    <xf numFmtId="0" fontId="32" fillId="29" borderId="0" xfId="14" applyFont="1" applyProtection="1"/>
    <xf numFmtId="0" fontId="20" fillId="29" borderId="80" xfId="14" applyFont="1" applyBorder="1" applyAlignment="1" applyProtection="1">
      <alignment horizontal="center" vertical="center"/>
    </xf>
    <xf numFmtId="0" fontId="20" fillId="29" borderId="81" xfId="14" applyFont="1" applyBorder="1" applyAlignment="1" applyProtection="1">
      <alignment horizontal="center" vertical="center"/>
    </xf>
    <xf numFmtId="0" fontId="20" fillId="29" borderId="82" xfId="14" applyFont="1" applyBorder="1" applyAlignment="1" applyProtection="1">
      <alignment horizontal="center" vertical="center"/>
    </xf>
    <xf numFmtId="0" fontId="2" fillId="29" borderId="55" xfId="14" applyFont="1" applyBorder="1" applyAlignment="1" applyProtection="1">
      <alignment vertical="center" wrapText="1"/>
    </xf>
    <xf numFmtId="0" fontId="20" fillId="29" borderId="0" xfId="14" applyFont="1" applyAlignment="1" applyProtection="1">
      <alignment horizontal="left" vertical="center"/>
    </xf>
    <xf numFmtId="0" fontId="2" fillId="29" borderId="78" xfId="14" applyFont="1" applyBorder="1" applyAlignment="1" applyProtection="1">
      <alignment horizontal="left" vertical="center"/>
    </xf>
    <xf numFmtId="0" fontId="2" fillId="29" borderId="30" xfId="14" applyFont="1" applyBorder="1" applyAlignment="1" applyProtection="1">
      <alignment horizontal="left" vertical="center"/>
    </xf>
    <xf numFmtId="0" fontId="1" fillId="29" borderId="78" xfId="14" applyFont="1" applyBorder="1" applyAlignment="1" applyProtection="1">
      <alignment horizontal="left" vertical="center"/>
    </xf>
    <xf numFmtId="0" fontId="1" fillId="29" borderId="30" xfId="14" applyFont="1" applyBorder="1" applyAlignment="1" applyProtection="1">
      <alignment horizontal="left" vertical="center"/>
    </xf>
    <xf numFmtId="0" fontId="1" fillId="29" borderId="79" xfId="14" applyFont="1" applyBorder="1" applyAlignment="1" applyProtection="1">
      <alignment horizontal="left" vertical="center"/>
    </xf>
    <xf numFmtId="0" fontId="1" fillId="29" borderId="80" xfId="14" applyFont="1" applyBorder="1" applyAlignment="1" applyProtection="1">
      <alignment horizontal="center" vertical="center" wrapText="1"/>
    </xf>
    <xf numFmtId="0" fontId="1" fillId="29" borderId="81" xfId="14" applyFont="1" applyBorder="1" applyAlignment="1" applyProtection="1">
      <alignment horizontal="center" vertical="center" wrapText="1"/>
    </xf>
    <xf numFmtId="0" fontId="1" fillId="29" borderId="82" xfId="14" applyFont="1" applyBorder="1" applyAlignment="1" applyProtection="1">
      <alignment horizontal="center" vertical="center" wrapText="1"/>
    </xf>
    <xf numFmtId="0" fontId="1" fillId="29" borderId="30" xfId="14" applyFont="1" applyBorder="1" applyAlignment="1" applyProtection="1">
      <alignment horizontal="left" vertical="center" wrapText="1"/>
    </xf>
    <xf numFmtId="0" fontId="1" fillId="29" borderId="79" xfId="14" applyFont="1" applyBorder="1" applyAlignment="1" applyProtection="1">
      <alignment horizontal="left" vertical="center" wrapText="1"/>
    </xf>
    <xf numFmtId="14" fontId="1" fillId="29" borderId="79" xfId="14" applyNumberFormat="1" applyFont="1" applyBorder="1" applyAlignment="1" applyProtection="1">
      <alignment horizontal="left" vertical="center" wrapText="1"/>
    </xf>
    <xf numFmtId="0" fontId="32" fillId="29" borderId="83" xfId="14" applyFont="1" applyBorder="1" applyAlignment="1" applyProtection="1">
      <alignment horizontal="left" vertical="top"/>
    </xf>
    <xf numFmtId="0" fontId="32" fillId="29" borderId="84" xfId="14" applyFont="1" applyBorder="1" applyAlignment="1" applyProtection="1">
      <alignment horizontal="left" vertical="top"/>
    </xf>
    <xf numFmtId="0" fontId="32" fillId="29" borderId="85" xfId="14" applyFont="1" applyBorder="1" applyAlignment="1" applyProtection="1">
      <alignment horizontal="left" vertical="top"/>
    </xf>
    <xf numFmtId="0" fontId="50" fillId="29" borderId="55" xfId="14" applyFont="1" applyBorder="1" applyAlignment="1" applyProtection="1">
      <alignment vertical="center" wrapText="1"/>
    </xf>
    <xf numFmtId="0" fontId="32" fillId="29" borderId="86" xfId="14" applyFont="1" applyBorder="1" applyAlignment="1" applyProtection="1">
      <alignment horizontal="left" vertical="top"/>
    </xf>
    <xf numFmtId="0" fontId="32" fillId="29" borderId="0" xfId="14" applyFont="1" applyAlignment="1" applyProtection="1">
      <alignment horizontal="left" vertical="top"/>
    </xf>
    <xf numFmtId="0" fontId="32" fillId="29" borderId="87" xfId="14" applyFont="1" applyBorder="1" applyAlignment="1" applyProtection="1">
      <alignment horizontal="left" vertical="top"/>
    </xf>
    <xf numFmtId="0" fontId="51" fillId="29" borderId="55" xfId="14" applyFont="1" applyBorder="1" applyAlignment="1" applyProtection="1">
      <alignment vertical="center" wrapText="1"/>
    </xf>
    <xf numFmtId="0" fontId="2" fillId="29" borderId="75" xfId="14" applyFont="1" applyBorder="1" applyAlignment="1" applyProtection="1">
      <alignment horizontal="center" vertical="center" wrapText="1"/>
    </xf>
    <xf numFmtId="168" fontId="18" fillId="29" borderId="75" xfId="14" applyNumberFormat="1" applyFont="1" applyBorder="1" applyAlignment="1" applyProtection="1">
      <alignment horizontal="left" vertical="center" wrapText="1"/>
    </xf>
    <xf numFmtId="0" fontId="2" fillId="29" borderId="14" xfId="14" applyFont="1" applyBorder="1" applyAlignment="1" applyProtection="1">
      <alignment horizontal="center" vertical="center" wrapText="1"/>
    </xf>
    <xf numFmtId="168" fontId="18" fillId="29" borderId="14" xfId="14" applyNumberFormat="1" applyFont="1" applyBorder="1" applyAlignment="1" applyProtection="1">
      <alignment horizontal="left" vertical="center" wrapText="1"/>
    </xf>
    <xf numFmtId="0" fontId="2" fillId="29" borderId="88" xfId="14" applyFont="1" applyBorder="1" applyAlignment="1" applyProtection="1">
      <alignment horizontal="center" vertical="center" wrapText="1"/>
    </xf>
    <xf numFmtId="0" fontId="2" fillId="29" borderId="89" xfId="14" applyFont="1" applyBorder="1" applyAlignment="1" applyProtection="1">
      <alignment horizontal="center" vertical="center" wrapText="1"/>
    </xf>
    <xf numFmtId="168" fontId="52" fillId="29" borderId="90" xfId="14" applyNumberFormat="1" applyFont="1" applyBorder="1" applyAlignment="1" applyProtection="1">
      <alignment horizontal="left" vertical="center" wrapText="1"/>
    </xf>
    <xf numFmtId="168" fontId="18" fillId="29" borderId="91" xfId="14" applyNumberFormat="1" applyFont="1" applyBorder="1" applyAlignment="1" applyProtection="1">
      <alignment horizontal="left" vertical="center" wrapText="1"/>
    </xf>
    <xf numFmtId="168" fontId="18" fillId="29" borderId="92" xfId="14" applyNumberFormat="1" applyFont="1" applyBorder="1" applyAlignment="1" applyProtection="1">
      <alignment horizontal="left" vertical="center" wrapText="1"/>
    </xf>
    <xf numFmtId="0" fontId="2" fillId="29" borderId="15" xfId="14" applyFont="1" applyBorder="1" applyAlignment="1" applyProtection="1">
      <alignment horizontal="center" vertical="center" wrapText="1"/>
    </xf>
    <xf numFmtId="168" fontId="52" fillId="29" borderId="93" xfId="14" applyNumberFormat="1" applyFont="1" applyBorder="1" applyAlignment="1" applyProtection="1">
      <alignment horizontal="left" vertical="center" wrapText="1"/>
    </xf>
    <xf numFmtId="168" fontId="18" fillId="29" borderId="94" xfId="14" applyNumberFormat="1" applyFont="1" applyBorder="1" applyAlignment="1" applyProtection="1">
      <alignment horizontal="left" vertical="center" wrapText="1"/>
    </xf>
    <xf numFmtId="168" fontId="18" fillId="29" borderId="95" xfId="14" applyNumberFormat="1" applyFont="1" applyBorder="1" applyAlignment="1" applyProtection="1">
      <alignment horizontal="left" vertical="center" wrapText="1"/>
    </xf>
    <xf numFmtId="0" fontId="2" fillId="29" borderId="96" xfId="14" applyFont="1" applyBorder="1" applyAlignment="1" applyProtection="1">
      <alignment horizontal="center" vertical="center" wrapText="1"/>
    </xf>
    <xf numFmtId="168" fontId="18" fillId="29" borderId="97" xfId="14" applyNumberFormat="1" applyFont="1" applyBorder="1" applyAlignment="1" applyProtection="1">
      <alignment horizontal="left" vertical="center" wrapText="1"/>
    </xf>
    <xf numFmtId="168" fontId="18" fillId="29" borderId="98" xfId="14" applyNumberFormat="1" applyFont="1" applyBorder="1" applyAlignment="1" applyProtection="1">
      <alignment horizontal="left" vertical="center" wrapText="1"/>
    </xf>
    <xf numFmtId="168" fontId="18" fillId="29" borderId="99" xfId="14" applyNumberFormat="1" applyFont="1" applyBorder="1" applyAlignment="1" applyProtection="1">
      <alignment horizontal="left" vertical="center" wrapText="1"/>
    </xf>
    <xf numFmtId="0" fontId="2" fillId="29" borderId="88" xfId="14" applyFont="1" applyBorder="1" applyAlignment="1" applyProtection="1">
      <alignment vertical="center" wrapText="1"/>
    </xf>
    <xf numFmtId="168" fontId="2" fillId="29" borderId="14" xfId="14" applyNumberFormat="1" applyFont="1" applyBorder="1" applyAlignment="1" applyProtection="1">
      <alignment horizontal="left" vertical="center" wrapText="1"/>
    </xf>
    <xf numFmtId="0" fontId="2" fillId="29" borderId="55" xfId="14" applyFont="1" applyBorder="1" applyAlignment="1" applyProtection="1">
      <alignment vertical="center" wrapText="1"/>
    </xf>
    <xf numFmtId="168" fontId="2" fillId="29" borderId="88" xfId="14" applyNumberFormat="1" applyFont="1" applyBorder="1" applyAlignment="1" applyProtection="1">
      <alignment horizontal="left" vertical="center" wrapText="1"/>
    </xf>
    <xf numFmtId="0" fontId="32" fillId="29" borderId="100" xfId="14" applyFont="1" applyBorder="1" applyAlignment="1" applyProtection="1">
      <alignment horizontal="left" vertical="top"/>
    </xf>
    <xf numFmtId="0" fontId="32" fillId="29" borderId="101" xfId="14" applyFont="1" applyBorder="1" applyAlignment="1" applyProtection="1">
      <alignment horizontal="left" vertical="top"/>
    </xf>
    <xf numFmtId="0" fontId="32" fillId="29" borderId="102" xfId="14" applyFont="1" applyBorder="1" applyAlignment="1" applyProtection="1">
      <alignment horizontal="left" vertical="top"/>
    </xf>
    <xf numFmtId="0" fontId="53" fillId="29" borderId="0" xfId="14" applyFont="1" applyAlignment="1" applyProtection="1">
      <alignment vertical="center"/>
    </xf>
    <xf numFmtId="0" fontId="2" fillId="0" borderId="0" xfId="0" applyNumberFormat="1" applyFont="1" applyProtection="1"/>
    <xf numFmtId="0" fontId="2" fillId="28" borderId="15" xfId="0" applyNumberFormat="1" applyFont="1" applyFill="1" applyBorder="1" applyProtection="1"/>
    <xf numFmtId="0" fontId="2" fillId="28" borderId="0" xfId="0" applyNumberFormat="1" applyFont="1" applyFill="1" applyProtection="1"/>
    <xf numFmtId="0" fontId="2" fillId="0" borderId="0" xfId="0" applyNumberFormat="1" applyFont="1" applyAlignment="1" applyProtection="1">
      <alignment vertical="top"/>
    </xf>
    <xf numFmtId="0" fontId="20" fillId="0" borderId="0" xfId="5" applyFont="1" applyAlignment="1" applyProtection="1">
      <alignment vertical="top"/>
    </xf>
    <xf numFmtId="0" fontId="19" fillId="0" borderId="0" xfId="5" applyAlignment="1" applyProtection="1">
      <alignment vertical="top"/>
    </xf>
    <xf numFmtId="0" fontId="2" fillId="28" borderId="15" xfId="0" applyNumberFormat="1" applyFont="1" applyFill="1" applyBorder="1" applyAlignment="1" applyProtection="1">
      <alignment vertical="top"/>
    </xf>
    <xf numFmtId="0" fontId="20" fillId="28" borderId="0" xfId="5" applyFont="1" applyFill="1" applyAlignment="1" applyProtection="1">
      <alignment vertical="top"/>
    </xf>
    <xf numFmtId="0" fontId="19" fillId="28" borderId="0" xfId="5" applyFill="1" applyAlignment="1" applyProtection="1">
      <alignment vertical="top"/>
    </xf>
    <xf numFmtId="0" fontId="19" fillId="0" borderId="0" xfId="5" applyAlignment="1" applyProtection="1">
      <alignment vertical="top"/>
    </xf>
    <xf numFmtId="0" fontId="2" fillId="0" borderId="26" xfId="0" applyNumberFormat="1" applyFont="1" applyBorder="1" applyAlignment="1" applyProtection="1">
      <alignment vertical="top" wrapText="1"/>
    </xf>
    <xf numFmtId="1" fontId="1" fillId="0" borderId="27" xfId="0" applyFont="1" applyBorder="1" applyAlignment="1" applyProtection="1">
      <alignment horizontal="center" vertical="center" wrapText="1"/>
    </xf>
    <xf numFmtId="0" fontId="1" fillId="0" borderId="27" xfId="0" applyNumberFormat="1" applyFont="1" applyBorder="1" applyAlignment="1" applyProtection="1">
      <alignment horizontal="center" vertical="center" wrapText="1"/>
    </xf>
    <xf numFmtId="0" fontId="2" fillId="0" borderId="24" xfId="0" applyNumberFormat="1" applyFont="1" applyBorder="1" applyAlignment="1" applyProtection="1">
      <alignment vertical="top" wrapText="1"/>
    </xf>
    <xf numFmtId="0" fontId="23" fillId="0" borderId="24" xfId="0" applyNumberFormat="1" applyFont="1" applyBorder="1" applyAlignment="1" applyProtection="1">
      <alignment vertical="top" wrapText="1"/>
    </xf>
    <xf numFmtId="0" fontId="23" fillId="0" borderId="0" xfId="0" applyNumberFormat="1" applyFont="1" applyAlignment="1" applyProtection="1">
      <alignment vertical="top" wrapText="1"/>
    </xf>
    <xf numFmtId="0" fontId="1" fillId="28" borderId="0" xfId="0" applyNumberFormat="1" applyFont="1" applyFill="1" applyAlignment="1" applyProtection="1">
      <alignment vertical="top"/>
    </xf>
    <xf numFmtId="14" fontId="2" fillId="28" borderId="0" xfId="0" applyNumberFormat="1" applyFont="1" applyFill="1" applyAlignment="1" applyProtection="1">
      <alignment vertical="top"/>
    </xf>
    <xf numFmtId="0" fontId="2" fillId="28" borderId="0" xfId="0" applyNumberFormat="1" applyFont="1" applyFill="1" applyAlignment="1" applyProtection="1">
      <alignment vertical="top"/>
    </xf>
    <xf numFmtId="0" fontId="2" fillId="0" borderId="22" xfId="0" applyNumberFormat="1" applyFont="1" applyBorder="1" applyAlignment="1" applyProtection="1">
      <alignment vertical="top" wrapText="1"/>
    </xf>
    <xf numFmtId="1" fontId="1" fillId="0" borderId="5" xfId="0" applyFont="1" applyBorder="1" applyAlignment="1" applyProtection="1">
      <alignment vertical="top" wrapText="1"/>
    </xf>
    <xf numFmtId="0" fontId="2" fillId="0" borderId="27" xfId="0" applyNumberFormat="1" applyFont="1" applyBorder="1" applyAlignment="1" applyProtection="1">
      <alignment vertical="top" wrapText="1"/>
    </xf>
    <xf numFmtId="3" fontId="1" fillId="0" borderId="27" xfId="0" applyNumberFormat="1" applyFont="1" applyBorder="1" applyAlignment="1" applyProtection="1">
      <alignment vertical="top" wrapText="1"/>
    </xf>
    <xf numFmtId="0" fontId="1" fillId="0" borderId="27" xfId="0" applyNumberFormat="1" applyFont="1" applyBorder="1" applyAlignment="1" applyProtection="1">
      <alignment vertical="top" wrapText="1"/>
    </xf>
    <xf numFmtId="0" fontId="2" fillId="0" borderId="23" xfId="0" applyNumberFormat="1" applyFont="1" applyBorder="1" applyAlignment="1" applyProtection="1">
      <alignment vertical="top" wrapText="1"/>
    </xf>
    <xf numFmtId="0" fontId="2" fillId="0" borderId="0" xfId="0" applyNumberFormat="1" applyFont="1" applyAlignment="1" applyProtection="1">
      <alignment vertical="top" wrapText="1"/>
    </xf>
    <xf numFmtId="0" fontId="18" fillId="29" borderId="56" xfId="0" applyNumberFormat="1" applyFont="1" applyFill="1" applyBorder="1" applyAlignment="1" applyProtection="1">
      <alignment horizontal="left" vertical="center"/>
    </xf>
    <xf numFmtId="0" fontId="3" fillId="28" borderId="0" xfId="0" applyNumberFormat="1" applyFont="1" applyFill="1" applyAlignment="1" applyProtection="1">
      <alignment vertical="center"/>
    </xf>
    <xf numFmtId="0" fontId="2" fillId="0" borderId="26" xfId="0" applyNumberFormat="1" applyFont="1" applyBorder="1" applyAlignment="1" applyProtection="1">
      <alignment vertical="top" wrapText="1"/>
    </xf>
    <xf numFmtId="0" fontId="2" fillId="0" borderId="24" xfId="0" applyNumberFormat="1" applyFont="1" applyBorder="1" applyAlignment="1" applyProtection="1">
      <alignment vertical="top" wrapText="1"/>
    </xf>
    <xf numFmtId="14" fontId="1" fillId="0" borderId="26" xfId="0" applyNumberFormat="1" applyFont="1" applyBorder="1" applyAlignment="1" applyProtection="1">
      <alignment horizontal="center" vertical="top" wrapText="1"/>
    </xf>
    <xf numFmtId="14" fontId="1" fillId="0" borderId="27" xfId="0" applyNumberFormat="1" applyFont="1" applyBorder="1" applyAlignment="1" applyProtection="1">
      <alignment horizontal="center" vertical="top" wrapText="1"/>
    </xf>
    <xf numFmtId="14" fontId="1" fillId="0" borderId="24" xfId="0" applyNumberFormat="1" applyFont="1" applyBorder="1" applyAlignment="1" applyProtection="1">
      <alignment horizontal="center" vertical="top" wrapText="1"/>
    </xf>
    <xf numFmtId="14" fontId="1" fillId="0" borderId="0" xfId="0" applyNumberFormat="1" applyFont="1" applyAlignment="1" applyProtection="1">
      <alignment horizontal="center" vertical="top" wrapText="1"/>
    </xf>
    <xf numFmtId="0" fontId="18" fillId="29" borderId="0" xfId="0" applyNumberFormat="1" applyFont="1" applyFill="1" applyAlignment="1" applyProtection="1">
      <alignment horizontal="left" vertical="center"/>
    </xf>
    <xf numFmtId="14" fontId="16" fillId="0" borderId="26" xfId="0" applyNumberFormat="1" applyFont="1" applyBorder="1" applyAlignment="1" applyProtection="1">
      <alignment horizontal="center" vertical="top" wrapText="1"/>
    </xf>
    <xf numFmtId="0" fontId="16" fillId="0" borderId="27" xfId="0" applyNumberFormat="1" applyFont="1" applyBorder="1" applyAlignment="1" applyProtection="1">
      <alignment horizontal="center" vertical="top" wrapText="1"/>
    </xf>
    <xf numFmtId="0" fontId="16" fillId="0" borderId="24" xfId="0" applyNumberFormat="1" applyFont="1" applyBorder="1" applyAlignment="1" applyProtection="1">
      <alignment horizontal="center" vertical="top" wrapText="1"/>
    </xf>
    <xf numFmtId="0" fontId="16" fillId="0" borderId="0" xfId="0" applyNumberFormat="1" applyFont="1" applyAlignment="1" applyProtection="1">
      <alignment horizontal="center" vertical="top" wrapText="1"/>
    </xf>
    <xf numFmtId="0" fontId="18" fillId="29" borderId="57" xfId="0" applyNumberFormat="1" applyFont="1" applyFill="1" applyBorder="1" applyAlignment="1" applyProtection="1">
      <alignment horizontal="left" vertical="center"/>
    </xf>
    <xf numFmtId="0" fontId="16" fillId="0" borderId="5" xfId="0" applyNumberFormat="1" applyFont="1" applyBorder="1" applyAlignment="1" applyProtection="1">
      <alignment horizontal="right" vertical="top" wrapText="1"/>
    </xf>
    <xf numFmtId="0" fontId="18" fillId="29" borderId="58" xfId="0" applyNumberFormat="1" applyFont="1" applyFill="1" applyBorder="1" applyAlignment="1" applyProtection="1">
      <alignment horizontal="left" vertical="center"/>
    </xf>
    <xf numFmtId="14" fontId="16" fillId="0" borderId="27" xfId="0" applyNumberFormat="1" applyFont="1" applyBorder="1" applyAlignment="1" applyProtection="1">
      <alignment horizontal="center" vertical="top" wrapText="1"/>
    </xf>
    <xf numFmtId="14" fontId="16" fillId="0" borderId="24" xfId="0" applyNumberFormat="1" applyFont="1" applyBorder="1" applyAlignment="1" applyProtection="1">
      <alignment horizontal="center" vertical="top" wrapText="1"/>
    </xf>
    <xf numFmtId="14" fontId="16" fillId="0" borderId="0" xfId="0" applyNumberFormat="1" applyFont="1" applyAlignment="1" applyProtection="1">
      <alignment horizontal="center" vertical="top" wrapText="1"/>
    </xf>
    <xf numFmtId="0" fontId="2" fillId="28" borderId="0" xfId="0" applyNumberFormat="1" applyFont="1" applyFill="1" applyAlignment="1" applyProtection="1">
      <alignment vertical="center"/>
    </xf>
    <xf numFmtId="0" fontId="16" fillId="0" borderId="26" xfId="0" applyNumberFormat="1" applyFont="1" applyBorder="1" applyAlignment="1" applyProtection="1">
      <alignment horizontal="center" vertical="top" wrapText="1"/>
    </xf>
    <xf numFmtId="0" fontId="1" fillId="0" borderId="26" xfId="0" applyNumberFormat="1" applyFont="1" applyBorder="1" applyAlignment="1" applyProtection="1">
      <alignment horizontal="center" vertical="top" wrapText="1"/>
    </xf>
    <xf numFmtId="0" fontId="1" fillId="0" borderId="27" xfId="0" applyNumberFormat="1" applyFont="1" applyBorder="1" applyAlignment="1" applyProtection="1">
      <alignment horizontal="center" vertical="top" wrapText="1"/>
    </xf>
    <xf numFmtId="0" fontId="1" fillId="0" borderId="24" xfId="0" applyNumberFormat="1" applyFont="1" applyBorder="1" applyAlignment="1" applyProtection="1">
      <alignment horizontal="center" vertical="top" wrapText="1"/>
    </xf>
    <xf numFmtId="0" fontId="1" fillId="0" borderId="0" xfId="0" applyNumberFormat="1" applyFont="1" applyAlignment="1" applyProtection="1">
      <alignment horizontal="center" vertical="top" wrapText="1"/>
    </xf>
    <xf numFmtId="165" fontId="1" fillId="0" borderId="26" xfId="0" applyNumberFormat="1" applyFont="1" applyBorder="1" applyAlignment="1" applyProtection="1">
      <alignment horizontal="center" vertical="top" wrapText="1"/>
    </xf>
    <xf numFmtId="165" fontId="1" fillId="0" borderId="27" xfId="0" applyNumberFormat="1" applyFont="1" applyBorder="1" applyAlignment="1" applyProtection="1">
      <alignment horizontal="center" vertical="top" wrapText="1"/>
    </xf>
    <xf numFmtId="165" fontId="1" fillId="0" borderId="24" xfId="0" applyNumberFormat="1" applyFont="1" applyBorder="1" applyAlignment="1" applyProtection="1">
      <alignment horizontal="center" vertical="top" wrapText="1"/>
    </xf>
    <xf numFmtId="165" fontId="1" fillId="0" borderId="0" xfId="0" applyNumberFormat="1" applyFont="1" applyAlignment="1" applyProtection="1">
      <alignment horizontal="center" vertical="top" wrapText="1"/>
    </xf>
    <xf numFmtId="168" fontId="16" fillId="0" borderId="26" xfId="0" applyNumberFormat="1" applyFont="1" applyBorder="1" applyAlignment="1" applyProtection="1">
      <alignment horizontal="center" vertical="top" wrapText="1"/>
    </xf>
    <xf numFmtId="168" fontId="16" fillId="0" borderId="27" xfId="0" applyNumberFormat="1" applyFont="1" applyBorder="1" applyAlignment="1" applyProtection="1">
      <alignment horizontal="center" vertical="top" wrapText="1"/>
    </xf>
    <xf numFmtId="168" fontId="16" fillId="0" borderId="24" xfId="0" applyNumberFormat="1" applyFont="1" applyBorder="1" applyAlignment="1" applyProtection="1">
      <alignment horizontal="center" vertical="top" wrapText="1"/>
    </xf>
    <xf numFmtId="168" fontId="16" fillId="0" borderId="0" xfId="0" applyNumberFormat="1" applyFont="1" applyAlignment="1" applyProtection="1">
      <alignment horizontal="center" vertical="top" wrapText="1"/>
    </xf>
    <xf numFmtId="165" fontId="2" fillId="28" borderId="0" xfId="0" applyNumberFormat="1" applyFont="1" applyFill="1" applyAlignment="1" applyProtection="1">
      <alignment vertical="top"/>
    </xf>
    <xf numFmtId="0" fontId="19" fillId="0" borderId="0" xfId="5" applyProtection="1"/>
    <xf numFmtId="0" fontId="2" fillId="0" borderId="26" xfId="0" applyNumberFormat="1" applyFont="1" applyBorder="1" applyAlignment="1" applyProtection="1">
      <alignment horizontal="left" vertical="top" wrapText="1"/>
    </xf>
    <xf numFmtId="0" fontId="2" fillId="0" borderId="27" xfId="0" applyNumberFormat="1" applyFont="1" applyBorder="1" applyAlignment="1" applyProtection="1">
      <alignment horizontal="left" vertical="top" wrapText="1"/>
    </xf>
    <xf numFmtId="0" fontId="2" fillId="0" borderId="24" xfId="0" applyNumberFormat="1" applyFont="1" applyBorder="1" applyAlignment="1" applyProtection="1">
      <alignment horizontal="left" vertical="top" wrapText="1"/>
    </xf>
    <xf numFmtId="0" fontId="2" fillId="0" borderId="0" xfId="0" applyNumberFormat="1" applyFont="1" applyAlignment="1" applyProtection="1">
      <alignment horizontal="left" vertical="top" wrapText="1"/>
    </xf>
    <xf numFmtId="0" fontId="2" fillId="0" borderId="18" xfId="0" applyNumberFormat="1" applyFont="1" applyBorder="1" applyAlignment="1" applyProtection="1">
      <alignment horizontal="left" vertical="top" wrapText="1"/>
    </xf>
    <xf numFmtId="0" fontId="2" fillId="0" borderId="3" xfId="0" applyNumberFormat="1" applyFont="1" applyBorder="1" applyAlignment="1" applyProtection="1">
      <alignment horizontal="left" vertical="top" wrapText="1"/>
    </xf>
    <xf numFmtId="0" fontId="2" fillId="0" borderId="19" xfId="0" applyNumberFormat="1" applyFont="1" applyBorder="1" applyAlignment="1" applyProtection="1">
      <alignment horizontal="left" vertical="top" wrapText="1"/>
    </xf>
    <xf numFmtId="0" fontId="2" fillId="0" borderId="20" xfId="0" applyNumberFormat="1" applyFont="1" applyBorder="1" applyAlignment="1" applyProtection="1">
      <alignment horizontal="left" vertical="top" wrapText="1"/>
    </xf>
    <xf numFmtId="0" fontId="2" fillId="0" borderId="0" xfId="0" applyNumberFormat="1" applyFont="1" applyAlignment="1" applyProtection="1">
      <alignment horizontal="left" vertical="top" wrapText="1"/>
    </xf>
    <xf numFmtId="0" fontId="2" fillId="0" borderId="21" xfId="0" applyNumberFormat="1" applyFont="1" applyBorder="1" applyAlignment="1" applyProtection="1">
      <alignment horizontal="left" vertical="top" wrapText="1"/>
    </xf>
    <xf numFmtId="0" fontId="2" fillId="0" borderId="22" xfId="0" applyNumberFormat="1" applyFont="1" applyBorder="1" applyAlignment="1" applyProtection="1">
      <alignment horizontal="left" vertical="top" wrapText="1"/>
    </xf>
    <xf numFmtId="0" fontId="2" fillId="0" borderId="5" xfId="0" applyNumberFormat="1" applyFont="1" applyBorder="1" applyAlignment="1" applyProtection="1">
      <alignment horizontal="left" vertical="top" wrapText="1"/>
    </xf>
    <xf numFmtId="0" fontId="2" fillId="0" borderId="23" xfId="0" applyNumberFormat="1" applyFont="1" applyBorder="1" applyAlignment="1" applyProtection="1">
      <alignment horizontal="left" vertical="top" wrapText="1"/>
    </xf>
    <xf numFmtId="0" fontId="19" fillId="0" borderId="26" xfId="5" applyBorder="1" applyAlignment="1" applyProtection="1">
      <alignment horizontal="right" vertical="center"/>
    </xf>
    <xf numFmtId="0" fontId="19" fillId="0" borderId="24" xfId="5" applyBorder="1" applyAlignment="1" applyProtection="1">
      <alignment horizontal="right" vertical="center"/>
    </xf>
    <xf numFmtId="0" fontId="19" fillId="0" borderId="25" xfId="5" applyBorder="1" applyAlignment="1" applyProtection="1">
      <alignment horizontal="center"/>
    </xf>
    <xf numFmtId="0" fontId="19" fillId="0" borderId="0" xfId="5" applyAlignment="1" applyProtection="1">
      <alignment horizontal="center"/>
    </xf>
    <xf numFmtId="0" fontId="2" fillId="0" borderId="0" xfId="10" applyNumberFormat="1" applyProtection="1"/>
    <xf numFmtId="1" fontId="0" fillId="0" borderId="0" xfId="0" applyProtection="1"/>
    <xf numFmtId="1" fontId="1" fillId="0" borderId="18" xfId="10" applyFont="1" applyBorder="1" applyProtection="1"/>
    <xf numFmtId="1" fontId="1" fillId="0" borderId="3" xfId="10" applyFont="1" applyBorder="1" applyProtection="1"/>
    <xf numFmtId="37" fontId="2" fillId="0" borderId="3" xfId="10" applyNumberFormat="1" applyBorder="1" applyProtection="1"/>
    <xf numFmtId="164" fontId="2" fillId="0" borderId="3" xfId="10" applyNumberFormat="1" applyBorder="1" applyProtection="1"/>
    <xf numFmtId="164" fontId="1" fillId="0" borderId="3" xfId="10" applyNumberFormat="1" applyFont="1" applyBorder="1" applyAlignment="1" applyProtection="1">
      <alignment horizontal="right"/>
    </xf>
    <xf numFmtId="1" fontId="1" fillId="0" borderId="19" xfId="10" applyFont="1" applyBorder="1" applyProtection="1"/>
    <xf numFmtId="1" fontId="1" fillId="0" borderId="20" xfId="10" applyFont="1" applyBorder="1" applyProtection="1"/>
    <xf numFmtId="1" fontId="1" fillId="0" borderId="0" xfId="10" applyFont="1" applyProtection="1"/>
    <xf numFmtId="0" fontId="1" fillId="0" borderId="0" xfId="10" applyNumberFormat="1" applyFont="1" applyProtection="1"/>
    <xf numFmtId="164" fontId="1" fillId="0" borderId="0" xfId="10" applyNumberFormat="1" applyFont="1" applyAlignment="1" applyProtection="1">
      <alignment horizontal="right"/>
    </xf>
    <xf numFmtId="14" fontId="1" fillId="0" borderId="21" xfId="10" applyNumberFormat="1" applyFont="1" applyBorder="1" applyProtection="1"/>
    <xf numFmtId="1" fontId="2" fillId="0" borderId="20" xfId="10" applyBorder="1" applyProtection="1"/>
    <xf numFmtId="22" fontId="2" fillId="0" borderId="0" xfId="10" applyNumberFormat="1" applyAlignment="1" applyProtection="1">
      <alignment horizontal="right"/>
    </xf>
    <xf numFmtId="14" fontId="2" fillId="0" borderId="21" xfId="10" applyNumberFormat="1" applyBorder="1" applyProtection="1"/>
    <xf numFmtId="1" fontId="40" fillId="0" borderId="20" xfId="10" applyFont="1" applyBorder="1" applyProtection="1"/>
    <xf numFmtId="164" fontId="2" fillId="0" borderId="21" xfId="10" applyNumberFormat="1" applyBorder="1" applyProtection="1"/>
    <xf numFmtId="37" fontId="41" fillId="0" borderId="30" xfId="10" applyNumberFormat="1" applyFont="1" applyBorder="1" applyAlignment="1" applyProtection="1">
      <alignment horizontal="center"/>
    </xf>
    <xf numFmtId="164" fontId="41" fillId="0" borderId="30" xfId="10" applyNumberFormat="1" applyFont="1" applyBorder="1" applyAlignment="1" applyProtection="1">
      <alignment horizontal="center"/>
    </xf>
    <xf numFmtId="164" fontId="41" fillId="0" borderId="69" xfId="10" applyNumberFormat="1" applyFont="1" applyBorder="1" applyAlignment="1" applyProtection="1">
      <alignment horizontal="center"/>
    </xf>
    <xf numFmtId="174" fontId="2" fillId="0" borderId="0" xfId="10" applyNumberFormat="1" applyProtection="1"/>
    <xf numFmtId="164" fontId="2" fillId="0" borderId="0" xfId="10" applyNumberFormat="1" applyAlignment="1" applyProtection="1">
      <alignment horizontal="left"/>
    </xf>
    <xf numFmtId="173" fontId="8" fillId="0" borderId="0" xfId="10" applyNumberFormat="1" applyFont="1" applyProtection="1"/>
    <xf numFmtId="1" fontId="2" fillId="0" borderId="0" xfId="10" applyProtection="1"/>
    <xf numFmtId="173" fontId="2" fillId="0" borderId="0" xfId="10" applyNumberFormat="1" applyProtection="1"/>
    <xf numFmtId="173" fontId="2" fillId="0" borderId="0" xfId="10" applyNumberFormat="1" applyAlignment="1" applyProtection="1">
      <alignment horizontal="center" vertical="center"/>
    </xf>
    <xf numFmtId="173" fontId="2" fillId="0" borderId="21" xfId="10" applyNumberFormat="1" applyBorder="1" applyProtection="1"/>
    <xf numFmtId="0" fontId="3" fillId="0" borderId="0" xfId="10" applyNumberFormat="1" applyFont="1" applyProtection="1"/>
    <xf numFmtId="38" fontId="2" fillId="0" borderId="0" xfId="10" applyNumberFormat="1" applyProtection="1"/>
    <xf numFmtId="38" fontId="2" fillId="0" borderId="21" xfId="10" applyNumberFormat="1" applyBorder="1" applyProtection="1"/>
    <xf numFmtId="0" fontId="2" fillId="0" borderId="0" xfId="12" applyFont="1" applyProtection="1"/>
    <xf numFmtId="38" fontId="2" fillId="0" borderId="70" xfId="10" applyNumberFormat="1" applyBorder="1" applyProtection="1"/>
    <xf numFmtId="38" fontId="2" fillId="0" borderId="71" xfId="10" applyNumberFormat="1" applyBorder="1" applyProtection="1"/>
    <xf numFmtId="4" fontId="1" fillId="0" borderId="0" xfId="12" applyNumberFormat="1" applyFont="1" applyAlignment="1" applyProtection="1">
      <alignment horizontal="fill"/>
    </xf>
    <xf numFmtId="173" fontId="2" fillId="23" borderId="0" xfId="10" applyNumberFormat="1" applyFill="1" applyProtection="1"/>
    <xf numFmtId="173" fontId="2" fillId="23" borderId="21" xfId="10" applyNumberFormat="1" applyFill="1" applyBorder="1" applyProtection="1"/>
    <xf numFmtId="4" fontId="1" fillId="0" borderId="0" xfId="12" applyNumberFormat="1" applyFont="1" applyAlignment="1" applyProtection="1">
      <alignment horizontal="left"/>
    </xf>
    <xf numFmtId="38" fontId="3" fillId="0" borderId="0" xfId="10" applyNumberFormat="1" applyFont="1" applyProtection="1"/>
    <xf numFmtId="1" fontId="3" fillId="0" borderId="0" xfId="10" applyFont="1" applyAlignment="1" applyProtection="1">
      <alignment wrapText="1"/>
    </xf>
    <xf numFmtId="1" fontId="3" fillId="0" borderId="0" xfId="10" applyFont="1" applyProtection="1"/>
    <xf numFmtId="4" fontId="1" fillId="2" borderId="0" xfId="12" applyNumberFormat="1" applyFont="1" applyFill="1" applyAlignment="1" applyProtection="1">
      <alignment horizontal="fill"/>
    </xf>
    <xf numFmtId="173" fontId="2" fillId="0" borderId="5" xfId="10" applyNumberFormat="1" applyBorder="1" applyProtection="1"/>
    <xf numFmtId="173" fontId="18" fillId="0" borderId="5" xfId="10" applyNumberFormat="1" applyFont="1" applyBorder="1" applyProtection="1"/>
    <xf numFmtId="173" fontId="44" fillId="0" borderId="0" xfId="10" applyNumberFormat="1" applyFont="1" applyAlignment="1" applyProtection="1">
      <alignment horizontal="center" vertical="center"/>
    </xf>
    <xf numFmtId="173" fontId="18" fillId="0" borderId="0" xfId="10" applyNumberFormat="1" applyFont="1" applyProtection="1"/>
    <xf numFmtId="38" fontId="2" fillId="0" borderId="3" xfId="10" applyNumberFormat="1" applyBorder="1" applyProtection="1"/>
    <xf numFmtId="38" fontId="2" fillId="0" borderId="19" xfId="10" applyNumberFormat="1" applyBorder="1" applyProtection="1"/>
    <xf numFmtId="1" fontId="40" fillId="0" borderId="22" xfId="10" applyFont="1" applyBorder="1" applyProtection="1"/>
    <xf numFmtId="1" fontId="2" fillId="0" borderId="5" xfId="10" applyBorder="1" applyProtection="1"/>
    <xf numFmtId="173" fontId="2" fillId="23" borderId="5" xfId="10" applyNumberFormat="1" applyFill="1" applyBorder="1" applyProtection="1"/>
    <xf numFmtId="173" fontId="2" fillId="23" borderId="23" xfId="10" applyNumberFormat="1" applyFill="1" applyBorder="1" applyProtection="1"/>
    <xf numFmtId="1" fontId="40" fillId="0" borderId="0" xfId="10" applyFont="1" applyProtection="1"/>
    <xf numFmtId="38" fontId="1" fillId="0" borderId="0" xfId="10" applyNumberFormat="1" applyFont="1" applyProtection="1"/>
    <xf numFmtId="1" fontId="40" fillId="0" borderId="18" xfId="10" applyFont="1" applyBorder="1" applyProtection="1"/>
    <xf numFmtId="1" fontId="2" fillId="0" borderId="3" xfId="10" applyBorder="1" applyProtection="1"/>
    <xf numFmtId="38" fontId="41" fillId="0" borderId="30" xfId="10" applyNumberFormat="1" applyFont="1" applyBorder="1" applyProtection="1"/>
    <xf numFmtId="173" fontId="2" fillId="0" borderId="70" xfId="10" applyNumberFormat="1" applyBorder="1" applyProtection="1"/>
    <xf numFmtId="1" fontId="2" fillId="0" borderId="22" xfId="10" applyBorder="1" applyProtection="1"/>
    <xf numFmtId="37" fontId="2" fillId="0" borderId="5" xfId="10" applyNumberFormat="1" applyBorder="1" applyProtection="1"/>
    <xf numFmtId="164" fontId="2" fillId="0" borderId="5" xfId="10" applyNumberFormat="1" applyBorder="1" applyProtection="1"/>
    <xf numFmtId="164" fontId="2" fillId="0" borderId="23" xfId="10" applyNumberFormat="1" applyBorder="1" applyProtection="1"/>
    <xf numFmtId="0" fontId="13" fillId="6" borderId="0" xfId="0" applyNumberFormat="1" applyFont="1" applyFill="1" applyProtection="1"/>
    <xf numFmtId="0" fontId="13" fillId="6" borderId="0" xfId="0" applyNumberFormat="1" applyFont="1" applyFill="1" applyAlignment="1" applyProtection="1">
      <alignment horizontal="center"/>
    </xf>
    <xf numFmtId="0" fontId="13" fillId="6" borderId="0" xfId="0" applyNumberFormat="1" applyFont="1" applyFill="1" applyAlignment="1" applyProtection="1">
      <alignment horizontal="right"/>
    </xf>
    <xf numFmtId="0" fontId="2" fillId="0" borderId="0" xfId="0" applyNumberFormat="1" applyFont="1" applyAlignment="1" applyProtection="1">
      <alignment wrapText="1"/>
    </xf>
    <xf numFmtId="0" fontId="11" fillId="0" borderId="0" xfId="0" applyNumberFormat="1" applyFont="1" applyProtection="1"/>
    <xf numFmtId="0" fontId="11" fillId="0" borderId="0" xfId="0" applyNumberFormat="1" applyFont="1" applyAlignment="1" applyProtection="1">
      <alignment horizontal="center"/>
    </xf>
    <xf numFmtId="4" fontId="11" fillId="0" borderId="0" xfId="0" applyNumberFormat="1" applyFont="1" applyAlignment="1" applyProtection="1">
      <alignment horizontal="right"/>
    </xf>
    <xf numFmtId="4" fontId="2" fillId="0" borderId="0" xfId="0" applyNumberFormat="1" applyFont="1" applyAlignment="1" applyProtection="1">
      <alignment horizontal="right"/>
    </xf>
    <xf numFmtId="0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5" fillId="25" borderId="0" xfId="0" applyNumberFormat="1" applyFont="1" applyFill="1" applyAlignment="1" applyProtection="1">
      <alignment horizontal="right"/>
    </xf>
    <xf numFmtId="0" fontId="2" fillId="25" borderId="0" xfId="0" applyNumberFormat="1" applyFont="1" applyFill="1" applyProtection="1"/>
    <xf numFmtId="4" fontId="1" fillId="25" borderId="0" xfId="0" applyNumberFormat="1" applyFont="1" applyFill="1" applyAlignment="1" applyProtection="1">
      <alignment horizontal="right"/>
    </xf>
    <xf numFmtId="4" fontId="11" fillId="0" borderId="0" xfId="0" applyNumberFormat="1" applyFont="1" applyProtection="1"/>
    <xf numFmtId="4" fontId="2" fillId="0" borderId="0" xfId="0" applyNumberFormat="1" applyFont="1" applyProtection="1"/>
    <xf numFmtId="0" fontId="5" fillId="25" borderId="0" xfId="0" applyNumberFormat="1" applyFont="1" applyFill="1" applyProtection="1"/>
    <xf numFmtId="0" fontId="2" fillId="25" borderId="0" xfId="0" applyNumberFormat="1" applyFont="1" applyFill="1" applyAlignment="1" applyProtection="1">
      <alignment horizontal="center"/>
    </xf>
    <xf numFmtId="4" fontId="1" fillId="25" borderId="0" xfId="0" applyNumberFormat="1" applyFont="1" applyFill="1" applyProtection="1"/>
    <xf numFmtId="0" fontId="14" fillId="25" borderId="0" xfId="0" applyNumberFormat="1" applyFont="1" applyFill="1" applyProtection="1"/>
    <xf numFmtId="0" fontId="13" fillId="0" borderId="0" xfId="0" applyNumberFormat="1" applyFont="1" applyAlignment="1" applyProtection="1">
      <alignment horizontal="right"/>
    </xf>
    <xf numFmtId="0" fontId="13" fillId="0" borderId="0" xfId="0" applyNumberFormat="1" applyFont="1" applyAlignment="1" applyProtection="1">
      <alignment horizontal="left"/>
    </xf>
    <xf numFmtId="0" fontId="1" fillId="25" borderId="0" xfId="0" applyNumberFormat="1" applyFont="1" applyFill="1" applyAlignment="1" applyProtection="1">
      <alignment horizontal="right"/>
    </xf>
    <xf numFmtId="4" fontId="1" fillId="0" borderId="0" xfId="0" applyNumberFormat="1" applyFont="1" applyAlignment="1" applyProtection="1">
      <alignment horizontal="right"/>
    </xf>
    <xf numFmtId="0" fontId="14" fillId="6" borderId="0" xfId="0" applyNumberFormat="1" applyFont="1" applyFill="1" applyProtection="1"/>
    <xf numFmtId="0" fontId="1" fillId="0" borderId="0" xfId="0" applyNumberFormat="1" applyFont="1" applyAlignment="1" applyProtection="1">
      <alignment horizontal="right"/>
    </xf>
    <xf numFmtId="0" fontId="1" fillId="0" borderId="0" xfId="0" applyNumberFormat="1" applyFont="1" applyProtection="1"/>
    <xf numFmtId="173" fontId="2" fillId="0" borderId="0" xfId="0" applyNumberFormat="1" applyFont="1" applyAlignment="1" applyProtection="1">
      <alignment horizontal="right"/>
    </xf>
    <xf numFmtId="1" fontId="2" fillId="0" borderId="0" xfId="0" applyFont="1" applyProtection="1"/>
    <xf numFmtId="2" fontId="11" fillId="0" borderId="0" xfId="0" applyNumberFormat="1" applyFont="1" applyProtection="1"/>
    <xf numFmtId="1" fontId="11" fillId="0" borderId="0" xfId="0" applyFont="1" applyProtection="1"/>
    <xf numFmtId="4" fontId="1" fillId="0" borderId="0" xfId="0" applyNumberFormat="1" applyFont="1" applyProtection="1"/>
    <xf numFmtId="2" fontId="9" fillId="0" borderId="0" xfId="0" applyNumberFormat="1" applyFont="1" applyProtection="1"/>
    <xf numFmtId="10" fontId="2" fillId="0" borderId="0" xfId="0" applyNumberFormat="1" applyFont="1" applyProtection="1"/>
    <xf numFmtId="4" fontId="5" fillId="25" borderId="0" xfId="0" applyNumberFormat="1" applyFont="1" applyFill="1" applyProtection="1"/>
    <xf numFmtId="10" fontId="1" fillId="0" borderId="0" xfId="0" applyNumberFormat="1" applyFont="1" applyProtection="1"/>
    <xf numFmtId="173" fontId="1" fillId="0" borderId="0" xfId="0" applyNumberFormat="1" applyFont="1" applyAlignment="1" applyProtection="1">
      <alignment horizontal="right"/>
    </xf>
    <xf numFmtId="1" fontId="9" fillId="0" borderId="0" xfId="0" applyFont="1" applyProtection="1"/>
    <xf numFmtId="1" fontId="2" fillId="0" borderId="0" xfId="0" quotePrefix="1" applyFont="1" applyProtection="1"/>
    <xf numFmtId="10" fontId="11" fillId="0" borderId="0" xfId="0" applyNumberFormat="1" applyFont="1" applyProtection="1"/>
    <xf numFmtId="0" fontId="2" fillId="2" borderId="0" xfId="1" applyFill="1" applyProtection="1"/>
    <xf numFmtId="1" fontId="2" fillId="0" borderId="0" xfId="1" applyNumberFormat="1" applyProtection="1"/>
    <xf numFmtId="1" fontId="2" fillId="2" borderId="0" xfId="1" applyNumberFormat="1" applyFill="1" applyProtection="1"/>
    <xf numFmtId="1" fontId="1" fillId="2" borderId="0" xfId="1" applyNumberFormat="1" applyFont="1" applyFill="1" applyAlignment="1" applyProtection="1">
      <alignment horizontal="fill"/>
    </xf>
    <xf numFmtId="0" fontId="1" fillId="2" borderId="0" xfId="1" applyFont="1" applyFill="1" applyProtection="1"/>
    <xf numFmtId="1" fontId="2" fillId="15" borderId="0" xfId="2" applyNumberFormat="1" applyFill="1" applyProtection="1"/>
    <xf numFmtId="0" fontId="2" fillId="15" borderId="0" xfId="2" applyFill="1" applyProtection="1"/>
    <xf numFmtId="0" fontId="1" fillId="26" borderId="0" xfId="1" applyFont="1" applyFill="1" applyProtection="1"/>
    <xf numFmtId="1" fontId="2" fillId="26" borderId="0" xfId="1" applyNumberFormat="1" applyFill="1" applyProtection="1"/>
    <xf numFmtId="0" fontId="2" fillId="26" borderId="0" xfId="1" applyFill="1" applyProtection="1"/>
    <xf numFmtId="1" fontId="2" fillId="10" borderId="0" xfId="2" applyNumberFormat="1" applyFill="1" applyProtection="1"/>
    <xf numFmtId="0" fontId="2" fillId="11" borderId="15" xfId="2" applyFill="1" applyBorder="1" applyProtection="1"/>
    <xf numFmtId="0" fontId="2" fillId="11" borderId="0" xfId="1" applyFill="1" applyProtection="1"/>
    <xf numFmtId="0" fontId="2" fillId="0" borderId="0" xfId="1" applyProtection="1"/>
    <xf numFmtId="0" fontId="2" fillId="3" borderId="0" xfId="1" applyFill="1" applyProtection="1"/>
    <xf numFmtId="10" fontId="2" fillId="0" borderId="0" xfId="1" applyNumberFormat="1" applyProtection="1"/>
    <xf numFmtId="1" fontId="1" fillId="2" borderId="0" xfId="1" applyNumberFormat="1" applyFont="1" applyFill="1" applyProtection="1"/>
    <xf numFmtId="0" fontId="38" fillId="2" borderId="0" xfId="1" applyFont="1" applyFill="1" applyProtection="1"/>
    <xf numFmtId="1" fontId="1" fillId="2" borderId="0" xfId="0" applyFont="1" applyFill="1" applyAlignment="1" applyProtection="1">
      <alignment horizontal="right"/>
    </xf>
    <xf numFmtId="0" fontId="1" fillId="2" borderId="0" xfId="1" applyFont="1" applyFill="1" applyAlignment="1" applyProtection="1">
      <alignment horizontal="right"/>
    </xf>
    <xf numFmtId="0" fontId="1" fillId="26" borderId="0" xfId="1" applyFont="1" applyFill="1" applyAlignment="1" applyProtection="1">
      <alignment horizontal="right"/>
    </xf>
    <xf numFmtId="0" fontId="1" fillId="10" borderId="0" xfId="2" applyFont="1" applyFill="1" applyProtection="1"/>
    <xf numFmtId="0" fontId="1" fillId="10" borderId="0" xfId="2" applyFont="1" applyFill="1" applyAlignment="1" applyProtection="1">
      <alignment horizontal="right"/>
    </xf>
    <xf numFmtId="0" fontId="1" fillId="10" borderId="0" xfId="2" applyFont="1" applyFill="1" applyAlignment="1" applyProtection="1">
      <alignment horizontal="left"/>
    </xf>
    <xf numFmtId="0" fontId="11" fillId="0" borderId="0" xfId="1" applyFont="1" applyProtection="1"/>
    <xf numFmtId="0" fontId="11" fillId="2" borderId="0" xfId="1" applyFont="1" applyFill="1" applyProtection="1"/>
    <xf numFmtId="0" fontId="1" fillId="2" borderId="0" xfId="1" applyFont="1" applyFill="1" applyAlignment="1" applyProtection="1">
      <alignment horizontal="left"/>
    </xf>
    <xf numFmtId="168" fontId="2" fillId="2" borderId="0" xfId="1" applyNumberFormat="1" applyFill="1" applyProtection="1"/>
    <xf numFmtId="10" fontId="2" fillId="2" borderId="0" xfId="1" applyNumberFormat="1" applyFill="1" applyProtection="1"/>
    <xf numFmtId="9" fontId="11" fillId="0" borderId="0" xfId="2" applyNumberFormat="1" applyFont="1" applyAlignment="1" applyProtection="1">
      <alignment vertical="top"/>
    </xf>
    <xf numFmtId="15" fontId="1" fillId="2" borderId="0" xfId="1" applyNumberFormat="1" applyFont="1" applyFill="1" applyAlignment="1" applyProtection="1">
      <alignment horizontal="right"/>
    </xf>
    <xf numFmtId="14" fontId="1" fillId="2" borderId="0" xfId="1" applyNumberFormat="1" applyFont="1" applyFill="1" applyProtection="1"/>
    <xf numFmtId="15" fontId="1" fillId="10" borderId="0" xfId="2" applyNumberFormat="1" applyFont="1" applyFill="1" applyAlignment="1" applyProtection="1">
      <alignment horizontal="right"/>
    </xf>
    <xf numFmtId="1" fontId="2" fillId="8" borderId="0" xfId="0" applyFont="1" applyFill="1" applyAlignment="1" applyProtection="1">
      <alignment horizontal="left" vertical="center"/>
    </xf>
    <xf numFmtId="1" fontId="2" fillId="8" borderId="0" xfId="0" applyFont="1" applyFill="1" applyAlignment="1" applyProtection="1">
      <alignment horizontal="center" vertical="center"/>
    </xf>
    <xf numFmtId="1" fontId="1" fillId="2" borderId="0" xfId="2" applyNumberFormat="1" applyFont="1" applyFill="1" applyAlignment="1" applyProtection="1">
      <alignment horizontal="fill"/>
    </xf>
    <xf numFmtId="1" fontId="38" fillId="2" borderId="0" xfId="2" applyNumberFormat="1" applyFont="1" applyFill="1" applyAlignment="1" applyProtection="1">
      <alignment horizontal="fill"/>
    </xf>
    <xf numFmtId="0" fontId="1" fillId="2" borderId="0" xfId="2" applyFont="1" applyFill="1" applyAlignment="1" applyProtection="1">
      <alignment horizontal="fill"/>
    </xf>
    <xf numFmtId="0" fontId="2" fillId="15" borderId="0" xfId="0" applyNumberFormat="1" applyFont="1" applyFill="1" applyProtection="1"/>
    <xf numFmtId="0" fontId="1" fillId="4" borderId="0" xfId="2" applyFont="1" applyFill="1" applyAlignment="1" applyProtection="1">
      <alignment horizontal="centerContinuous"/>
    </xf>
    <xf numFmtId="1" fontId="1" fillId="4" borderId="0" xfId="2" applyNumberFormat="1" applyFont="1" applyFill="1" applyAlignment="1" applyProtection="1">
      <alignment horizontal="fill"/>
    </xf>
    <xf numFmtId="0" fontId="1" fillId="4" borderId="0" xfId="1" applyFont="1" applyFill="1" applyAlignment="1" applyProtection="1">
      <alignment horizontal="centerContinuous"/>
    </xf>
    <xf numFmtId="0" fontId="1" fillId="10" borderId="0" xfId="0" applyNumberFormat="1" applyFont="1" applyFill="1" applyAlignment="1" applyProtection="1">
      <alignment horizontal="center"/>
    </xf>
    <xf numFmtId="0" fontId="2" fillId="0" borderId="0" xfId="0" applyNumberFormat="1" applyFont="1" applyAlignment="1" applyProtection="1">
      <alignment horizontal="center"/>
    </xf>
    <xf numFmtId="1" fontId="2" fillId="20" borderId="0" xfId="2" applyNumberFormat="1" applyFill="1" applyAlignment="1" applyProtection="1">
      <alignment horizontal="center"/>
    </xf>
    <xf numFmtId="1" fontId="2" fillId="13" borderId="0" xfId="2" applyNumberFormat="1" applyFill="1" applyAlignment="1" applyProtection="1">
      <alignment horizontal="center"/>
    </xf>
    <xf numFmtId="0" fontId="2" fillId="16" borderId="0" xfId="2" applyFill="1" applyAlignment="1" applyProtection="1">
      <alignment horizontal="center"/>
    </xf>
    <xf numFmtId="0" fontId="2" fillId="2" borderId="0" xfId="2" applyFill="1" applyProtection="1"/>
    <xf numFmtId="0" fontId="2" fillId="30" borderId="0" xfId="2" applyFill="1" applyAlignment="1" applyProtection="1">
      <alignment horizontal="center"/>
    </xf>
    <xf numFmtId="0" fontId="2" fillId="10" borderId="0" xfId="2" applyFill="1" applyAlignment="1" applyProtection="1">
      <alignment horizontal="center"/>
    </xf>
    <xf numFmtId="0" fontId="2" fillId="9" borderId="0" xfId="2" applyFill="1" applyAlignment="1" applyProtection="1">
      <alignment horizontal="center"/>
    </xf>
    <xf numFmtId="0" fontId="2" fillId="14" borderId="0" xfId="2" applyFill="1" applyAlignment="1" applyProtection="1">
      <alignment horizontal="center"/>
    </xf>
    <xf numFmtId="1" fontId="2" fillId="7" borderId="0" xfId="2" applyNumberFormat="1" applyFill="1" applyAlignment="1" applyProtection="1">
      <alignment horizontal="center"/>
    </xf>
    <xf numFmtId="1" fontId="2" fillId="15" borderId="0" xfId="2" applyNumberFormat="1" applyFill="1" applyAlignment="1" applyProtection="1">
      <alignment horizontal="center"/>
    </xf>
    <xf numFmtId="1" fontId="2" fillId="6" borderId="0" xfId="2" applyNumberFormat="1" applyFill="1" applyAlignment="1" applyProtection="1">
      <alignment horizontal="center"/>
    </xf>
    <xf numFmtId="0" fontId="1" fillId="2" borderId="0" xfId="1" applyFont="1" applyFill="1" applyAlignment="1" applyProtection="1">
      <alignment horizontal="center"/>
    </xf>
    <xf numFmtId="1" fontId="1" fillId="2" borderId="0" xfId="2" applyNumberFormat="1" applyFont="1" applyFill="1" applyAlignment="1" applyProtection="1">
      <alignment horizontal="center"/>
    </xf>
    <xf numFmtId="0" fontId="1" fillId="2" borderId="0" xfId="2" applyFont="1" applyFill="1" applyAlignment="1" applyProtection="1">
      <alignment horizontal="center"/>
    </xf>
    <xf numFmtId="0" fontId="2" fillId="30" borderId="0" xfId="2" applyFill="1" applyAlignment="1" applyProtection="1">
      <alignment horizontal="center"/>
    </xf>
    <xf numFmtId="0" fontId="2" fillId="12" borderId="0" xfId="2" applyFill="1" applyAlignment="1" applyProtection="1">
      <alignment horizontal="center"/>
    </xf>
    <xf numFmtId="0" fontId="2" fillId="30" borderId="13" xfId="0" applyNumberFormat="1" applyFont="1" applyFill="1" applyBorder="1" applyAlignment="1" applyProtection="1">
      <alignment horizontal="center"/>
    </xf>
    <xf numFmtId="0" fontId="2" fillId="10" borderId="0" xfId="2" applyFill="1" applyAlignment="1" applyProtection="1">
      <alignment horizontal="center"/>
    </xf>
    <xf numFmtId="0" fontId="2" fillId="10" borderId="13" xfId="0" applyNumberFormat="1" applyFont="1" applyFill="1" applyBorder="1" applyAlignment="1" applyProtection="1">
      <alignment horizontal="center"/>
    </xf>
    <xf numFmtId="1" fontId="2" fillId="7" borderId="15" xfId="1" applyNumberFormat="1" applyFill="1" applyBorder="1" applyAlignment="1" applyProtection="1">
      <alignment horizontal="center" vertical="top"/>
    </xf>
    <xf numFmtId="0" fontId="2" fillId="7" borderId="0" xfId="0" applyNumberFormat="1" applyFont="1" applyFill="1" applyAlignment="1" applyProtection="1">
      <alignment horizontal="center" vertical="top"/>
    </xf>
    <xf numFmtId="0" fontId="2" fillId="7" borderId="13" xfId="0" applyNumberFormat="1" applyFont="1" applyFill="1" applyBorder="1" applyAlignment="1" applyProtection="1">
      <alignment horizontal="center" vertical="top"/>
    </xf>
    <xf numFmtId="1" fontId="2" fillId="6" borderId="15" xfId="1" applyNumberFormat="1" applyFill="1" applyBorder="1" applyAlignment="1" applyProtection="1">
      <alignment horizontal="center" vertical="top"/>
    </xf>
    <xf numFmtId="0" fontId="2" fillId="6" borderId="0" xfId="0" applyNumberFormat="1" applyFont="1" applyFill="1" applyAlignment="1" applyProtection="1">
      <alignment horizontal="center" vertical="top"/>
    </xf>
    <xf numFmtId="0" fontId="2" fillId="6" borderId="13" xfId="0" applyNumberFormat="1" applyFont="1" applyFill="1" applyBorder="1" applyAlignment="1" applyProtection="1">
      <alignment horizontal="center" vertical="top"/>
    </xf>
    <xf numFmtId="0" fontId="2" fillId="9" borderId="15" xfId="1" applyFill="1" applyBorder="1" applyAlignment="1" applyProtection="1">
      <alignment horizontal="center"/>
    </xf>
    <xf numFmtId="0" fontId="2" fillId="9" borderId="0" xfId="0" applyNumberFormat="1" applyFont="1" applyFill="1" applyAlignment="1" applyProtection="1">
      <alignment horizontal="center"/>
    </xf>
    <xf numFmtId="1" fontId="1" fillId="10" borderId="0" xfId="2" applyNumberFormat="1" applyFont="1" applyFill="1" applyAlignment="1" applyProtection="1">
      <alignment horizontal="center"/>
    </xf>
    <xf numFmtId="1" fontId="1" fillId="10" borderId="0" xfId="2" applyNumberFormat="1" applyFont="1" applyFill="1" applyAlignment="1" applyProtection="1">
      <alignment horizontal="center" vertical="top"/>
    </xf>
    <xf numFmtId="1" fontId="1" fillId="10" borderId="0" xfId="2" applyNumberFormat="1" applyFont="1" applyFill="1" applyAlignment="1" applyProtection="1">
      <alignment horizontal="center" wrapText="1"/>
    </xf>
    <xf numFmtId="1" fontId="2" fillId="14" borderId="0" xfId="2" applyNumberFormat="1" applyFill="1" applyAlignment="1" applyProtection="1">
      <alignment horizontal="center"/>
    </xf>
    <xf numFmtId="1" fontId="2" fillId="18" borderId="0" xfId="2" applyNumberFormat="1" applyFill="1" applyAlignment="1" applyProtection="1">
      <alignment horizontal="center"/>
    </xf>
    <xf numFmtId="1" fontId="2" fillId="9" borderId="0" xfId="2" applyNumberFormat="1" applyFill="1" applyAlignment="1" applyProtection="1">
      <alignment horizontal="center"/>
    </xf>
    <xf numFmtId="1" fontId="1" fillId="2" borderId="0" xfId="1" applyNumberFormat="1" applyFont="1" applyFill="1" applyAlignment="1" applyProtection="1">
      <alignment horizontal="left"/>
    </xf>
    <xf numFmtId="0" fontId="1" fillId="2" borderId="0" xfId="2" applyFont="1" applyFill="1" applyProtection="1"/>
    <xf numFmtId="1" fontId="2" fillId="30" borderId="0" xfId="2" applyNumberFormat="1" applyFill="1" applyAlignment="1" applyProtection="1">
      <alignment horizontal="center"/>
    </xf>
    <xf numFmtId="1" fontId="2" fillId="10" borderId="0" xfId="2" applyNumberFormat="1" applyFill="1" applyAlignment="1" applyProtection="1">
      <alignment horizontal="center"/>
    </xf>
    <xf numFmtId="1" fontId="2" fillId="12" borderId="0" xfId="2" applyNumberFormat="1" applyFill="1" applyAlignment="1" applyProtection="1">
      <alignment horizontal="center"/>
    </xf>
    <xf numFmtId="1" fontId="2" fillId="30" borderId="0" xfId="1" applyNumberFormat="1" applyFill="1" applyAlignment="1" applyProtection="1">
      <alignment horizontal="center"/>
    </xf>
    <xf numFmtId="1" fontId="2" fillId="10" borderId="0" xfId="1" applyNumberFormat="1" applyFill="1" applyAlignment="1" applyProtection="1">
      <alignment horizontal="center"/>
    </xf>
    <xf numFmtId="1" fontId="2" fillId="7" borderId="0" xfId="1" applyNumberFormat="1" applyFill="1" applyAlignment="1" applyProtection="1">
      <alignment horizontal="center"/>
    </xf>
    <xf numFmtId="1" fontId="2" fillId="6" borderId="0" xfId="1" applyNumberFormat="1" applyFill="1" applyAlignment="1" applyProtection="1">
      <alignment horizontal="center"/>
    </xf>
    <xf numFmtId="1" fontId="2" fillId="12" borderId="0" xfId="1" applyNumberFormat="1" applyFill="1" applyAlignment="1" applyProtection="1">
      <alignment horizontal="center"/>
    </xf>
    <xf numFmtId="1" fontId="2" fillId="9" borderId="0" xfId="1" applyNumberFormat="1" applyFill="1" applyAlignment="1" applyProtection="1">
      <alignment horizontal="center"/>
    </xf>
    <xf numFmtId="0" fontId="2" fillId="10" borderId="17" xfId="0" applyNumberFormat="1" applyFont="1" applyFill="1" applyBorder="1" applyAlignment="1" applyProtection="1">
      <alignment horizontal="center" vertical="top"/>
    </xf>
    <xf numFmtId="0" fontId="2" fillId="10" borderId="17" xfId="0" applyNumberFormat="1" applyFont="1" applyFill="1" applyBorder="1" applyAlignment="1" applyProtection="1">
      <alignment wrapText="1"/>
    </xf>
    <xf numFmtId="1" fontId="8" fillId="0" borderId="0" xfId="2" applyNumberFormat="1" applyFont="1" applyAlignment="1" applyProtection="1">
      <alignment horizontal="left"/>
    </xf>
    <xf numFmtId="1" fontId="5" fillId="7" borderId="0" xfId="2" applyNumberFormat="1" applyFont="1" applyFill="1" applyAlignment="1" applyProtection="1">
      <alignment horizontal="left"/>
    </xf>
    <xf numFmtId="1" fontId="5" fillId="6" borderId="0" xfId="2" applyNumberFormat="1" applyFont="1" applyFill="1" applyAlignment="1" applyProtection="1">
      <alignment horizontal="left"/>
    </xf>
    <xf numFmtId="0" fontId="8" fillId="0" borderId="0" xfId="2" applyFont="1" applyAlignment="1" applyProtection="1">
      <alignment horizontal="left"/>
    </xf>
    <xf numFmtId="0" fontId="5" fillId="9" borderId="0" xfId="2" applyFont="1" applyFill="1" applyAlignment="1" applyProtection="1">
      <alignment horizontal="left"/>
    </xf>
    <xf numFmtId="1" fontId="2" fillId="2" borderId="1" xfId="1" applyNumberFormat="1" applyFill="1" applyBorder="1" applyAlignment="1" applyProtection="1">
      <alignment horizontal="fill"/>
    </xf>
    <xf numFmtId="1" fontId="2" fillId="0" borderId="1" xfId="2" applyNumberFormat="1" applyBorder="1" applyProtection="1"/>
    <xf numFmtId="1" fontId="2" fillId="0" borderId="1" xfId="1" applyNumberFormat="1" applyBorder="1" applyAlignment="1" applyProtection="1">
      <alignment horizontal="fill"/>
    </xf>
    <xf numFmtId="1" fontId="2" fillId="2" borderId="1" xfId="1" applyNumberFormat="1" applyFill="1" applyBorder="1" applyProtection="1"/>
    <xf numFmtId="1" fontId="21" fillId="2" borderId="1" xfId="1" applyNumberFormat="1" applyFont="1" applyFill="1" applyBorder="1" applyAlignment="1" applyProtection="1">
      <alignment horizontal="fill"/>
    </xf>
    <xf numFmtId="0" fontId="2" fillId="2" borderId="1" xfId="1" applyFill="1" applyBorder="1" applyAlignment="1" applyProtection="1">
      <alignment horizontal="fill"/>
    </xf>
    <xf numFmtId="1" fontId="1" fillId="0" borderId="1" xfId="2" applyNumberFormat="1" applyFont="1" applyBorder="1" applyProtection="1"/>
    <xf numFmtId="0" fontId="11" fillId="0" borderId="0" xfId="2" applyFont="1" applyProtection="1"/>
    <xf numFmtId="4" fontId="11" fillId="0" borderId="0" xfId="2" applyNumberFormat="1" applyFont="1" applyAlignment="1" applyProtection="1">
      <alignment vertical="top"/>
    </xf>
    <xf numFmtId="4" fontId="2" fillId="0" borderId="0" xfId="2" applyNumberFormat="1" applyAlignment="1" applyProtection="1">
      <alignment vertical="top"/>
    </xf>
    <xf numFmtId="0" fontId="2" fillId="0" borderId="0" xfId="2" applyAlignment="1" applyProtection="1">
      <alignment vertical="top"/>
    </xf>
    <xf numFmtId="0" fontId="8" fillId="0" borderId="0" xfId="2" applyFont="1" applyAlignment="1" applyProtection="1">
      <alignment vertical="top"/>
    </xf>
    <xf numFmtId="49" fontId="8" fillId="0" borderId="0" xfId="2" applyNumberFormat="1" applyFont="1" applyAlignment="1" applyProtection="1">
      <alignment wrapText="1"/>
    </xf>
    <xf numFmtId="171" fontId="11" fillId="0" borderId="0" xfId="2" applyNumberFormat="1" applyFont="1" applyAlignment="1" applyProtection="1">
      <alignment vertical="top"/>
    </xf>
    <xf numFmtId="4" fontId="2" fillId="0" borderId="0" xfId="1" applyNumberFormat="1" applyProtection="1"/>
    <xf numFmtId="4" fontId="21" fillId="0" borderId="0" xfId="2" applyNumberFormat="1" applyFont="1" applyProtection="1"/>
    <xf numFmtId="10" fontId="11" fillId="0" borderId="0" xfId="2" applyNumberFormat="1" applyFont="1" applyProtection="1"/>
    <xf numFmtId="4" fontId="2" fillId="0" borderId="0" xfId="2" applyNumberFormat="1" applyProtection="1"/>
    <xf numFmtId="49" fontId="8" fillId="0" borderId="0" xfId="2" applyNumberFormat="1" applyFont="1" applyProtection="1"/>
    <xf numFmtId="4" fontId="2" fillId="0" borderId="15" xfId="2" applyNumberFormat="1" applyBorder="1" applyProtection="1"/>
    <xf numFmtId="0" fontId="2" fillId="0" borderId="0" xfId="2" applyProtection="1"/>
    <xf numFmtId="0" fontId="11" fillId="0" borderId="0" xfId="2" applyFont="1" applyAlignment="1" applyProtection="1">
      <alignment vertical="top"/>
    </xf>
    <xf numFmtId="49" fontId="11" fillId="0" borderId="0" xfId="2" applyNumberFormat="1" applyFont="1" applyAlignment="1" applyProtection="1">
      <alignment wrapText="1"/>
    </xf>
    <xf numFmtId="9" fontId="2" fillId="0" borderId="0" xfId="2" applyNumberFormat="1" applyAlignment="1" applyProtection="1">
      <alignment vertical="top"/>
    </xf>
    <xf numFmtId="4" fontId="1" fillId="21" borderId="0" xfId="2" applyNumberFormat="1" applyFont="1" applyFill="1" applyAlignment="1" applyProtection="1">
      <alignment horizontal="center"/>
    </xf>
    <xf numFmtId="4" fontId="1" fillId="30" borderId="0" xfId="2" applyNumberFormat="1" applyFont="1" applyFill="1" applyAlignment="1" applyProtection="1">
      <alignment horizontal="center"/>
    </xf>
    <xf numFmtId="4" fontId="1" fillId="10" borderId="0" xfId="2" applyNumberFormat="1" applyFont="1" applyFill="1" applyAlignment="1" applyProtection="1">
      <alignment horizontal="center"/>
    </xf>
    <xf numFmtId="4" fontId="1" fillId="9" borderId="0" xfId="2" applyNumberFormat="1" applyFont="1" applyFill="1" applyAlignment="1" applyProtection="1">
      <alignment horizontal="center"/>
    </xf>
    <xf numFmtId="4" fontId="1" fillId="14" borderId="0" xfId="2" applyNumberFormat="1" applyFont="1" applyFill="1" applyAlignment="1" applyProtection="1">
      <alignment horizontal="center"/>
    </xf>
    <xf numFmtId="1" fontId="1" fillId="15" borderId="0" xfId="2" applyNumberFormat="1" applyFont="1" applyFill="1" applyAlignment="1" applyProtection="1">
      <alignment horizontal="center"/>
    </xf>
    <xf numFmtId="0" fontId="11" fillId="22" borderId="0" xfId="2" applyFont="1" applyFill="1" applyAlignment="1" applyProtection="1">
      <alignment vertical="top"/>
    </xf>
    <xf numFmtId="49" fontId="11" fillId="22" borderId="0" xfId="2" applyNumberFormat="1" applyFont="1" applyFill="1" applyAlignment="1" applyProtection="1">
      <alignment wrapText="1"/>
    </xf>
    <xf numFmtId="0" fontId="11" fillId="22" borderId="0" xfId="2" applyFont="1" applyFill="1" applyProtection="1"/>
    <xf numFmtId="171" fontId="11" fillId="22" borderId="0" xfId="2" applyNumberFormat="1" applyFont="1" applyFill="1" applyAlignment="1" applyProtection="1">
      <alignment vertical="top"/>
    </xf>
    <xf numFmtId="4" fontId="2" fillId="22" borderId="0" xfId="1" applyNumberFormat="1" applyFill="1" applyProtection="1"/>
    <xf numFmtId="4" fontId="2" fillId="22" borderId="0" xfId="2" applyNumberFormat="1" applyFill="1" applyProtection="1"/>
    <xf numFmtId="10" fontId="11" fillId="22" borderId="0" xfId="2" applyNumberFormat="1" applyFont="1" applyFill="1" applyProtection="1"/>
    <xf numFmtId="49" fontId="8" fillId="22" borderId="0" xfId="2" applyNumberFormat="1" applyFont="1" applyFill="1" applyProtection="1"/>
    <xf numFmtId="2" fontId="1" fillId="30" borderId="0" xfId="2" applyNumberFormat="1" applyFont="1" applyFill="1" applyAlignment="1" applyProtection="1">
      <alignment horizontal="right"/>
    </xf>
    <xf numFmtId="2" fontId="1" fillId="10" borderId="0" xfId="2" applyNumberFormat="1" applyFont="1" applyFill="1" applyAlignment="1" applyProtection="1">
      <alignment horizontal="right"/>
    </xf>
    <xf numFmtId="2" fontId="1" fillId="7" borderId="0" xfId="2" applyNumberFormat="1" applyFont="1" applyFill="1" applyAlignment="1" applyProtection="1">
      <alignment horizontal="right"/>
    </xf>
    <xf numFmtId="2" fontId="1" fillId="6" borderId="0" xfId="2" applyNumberFormat="1" applyFont="1" applyFill="1" applyAlignment="1" applyProtection="1">
      <alignment horizontal="right"/>
    </xf>
    <xf numFmtId="2" fontId="1" fillId="9" borderId="0" xfId="2" applyNumberFormat="1" applyFont="1" applyFill="1" applyAlignment="1" applyProtection="1">
      <alignment horizontal="right"/>
    </xf>
    <xf numFmtId="2" fontId="1" fillId="12" borderId="0" xfId="2" applyNumberFormat="1" applyFont="1" applyFill="1" applyAlignment="1" applyProtection="1">
      <alignment horizontal="right"/>
    </xf>
    <xf numFmtId="2" fontId="1" fillId="30" borderId="0" xfId="1" applyNumberFormat="1" applyFont="1" applyFill="1" applyAlignment="1" applyProtection="1">
      <alignment horizontal="right"/>
    </xf>
    <xf numFmtId="2" fontId="1" fillId="10" borderId="0" xfId="1" applyNumberFormat="1" applyFont="1" applyFill="1" applyAlignment="1" applyProtection="1">
      <alignment horizontal="right"/>
    </xf>
    <xf numFmtId="2" fontId="1" fillId="7" borderId="0" xfId="1" applyNumberFormat="1" applyFont="1" applyFill="1" applyAlignment="1" applyProtection="1">
      <alignment horizontal="right"/>
    </xf>
    <xf numFmtId="2" fontId="1" fillId="6" borderId="0" xfId="1" applyNumberFormat="1" applyFont="1" applyFill="1" applyAlignment="1" applyProtection="1">
      <alignment horizontal="right"/>
    </xf>
    <xf numFmtId="2" fontId="1" fillId="12" borderId="0" xfId="1" applyNumberFormat="1" applyFont="1" applyFill="1" applyAlignment="1" applyProtection="1">
      <alignment horizontal="right"/>
    </xf>
    <xf numFmtId="2" fontId="1" fillId="9" borderId="0" xfId="1" applyNumberFormat="1" applyFont="1" applyFill="1" applyAlignment="1" applyProtection="1">
      <alignment horizontal="right"/>
    </xf>
    <xf numFmtId="0" fontId="8" fillId="0" borderId="0" xfId="2" applyFont="1" applyProtection="1"/>
    <xf numFmtId="170" fontId="1" fillId="0" borderId="0" xfId="2" quotePrefix="1" applyNumberFormat="1" applyFont="1" applyAlignment="1" applyProtection="1">
      <alignment horizontal="left" vertical="top"/>
    </xf>
    <xf numFmtId="0" fontId="1" fillId="0" borderId="0" xfId="0" applyNumberFormat="1" applyFont="1" applyAlignment="1" applyProtection="1">
      <alignment horizontal="left"/>
    </xf>
    <xf numFmtId="2" fontId="2" fillId="0" borderId="0" xfId="2" applyNumberFormat="1" applyProtection="1"/>
    <xf numFmtId="169" fontId="2" fillId="0" borderId="0" xfId="1" applyNumberFormat="1" applyAlignment="1" applyProtection="1">
      <alignment vertical="top"/>
    </xf>
    <xf numFmtId="0" fontId="2" fillId="0" borderId="0" xfId="1" applyAlignment="1" applyProtection="1">
      <alignment vertical="top"/>
    </xf>
    <xf numFmtId="0" fontId="1" fillId="0" borderId="0" xfId="1" applyFont="1" applyAlignment="1" applyProtection="1">
      <alignment wrapText="1"/>
    </xf>
    <xf numFmtId="2" fontId="2" fillId="0" borderId="0" xfId="1" applyNumberFormat="1" applyProtection="1"/>
    <xf numFmtId="0" fontId="2" fillId="2" borderId="1" xfId="1" applyFill="1" applyBorder="1" applyProtection="1"/>
    <xf numFmtId="0" fontId="2" fillId="12" borderId="1" xfId="1" applyFill="1" applyBorder="1" applyProtection="1"/>
    <xf numFmtId="169" fontId="2" fillId="30" borderId="1" xfId="1" applyNumberFormat="1" applyFill="1" applyBorder="1" applyAlignment="1" applyProtection="1">
      <alignment horizontal="fill"/>
    </xf>
    <xf numFmtId="169" fontId="2" fillId="10" borderId="1" xfId="1" applyNumberFormat="1" applyFill="1" applyBorder="1" applyAlignment="1" applyProtection="1">
      <alignment horizontal="fill"/>
    </xf>
    <xf numFmtId="169" fontId="2" fillId="9" borderId="1" xfId="1" applyNumberFormat="1" applyFill="1" applyBorder="1" applyAlignment="1" applyProtection="1">
      <alignment horizontal="fill"/>
    </xf>
    <xf numFmtId="169" fontId="2" fillId="14" borderId="1" xfId="1" applyNumberFormat="1" applyFill="1" applyBorder="1" applyAlignment="1" applyProtection="1">
      <alignment horizontal="fill"/>
    </xf>
    <xf numFmtId="169" fontId="2" fillId="7" borderId="1" xfId="1" applyNumberFormat="1" applyFill="1" applyBorder="1" applyAlignment="1" applyProtection="1">
      <alignment horizontal="fill"/>
    </xf>
    <xf numFmtId="169" fontId="2" fillId="15" borderId="1" xfId="1" applyNumberFormat="1" applyFill="1" applyBorder="1" applyAlignment="1" applyProtection="1">
      <alignment horizontal="fill"/>
    </xf>
    <xf numFmtId="169" fontId="2" fillId="6" borderId="1" xfId="1" applyNumberFormat="1" applyFill="1" applyBorder="1" applyAlignment="1" applyProtection="1">
      <alignment horizontal="fill"/>
    </xf>
    <xf numFmtId="4" fontId="2" fillId="2" borderId="1" xfId="1" applyNumberFormat="1" applyFill="1" applyBorder="1" applyAlignment="1" applyProtection="1">
      <alignment horizontal="fill"/>
    </xf>
    <xf numFmtId="1" fontId="2" fillId="30" borderId="1" xfId="1" applyNumberFormat="1" applyFill="1" applyBorder="1" applyAlignment="1" applyProtection="1">
      <alignment horizontal="fill"/>
    </xf>
    <xf numFmtId="1" fontId="2" fillId="10" borderId="1" xfId="1" applyNumberFormat="1" applyFill="1" applyBorder="1" applyAlignment="1" applyProtection="1">
      <alignment horizontal="fill"/>
    </xf>
    <xf numFmtId="1" fontId="2" fillId="7" borderId="1" xfId="1" applyNumberFormat="1" applyFill="1" applyBorder="1" applyAlignment="1" applyProtection="1">
      <alignment horizontal="fill"/>
    </xf>
    <xf numFmtId="1" fontId="2" fillId="6" borderId="1" xfId="1" applyNumberFormat="1" applyFill="1" applyBorder="1" applyAlignment="1" applyProtection="1">
      <alignment horizontal="fill"/>
    </xf>
    <xf numFmtId="1" fontId="2" fillId="9" borderId="1" xfId="1" applyNumberFormat="1" applyFill="1" applyBorder="1" applyAlignment="1" applyProtection="1">
      <alignment horizontal="fill"/>
    </xf>
    <xf numFmtId="1" fontId="2" fillId="12" borderId="1" xfId="1" applyNumberFormat="1" applyFill="1" applyBorder="1" applyAlignment="1" applyProtection="1">
      <alignment horizontal="fill"/>
    </xf>
    <xf numFmtId="1" fontId="2" fillId="10" borderId="1" xfId="2" applyNumberFormat="1" applyFill="1" applyBorder="1" applyAlignment="1" applyProtection="1">
      <alignment horizontal="fill"/>
    </xf>
    <xf numFmtId="0" fontId="2" fillId="14" borderId="1" xfId="2" applyFill="1" applyBorder="1" applyAlignment="1" applyProtection="1">
      <alignment horizontal="fill"/>
    </xf>
    <xf numFmtId="0" fontId="2" fillId="7" borderId="1" xfId="2" applyFill="1" applyBorder="1" applyAlignment="1" applyProtection="1">
      <alignment horizontal="fill"/>
    </xf>
    <xf numFmtId="0" fontId="2" fillId="15" borderId="1" xfId="2" applyFill="1" applyBorder="1" applyAlignment="1" applyProtection="1">
      <alignment horizontal="fill"/>
    </xf>
    <xf numFmtId="0" fontId="2" fillId="6" borderId="1" xfId="2" applyFill="1" applyBorder="1" applyAlignment="1" applyProtection="1">
      <alignment horizontal="fill"/>
    </xf>
    <xf numFmtId="0" fontId="2" fillId="18" borderId="1" xfId="2" applyFill="1" applyBorder="1" applyAlignment="1" applyProtection="1">
      <alignment horizontal="fill"/>
    </xf>
    <xf numFmtId="0" fontId="2" fillId="9" borderId="1" xfId="2" applyFill="1" applyBorder="1" applyAlignment="1" applyProtection="1">
      <alignment horizontal="fill"/>
    </xf>
    <xf numFmtId="4" fontId="2" fillId="2" borderId="0" xfId="1" applyNumberFormat="1" applyFill="1" applyProtection="1"/>
    <xf numFmtId="4" fontId="2" fillId="12" borderId="0" xfId="1" applyNumberFormat="1" applyFill="1" applyProtection="1"/>
    <xf numFmtId="4" fontId="2" fillId="30" borderId="0" xfId="1" applyNumberFormat="1" applyFill="1" applyProtection="1"/>
    <xf numFmtId="4" fontId="2" fillId="10" borderId="0" xfId="1" applyNumberFormat="1" applyFill="1" applyProtection="1"/>
    <xf numFmtId="4" fontId="2" fillId="9" borderId="0" xfId="1" applyNumberFormat="1" applyFill="1" applyProtection="1"/>
    <xf numFmtId="4" fontId="2" fillId="14" borderId="0" xfId="1" applyNumberFormat="1" applyFill="1" applyProtection="1"/>
    <xf numFmtId="4" fontId="2" fillId="7" borderId="0" xfId="1" applyNumberFormat="1" applyFill="1" applyProtection="1"/>
    <xf numFmtId="4" fontId="2" fillId="15" borderId="0" xfId="1" applyNumberFormat="1" applyFill="1" applyProtection="1"/>
    <xf numFmtId="0" fontId="2" fillId="6" borderId="0" xfId="1" applyFill="1" applyProtection="1"/>
    <xf numFmtId="2" fontId="2" fillId="6" borderId="0" xfId="1" applyNumberFormat="1" applyFill="1" applyProtection="1"/>
    <xf numFmtId="4" fontId="1" fillId="2" borderId="0" xfId="1" applyNumberFormat="1" applyFont="1" applyFill="1" applyProtection="1"/>
    <xf numFmtId="4" fontId="2" fillId="6" borderId="0" xfId="1" applyNumberFormat="1" applyFill="1" applyProtection="1"/>
    <xf numFmtId="4" fontId="1" fillId="12" borderId="0" xfId="1" applyNumberFormat="1" applyFont="1" applyFill="1" applyProtection="1"/>
    <xf numFmtId="4" fontId="1" fillId="30" borderId="0" xfId="1" applyNumberFormat="1" applyFont="1" applyFill="1" applyProtection="1"/>
    <xf numFmtId="4" fontId="1" fillId="10" borderId="0" xfId="1" applyNumberFormat="1" applyFont="1" applyFill="1" applyProtection="1"/>
    <xf numFmtId="4" fontId="2" fillId="14" borderId="0" xfId="2" applyNumberFormat="1" applyFill="1" applyProtection="1"/>
    <xf numFmtId="4" fontId="2" fillId="7" borderId="0" xfId="2" applyNumberFormat="1" applyFill="1" applyProtection="1"/>
    <xf numFmtId="4" fontId="2" fillId="15" borderId="0" xfId="2" applyNumberFormat="1" applyFill="1" applyProtection="1"/>
    <xf numFmtId="4" fontId="2" fillId="6" borderId="0" xfId="2" applyNumberFormat="1" applyFill="1" applyProtection="1"/>
    <xf numFmtId="4" fontId="2" fillId="18" borderId="0" xfId="2" applyNumberFormat="1" applyFill="1" applyProtection="1"/>
    <xf numFmtId="4" fontId="2" fillId="9" borderId="0" xfId="2" applyNumberFormat="1" applyFill="1" applyProtection="1"/>
    <xf numFmtId="0" fontId="2" fillId="12" borderId="0" xfId="1" applyFill="1" applyProtection="1"/>
    <xf numFmtId="169" fontId="2" fillId="30" borderId="0" xfId="1" applyNumberFormat="1" applyFill="1" applyAlignment="1" applyProtection="1">
      <alignment horizontal="fill"/>
    </xf>
    <xf numFmtId="169" fontId="2" fillId="10" borderId="0" xfId="1" applyNumberFormat="1" applyFill="1" applyAlignment="1" applyProtection="1">
      <alignment horizontal="fill"/>
    </xf>
    <xf numFmtId="169" fontId="2" fillId="9" borderId="0" xfId="1" applyNumberFormat="1" applyFill="1" applyAlignment="1" applyProtection="1">
      <alignment horizontal="fill"/>
    </xf>
    <xf numFmtId="169" fontId="2" fillId="14" borderId="0" xfId="1" applyNumberFormat="1" applyFill="1" applyAlignment="1" applyProtection="1">
      <alignment horizontal="fill"/>
    </xf>
    <xf numFmtId="169" fontId="2" fillId="7" borderId="0" xfId="1" applyNumberFormat="1" applyFill="1" applyAlignment="1" applyProtection="1">
      <alignment horizontal="fill"/>
    </xf>
    <xf numFmtId="169" fontId="2" fillId="15" borderId="0" xfId="1" applyNumberFormat="1" applyFill="1" applyAlignment="1" applyProtection="1">
      <alignment horizontal="fill"/>
    </xf>
    <xf numFmtId="169" fontId="2" fillId="6" borderId="0" xfId="1" applyNumberFormat="1" applyFill="1" applyAlignment="1" applyProtection="1">
      <alignment horizontal="fill"/>
    </xf>
    <xf numFmtId="169" fontId="2" fillId="2" borderId="0" xfId="1" applyNumberFormat="1" applyFill="1" applyProtection="1"/>
    <xf numFmtId="1" fontId="2" fillId="2" borderId="0" xfId="1" applyNumberFormat="1" applyFill="1" applyAlignment="1" applyProtection="1">
      <alignment horizontal="fill"/>
    </xf>
    <xf numFmtId="0" fontId="2" fillId="2" borderId="0" xfId="1" applyFill="1" applyAlignment="1" applyProtection="1">
      <alignment horizontal="fill"/>
    </xf>
    <xf numFmtId="1" fontId="2" fillId="30" borderId="0" xfId="1" applyNumberFormat="1" applyFill="1" applyAlignment="1" applyProtection="1">
      <alignment horizontal="fill"/>
    </xf>
    <xf numFmtId="1" fontId="2" fillId="10" borderId="0" xfId="1" applyNumberFormat="1" applyFill="1" applyAlignment="1" applyProtection="1">
      <alignment horizontal="fill"/>
    </xf>
    <xf numFmtId="1" fontId="2" fillId="7" borderId="0" xfId="1" applyNumberFormat="1" applyFill="1" applyAlignment="1" applyProtection="1">
      <alignment horizontal="fill"/>
    </xf>
    <xf numFmtId="1" fontId="2" fillId="6" borderId="0" xfId="1" applyNumberFormat="1" applyFill="1" applyAlignment="1" applyProtection="1">
      <alignment horizontal="fill"/>
    </xf>
    <xf numFmtId="1" fontId="2" fillId="9" borderId="0" xfId="1" applyNumberFormat="1" applyFill="1" applyAlignment="1" applyProtection="1">
      <alignment horizontal="fill"/>
    </xf>
    <xf numFmtId="1" fontId="2" fillId="12" borderId="0" xfId="1" applyNumberFormat="1" applyFill="1" applyAlignment="1" applyProtection="1">
      <alignment horizontal="fill"/>
    </xf>
    <xf numFmtId="1" fontId="2" fillId="10" borderId="0" xfId="2" applyNumberFormat="1" applyFill="1" applyAlignment="1" applyProtection="1">
      <alignment horizontal="fill"/>
    </xf>
    <xf numFmtId="0" fontId="2" fillId="14" borderId="0" xfId="2" applyFill="1" applyAlignment="1" applyProtection="1">
      <alignment horizontal="fill"/>
    </xf>
    <xf numFmtId="0" fontId="2" fillId="7" borderId="0" xfId="2" applyFill="1" applyAlignment="1" applyProtection="1">
      <alignment horizontal="fill"/>
    </xf>
    <xf numFmtId="0" fontId="2" fillId="15" borderId="0" xfId="2" applyFill="1" applyAlignment="1" applyProtection="1">
      <alignment horizontal="fill"/>
    </xf>
    <xf numFmtId="0" fontId="2" fillId="6" borderId="0" xfId="2" applyFill="1" applyAlignment="1" applyProtection="1">
      <alignment horizontal="fill"/>
    </xf>
    <xf numFmtId="0" fontId="2" fillId="18" borderId="0" xfId="2" applyFill="1" applyAlignment="1" applyProtection="1">
      <alignment horizontal="fill"/>
    </xf>
    <xf numFmtId="0" fontId="2" fillId="9" borderId="0" xfId="2" applyFill="1" applyAlignment="1" applyProtection="1">
      <alignment horizontal="fill"/>
    </xf>
    <xf numFmtId="49" fontId="2" fillId="0" borderId="0" xfId="1" applyNumberFormat="1" applyAlignment="1" applyProtection="1">
      <alignment wrapText="1"/>
    </xf>
    <xf numFmtId="0" fontId="5" fillId="2" borderId="0" xfId="0" applyNumberFormat="1" applyFont="1" applyFill="1" applyProtection="1"/>
    <xf numFmtId="0" fontId="2" fillId="2" borderId="0" xfId="0" applyNumberFormat="1" applyFont="1" applyFill="1" applyProtection="1"/>
    <xf numFmtId="0" fontId="5" fillId="2" borderId="0" xfId="0" applyNumberFormat="1" applyFont="1" applyFill="1" applyAlignment="1" applyProtection="1">
      <alignment horizontal="right"/>
    </xf>
    <xf numFmtId="1" fontId="5" fillId="2" borderId="0" xfId="0" applyFont="1" applyFill="1" applyProtection="1"/>
    <xf numFmtId="1" fontId="5" fillId="2" borderId="0" xfId="0" applyFont="1" applyFill="1" applyAlignment="1" applyProtection="1">
      <alignment horizontal="right"/>
    </xf>
    <xf numFmtId="1" fontId="2" fillId="2" borderId="0" xfId="0" applyFont="1" applyFill="1" applyAlignment="1" applyProtection="1">
      <alignment horizontal="right"/>
    </xf>
    <xf numFmtId="168" fontId="5" fillId="2" borderId="0" xfId="0" applyNumberFormat="1" applyFont="1" applyFill="1" applyProtection="1"/>
    <xf numFmtId="0" fontId="1" fillId="2" borderId="0" xfId="0" applyNumberFormat="1" applyFont="1" applyFill="1" applyProtection="1"/>
    <xf numFmtId="168" fontId="1" fillId="2" borderId="0" xfId="0" applyNumberFormat="1" applyFont="1" applyFill="1" applyProtection="1"/>
    <xf numFmtId="0" fontId="5" fillId="2" borderId="4" xfId="0" applyNumberFormat="1" applyFont="1" applyFill="1" applyBorder="1" applyProtection="1"/>
    <xf numFmtId="168" fontId="5" fillId="2" borderId="4" xfId="0" applyNumberFormat="1" applyFont="1" applyFill="1" applyBorder="1" applyProtection="1"/>
    <xf numFmtId="168" fontId="1" fillId="2" borderId="4" xfId="0" applyNumberFormat="1" applyFont="1" applyFill="1" applyBorder="1" applyProtection="1"/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>
      <alignment horizontal="left" wrapText="1"/>
    </xf>
    <xf numFmtId="0" fontId="2" fillId="2" borderId="9" xfId="0" applyNumberFormat="1" applyFont="1" applyFill="1" applyBorder="1" applyAlignment="1" applyProtection="1">
      <alignment horizontal="left"/>
    </xf>
    <xf numFmtId="0" fontId="2" fillId="2" borderId="9" xfId="0" applyNumberFormat="1" applyFont="1" applyFill="1" applyBorder="1" applyAlignment="1" applyProtection="1">
      <alignment horizontal="left" wrapText="1"/>
    </xf>
    <xf numFmtId="0" fontId="2" fillId="2" borderId="9" xfId="0" applyNumberFormat="1" applyFont="1" applyFill="1" applyBorder="1" applyProtection="1"/>
    <xf numFmtId="2" fontId="2" fillId="2" borderId="9" xfId="0" applyNumberFormat="1" applyFont="1" applyFill="1" applyBorder="1" applyProtection="1"/>
    <xf numFmtId="4" fontId="2" fillId="2" borderId="9" xfId="0" applyNumberFormat="1" applyFont="1" applyFill="1" applyBorder="1" applyProtection="1"/>
    <xf numFmtId="2" fontId="2" fillId="2" borderId="0" xfId="0" applyNumberFormat="1" applyFont="1" applyFill="1" applyProtection="1"/>
    <xf numFmtId="0" fontId="5" fillId="2" borderId="0" xfId="0" applyNumberFormat="1" applyFont="1" applyFill="1" applyAlignment="1" applyProtection="1">
      <alignment horizontal="left"/>
    </xf>
    <xf numFmtId="2" fontId="5" fillId="2" borderId="0" xfId="0" applyNumberFormat="1" applyFont="1" applyFill="1" applyProtection="1"/>
    <xf numFmtId="0" fontId="24" fillId="2" borderId="0" xfId="7" applyFill="1" applyProtection="1"/>
    <xf numFmtId="0" fontId="24" fillId="29" borderId="15" xfId="7" applyFill="1" applyBorder="1" applyProtection="1"/>
    <xf numFmtId="0" fontId="25" fillId="29" borderId="0" xfId="7" applyFont="1" applyFill="1" applyProtection="1"/>
    <xf numFmtId="0" fontId="24" fillId="29" borderId="0" xfId="7" applyFill="1" applyProtection="1"/>
    <xf numFmtId="0" fontId="26" fillId="29" borderId="0" xfId="7" applyFont="1" applyFill="1" applyProtection="1"/>
    <xf numFmtId="0" fontId="27" fillId="2" borderId="28" xfId="7" applyFont="1" applyFill="1" applyBorder="1" applyAlignment="1" applyProtection="1">
      <alignment horizontal="center" vertical="center" wrapText="1"/>
    </xf>
    <xf numFmtId="0" fontId="28" fillId="2" borderId="28" xfId="7" applyFont="1" applyFill="1" applyBorder="1" applyProtection="1"/>
    <xf numFmtId="0" fontId="28" fillId="2" borderId="28" xfId="7" applyFont="1" applyFill="1" applyBorder="1" applyAlignment="1" applyProtection="1">
      <alignment horizontal="right"/>
    </xf>
    <xf numFmtId="0" fontId="25" fillId="2" borderId="28" xfId="7" applyFont="1" applyFill="1" applyBorder="1" applyAlignment="1" applyProtection="1">
      <alignment horizontal="right"/>
    </xf>
    <xf numFmtId="0" fontId="36" fillId="2" borderId="61" xfId="7" applyFont="1" applyFill="1" applyBorder="1" applyAlignment="1" applyProtection="1">
      <alignment horizontal="right"/>
    </xf>
    <xf numFmtId="0" fontId="29" fillId="2" borderId="0" xfId="7" applyFont="1" applyFill="1" applyProtection="1"/>
    <xf numFmtId="0" fontId="27" fillId="2" borderId="0" xfId="7" applyFont="1" applyFill="1" applyAlignment="1" applyProtection="1">
      <alignment horizontal="center" vertical="center" wrapText="1"/>
    </xf>
    <xf numFmtId="0" fontId="35" fillId="2" borderId="62" xfId="7" applyFont="1" applyFill="1" applyBorder="1" applyProtection="1"/>
    <xf numFmtId="0" fontId="35" fillId="2" borderId="63" xfId="7" applyFont="1" applyFill="1" applyBorder="1" applyProtection="1"/>
    <xf numFmtId="0" fontId="35" fillId="2" borderId="59" xfId="7" applyFont="1" applyFill="1" applyBorder="1" applyProtection="1"/>
    <xf numFmtId="0" fontId="35" fillId="2" borderId="60" xfId="7" applyFont="1" applyFill="1" applyBorder="1" applyProtection="1"/>
    <xf numFmtId="0" fontId="30" fillId="2" borderId="0" xfId="7" applyFont="1" applyFill="1" applyAlignment="1" applyProtection="1">
      <alignment horizontal="right"/>
    </xf>
    <xf numFmtId="0" fontId="31" fillId="2" borderId="0" xfId="7" applyFont="1" applyFill="1" applyProtection="1"/>
    <xf numFmtId="0" fontId="1" fillId="2" borderId="0" xfId="7" applyFont="1" applyFill="1" applyAlignment="1" applyProtection="1">
      <alignment horizontal="left"/>
    </xf>
    <xf numFmtId="0" fontId="1" fillId="2" borderId="29" xfId="7" applyFont="1" applyFill="1" applyBorder="1" applyAlignment="1" applyProtection="1">
      <alignment horizontal="right"/>
    </xf>
    <xf numFmtId="0" fontId="19" fillId="2" borderId="0" xfId="7" applyFont="1" applyFill="1" applyProtection="1"/>
    <xf numFmtId="14" fontId="1" fillId="2" borderId="30" xfId="7" applyNumberFormat="1" applyFont="1" applyFill="1" applyBorder="1" applyAlignment="1" applyProtection="1">
      <alignment horizontal="right"/>
    </xf>
    <xf numFmtId="0" fontId="1" fillId="2" borderId="30" xfId="7" applyFont="1" applyFill="1" applyBorder="1" applyAlignment="1" applyProtection="1">
      <alignment horizontal="right"/>
    </xf>
    <xf numFmtId="0" fontId="24" fillId="2" borderId="0" xfId="7" quotePrefix="1" applyFill="1" applyAlignment="1" applyProtection="1">
      <alignment horizontal="left"/>
    </xf>
    <xf numFmtId="0" fontId="24" fillId="2" borderId="31" xfId="7" applyFill="1" applyBorder="1" applyProtection="1"/>
    <xf numFmtId="0" fontId="19" fillId="2" borderId="31" xfId="7" applyFont="1" applyFill="1" applyBorder="1" applyProtection="1"/>
    <xf numFmtId="0" fontId="24" fillId="2" borderId="31" xfId="7" applyFill="1" applyBorder="1" applyAlignment="1" applyProtection="1">
      <alignment horizontal="right"/>
    </xf>
    <xf numFmtId="0" fontId="32" fillId="2" borderId="32" xfId="7" applyFont="1" applyFill="1" applyBorder="1" applyAlignment="1" applyProtection="1">
      <alignment horizontal="left"/>
    </xf>
    <xf numFmtId="0" fontId="32" fillId="2" borderId="33" xfId="7" applyFont="1" applyFill="1" applyBorder="1" applyAlignment="1" applyProtection="1">
      <alignment horizontal="left"/>
    </xf>
    <xf numFmtId="1" fontId="1" fillId="2" borderId="33" xfId="7" applyNumberFormat="1" applyFont="1" applyFill="1" applyBorder="1" applyAlignment="1" applyProtection="1">
      <alignment horizontal="left"/>
    </xf>
    <xf numFmtId="1" fontId="1" fillId="2" borderId="34" xfId="7" applyNumberFormat="1" applyFont="1" applyFill="1" applyBorder="1" applyAlignment="1" applyProtection="1">
      <alignment horizontal="left"/>
    </xf>
    <xf numFmtId="0" fontId="32" fillId="2" borderId="35" xfId="7" applyFont="1" applyFill="1" applyBorder="1" applyProtection="1"/>
    <xf numFmtId="0" fontId="32" fillId="2" borderId="36" xfId="7" applyFont="1" applyFill="1" applyBorder="1" applyProtection="1"/>
    <xf numFmtId="49" fontId="1" fillId="2" borderId="36" xfId="7" applyNumberFormat="1" applyFont="1" applyFill="1" applyBorder="1" applyAlignment="1" applyProtection="1">
      <alignment horizontal="left"/>
    </xf>
    <xf numFmtId="49" fontId="1" fillId="2" borderId="37" xfId="7" applyNumberFormat="1" applyFont="1" applyFill="1" applyBorder="1" applyAlignment="1" applyProtection="1">
      <alignment horizontal="left"/>
    </xf>
    <xf numFmtId="0" fontId="2" fillId="2" borderId="35" xfId="7" applyFont="1" applyFill="1" applyBorder="1" applyAlignment="1" applyProtection="1">
      <alignment vertical="center"/>
    </xf>
    <xf numFmtId="0" fontId="2" fillId="2" borderId="36" xfId="7" applyFont="1" applyFill="1" applyBorder="1" applyAlignment="1" applyProtection="1">
      <alignment vertical="center"/>
    </xf>
    <xf numFmtId="14" fontId="1" fillId="2" borderId="36" xfId="7" applyNumberFormat="1" applyFont="1" applyFill="1" applyBorder="1" applyAlignment="1" applyProtection="1">
      <alignment horizontal="center" vertical="center"/>
    </xf>
    <xf numFmtId="0" fontId="1" fillId="2" borderId="36" xfId="7" applyFont="1" applyFill="1" applyBorder="1" applyAlignment="1" applyProtection="1">
      <alignment horizontal="center" vertical="center"/>
    </xf>
    <xf numFmtId="14" fontId="1" fillId="2" borderId="37" xfId="7" applyNumberFormat="1" applyFont="1" applyFill="1" applyBorder="1" applyAlignment="1" applyProtection="1">
      <alignment horizontal="center" vertical="center"/>
    </xf>
    <xf numFmtId="0" fontId="32" fillId="2" borderId="35" xfId="7" applyFont="1" applyFill="1" applyBorder="1" applyAlignment="1" applyProtection="1">
      <alignment horizontal="left"/>
    </xf>
    <xf numFmtId="0" fontId="32" fillId="2" borderId="36" xfId="7" applyFont="1" applyFill="1" applyBorder="1" applyAlignment="1" applyProtection="1">
      <alignment horizontal="left"/>
    </xf>
    <xf numFmtId="0" fontId="1" fillId="2" borderId="36" xfId="7" applyFont="1" applyFill="1" applyBorder="1" applyAlignment="1" applyProtection="1">
      <alignment horizontal="center"/>
    </xf>
    <xf numFmtId="14" fontId="1" fillId="2" borderId="37" xfId="7" applyNumberFormat="1" applyFont="1" applyFill="1" applyBorder="1" applyAlignment="1" applyProtection="1">
      <alignment horizontal="center"/>
    </xf>
    <xf numFmtId="0" fontId="2" fillId="2" borderId="38" xfId="7" applyFont="1" applyFill="1" applyBorder="1" applyAlignment="1" applyProtection="1">
      <alignment vertical="center"/>
    </xf>
    <xf numFmtId="0" fontId="2" fillId="2" borderId="39" xfId="7" applyFont="1" applyFill="1" applyBorder="1" applyAlignment="1" applyProtection="1">
      <alignment horizontal="left" vertical="center"/>
    </xf>
    <xf numFmtId="0" fontId="1" fillId="2" borderId="39" xfId="7" applyFont="1" applyFill="1" applyBorder="1" applyAlignment="1" applyProtection="1">
      <alignment horizontal="center" vertical="center"/>
    </xf>
    <xf numFmtId="0" fontId="1" fillId="2" borderId="40" xfId="7" applyFont="1" applyFill="1" applyBorder="1" applyAlignment="1" applyProtection="1">
      <alignment horizontal="center" vertical="center"/>
    </xf>
    <xf numFmtId="0" fontId="28" fillId="2" borderId="41" xfId="7" applyFont="1" applyFill="1" applyBorder="1" applyAlignment="1" applyProtection="1">
      <alignment horizontal="center"/>
    </xf>
    <xf numFmtId="0" fontId="28" fillId="2" borderId="36" xfId="7" applyFont="1" applyFill="1" applyBorder="1" applyAlignment="1" applyProtection="1">
      <alignment horizontal="center"/>
    </xf>
    <xf numFmtId="0" fontId="28" fillId="2" borderId="42" xfId="7" applyFont="1" applyFill="1" applyBorder="1" applyAlignment="1" applyProtection="1">
      <alignment horizontal="center"/>
    </xf>
    <xf numFmtId="0" fontId="28" fillId="2" borderId="43" xfId="7" applyFont="1" applyFill="1" applyBorder="1" applyAlignment="1" applyProtection="1">
      <alignment horizontal="center"/>
    </xf>
    <xf numFmtId="0" fontId="1" fillId="2" borderId="44" xfId="7" applyFont="1" applyFill="1" applyBorder="1" applyAlignment="1" applyProtection="1">
      <alignment horizontal="center"/>
    </xf>
    <xf numFmtId="0" fontId="1" fillId="2" borderId="45" xfId="7" applyFont="1" applyFill="1" applyBorder="1" applyAlignment="1" applyProtection="1">
      <alignment horizontal="left"/>
    </xf>
    <xf numFmtId="0" fontId="1" fillId="2" borderId="48" xfId="7" applyFont="1" applyFill="1" applyBorder="1" applyAlignment="1" applyProtection="1">
      <alignment horizontal="center"/>
    </xf>
    <xf numFmtId="0" fontId="1" fillId="2" borderId="51" xfId="7" applyFont="1" applyFill="1" applyBorder="1" applyAlignment="1" applyProtection="1">
      <alignment horizontal="center"/>
    </xf>
    <xf numFmtId="0" fontId="1" fillId="2" borderId="52" xfId="7" applyFont="1" applyFill="1" applyBorder="1" applyAlignment="1" applyProtection="1">
      <alignment horizontal="left"/>
    </xf>
    <xf numFmtId="0" fontId="2" fillId="2" borderId="0" xfId="7" applyFont="1" applyFill="1" applyProtection="1"/>
    <xf numFmtId="0" fontId="2" fillId="2" borderId="0" xfId="7" quotePrefix="1" applyFont="1" applyFill="1" applyAlignment="1" applyProtection="1">
      <alignment horizontal="right"/>
    </xf>
    <xf numFmtId="0" fontId="33" fillId="2" borderId="0" xfId="7" applyFont="1" applyFill="1" applyAlignment="1" applyProtection="1">
      <alignment horizontal="left"/>
    </xf>
    <xf numFmtId="0" fontId="34" fillId="0" borderId="0" xfId="7" applyFont="1" applyAlignment="1" applyProtection="1">
      <alignment horizontal="left"/>
    </xf>
    <xf numFmtId="0" fontId="2" fillId="2" borderId="43" xfId="7" applyFont="1" applyFill="1" applyBorder="1" applyAlignment="1" applyProtection="1">
      <alignment horizontal="right"/>
    </xf>
    <xf numFmtId="0" fontId="1" fillId="2" borderId="0" xfId="7" applyFont="1" applyFill="1" applyProtection="1"/>
    <xf numFmtId="0" fontId="2" fillId="2" borderId="0" xfId="7" applyFont="1" applyFill="1" applyAlignment="1" applyProtection="1">
      <alignment horizontal="right"/>
    </xf>
    <xf numFmtId="0" fontId="2" fillId="0" borderId="54" xfId="7" quotePrefix="1" applyFont="1" applyBorder="1" applyAlignment="1" applyProtection="1">
      <alignment horizontal="center"/>
    </xf>
    <xf numFmtId="0" fontId="2" fillId="2" borderId="0" xfId="7" quotePrefix="1" applyFont="1" applyFill="1" applyProtection="1"/>
    <xf numFmtId="0" fontId="1" fillId="2" borderId="0" xfId="7" applyFont="1" applyFill="1" applyAlignment="1" applyProtection="1">
      <alignment horizontal="right"/>
    </xf>
    <xf numFmtId="0" fontId="24" fillId="2" borderId="28" xfId="7" applyFill="1" applyBorder="1" applyProtection="1"/>
    <xf numFmtId="0" fontId="19" fillId="2" borderId="0" xfId="7" applyFont="1" applyFill="1" applyAlignment="1" applyProtection="1">
      <alignment horizontal="center" vertical="center" wrapText="1"/>
    </xf>
    <xf numFmtId="0" fontId="24" fillId="0" borderId="0" xfId="7" applyAlignment="1" applyProtection="1">
      <alignment horizontal="center" vertical="center" wrapText="1"/>
    </xf>
    <xf numFmtId="0" fontId="24" fillId="0" borderId="0" xfId="7" applyAlignment="1" applyProtection="1">
      <alignment horizontal="center" vertical="center" wrapText="1"/>
    </xf>
    <xf numFmtId="0" fontId="24" fillId="29" borderId="64" xfId="7" applyFill="1" applyBorder="1" applyProtection="1"/>
    <xf numFmtId="1" fontId="2" fillId="2" borderId="0" xfId="2" applyNumberFormat="1" applyFill="1" applyProtection="1"/>
    <xf numFmtId="49" fontId="5" fillId="2" borderId="0" xfId="2" applyNumberFormat="1" applyFont="1" applyFill="1" applyProtection="1"/>
    <xf numFmtId="1" fontId="2" fillId="6" borderId="0" xfId="2" applyNumberFormat="1" applyFill="1" applyProtection="1"/>
    <xf numFmtId="0" fontId="2" fillId="6" borderId="0" xfId="2" applyFill="1" applyProtection="1"/>
    <xf numFmtId="0" fontId="2" fillId="9" borderId="0" xfId="2" applyFill="1" applyAlignment="1" applyProtection="1">
      <alignment horizontal="left"/>
    </xf>
    <xf numFmtId="0" fontId="2" fillId="9" borderId="0" xfId="2" applyFill="1" applyProtection="1"/>
    <xf numFmtId="10" fontId="11" fillId="0" borderId="0" xfId="1" applyNumberFormat="1" applyFont="1" applyProtection="1"/>
    <xf numFmtId="1" fontId="1" fillId="2" borderId="0" xfId="2" applyNumberFormat="1" applyFont="1" applyFill="1" applyProtection="1"/>
    <xf numFmtId="0" fontId="1" fillId="2" borderId="0" xfId="2" applyFont="1" applyFill="1" applyAlignment="1" applyProtection="1">
      <alignment horizontal="right"/>
    </xf>
    <xf numFmtId="0" fontId="11" fillId="2" borderId="0" xfId="2" applyFont="1" applyFill="1" applyProtection="1"/>
    <xf numFmtId="15" fontId="1" fillId="2" borderId="0" xfId="2" applyNumberFormat="1" applyFont="1" applyFill="1" applyAlignment="1" applyProtection="1">
      <alignment horizontal="right"/>
    </xf>
    <xf numFmtId="1" fontId="2" fillId="8" borderId="0" xfId="2" applyNumberFormat="1" applyFill="1" applyProtection="1"/>
    <xf numFmtId="1" fontId="2" fillId="8" borderId="0" xfId="2" applyNumberFormat="1" applyFill="1" applyAlignment="1" applyProtection="1">
      <alignment horizontal="center"/>
    </xf>
    <xf numFmtId="49" fontId="5" fillId="2" borderId="0" xfId="2" applyNumberFormat="1" applyFont="1" applyFill="1" applyAlignment="1" applyProtection="1">
      <alignment horizontal="fill"/>
    </xf>
    <xf numFmtId="0" fontId="2" fillId="6" borderId="0" xfId="2" applyFill="1" applyAlignment="1" applyProtection="1">
      <alignment horizontal="center"/>
    </xf>
    <xf numFmtId="49" fontId="5" fillId="2" borderId="0" xfId="2" applyNumberFormat="1" applyFont="1" applyFill="1" applyAlignment="1" applyProtection="1">
      <alignment horizontal="center"/>
    </xf>
    <xf numFmtId="0" fontId="2" fillId="12" borderId="15" xfId="2" applyFill="1" applyBorder="1" applyAlignment="1" applyProtection="1">
      <alignment horizontal="center"/>
    </xf>
    <xf numFmtId="0" fontId="2" fillId="30" borderId="0" xfId="0" applyNumberFormat="1" applyFont="1" applyFill="1" applyAlignment="1" applyProtection="1">
      <alignment horizontal="center"/>
    </xf>
    <xf numFmtId="0" fontId="2" fillId="10" borderId="0" xfId="0" applyNumberFormat="1" applyFont="1" applyFill="1" applyAlignment="1" applyProtection="1">
      <alignment horizontal="center"/>
    </xf>
    <xf numFmtId="1" fontId="2" fillId="7" borderId="0" xfId="1" applyNumberFormat="1" applyFill="1" applyAlignment="1" applyProtection="1">
      <alignment horizontal="center" vertical="top"/>
    </xf>
    <xf numFmtId="1" fontId="2" fillId="6" borderId="0" xfId="1" applyNumberFormat="1" applyFill="1" applyAlignment="1" applyProtection="1">
      <alignment horizontal="center" vertical="top"/>
    </xf>
    <xf numFmtId="0" fontId="2" fillId="9" borderId="0" xfId="1" applyFill="1" applyAlignment="1" applyProtection="1">
      <alignment horizontal="center"/>
    </xf>
    <xf numFmtId="1" fontId="1" fillId="2" borderId="0" xfId="2" applyNumberFormat="1" applyFont="1" applyFill="1" applyAlignment="1" applyProtection="1">
      <alignment horizontal="left"/>
    </xf>
    <xf numFmtId="1" fontId="2" fillId="12" borderId="15" xfId="2" applyNumberFormat="1" applyFill="1" applyBorder="1" applyAlignment="1" applyProtection="1">
      <alignment horizontal="center"/>
    </xf>
    <xf numFmtId="49" fontId="5" fillId="0" borderId="0" xfId="2" applyNumberFormat="1" applyFont="1" applyProtection="1"/>
    <xf numFmtId="49" fontId="5" fillId="7" borderId="0" xfId="2" applyNumberFormat="1" applyFont="1" applyFill="1" applyProtection="1"/>
    <xf numFmtId="49" fontId="5" fillId="6" borderId="0" xfId="2" applyNumberFormat="1" applyFont="1" applyFill="1" applyProtection="1"/>
    <xf numFmtId="49" fontId="5" fillId="9" borderId="0" xfId="2" applyNumberFormat="1" applyFont="1" applyFill="1" applyProtection="1"/>
    <xf numFmtId="1" fontId="2" fillId="2" borderId="1" xfId="2" applyNumberFormat="1" applyFill="1" applyBorder="1" applyProtection="1"/>
    <xf numFmtId="1" fontId="1" fillId="2" borderId="1" xfId="2" applyNumberFormat="1" applyFont="1" applyFill="1" applyBorder="1" applyProtection="1"/>
    <xf numFmtId="49" fontId="8" fillId="2" borderId="1" xfId="2" applyNumberFormat="1" applyFont="1" applyFill="1" applyBorder="1" applyProtection="1"/>
    <xf numFmtId="1" fontId="1" fillId="0" borderId="16" xfId="2" applyNumberFormat="1" applyFont="1" applyBorder="1" applyProtection="1"/>
    <xf numFmtId="169" fontId="2" fillId="0" borderId="0" xfId="2" applyNumberFormat="1" applyAlignment="1" applyProtection="1">
      <alignment vertical="top"/>
    </xf>
    <xf numFmtId="0" fontId="1" fillId="0" borderId="0" xfId="2" applyFont="1" applyAlignment="1" applyProtection="1">
      <alignment wrapText="1"/>
    </xf>
    <xf numFmtId="170" fontId="2" fillId="0" borderId="0" xfId="2" applyNumberFormat="1" applyProtection="1"/>
    <xf numFmtId="10" fontId="2" fillId="0" borderId="0" xfId="2" applyNumberFormat="1" applyProtection="1"/>
    <xf numFmtId="10" fontId="2" fillId="0" borderId="15" xfId="2" applyNumberFormat="1" applyBorder="1" applyProtection="1"/>
    <xf numFmtId="1" fontId="2" fillId="0" borderId="0" xfId="2" applyNumberFormat="1" applyProtection="1"/>
    <xf numFmtId="0" fontId="21" fillId="0" borderId="0" xfId="2" applyFont="1" applyAlignment="1" applyProtection="1">
      <alignment vertical="top"/>
    </xf>
    <xf numFmtId="1" fontId="18" fillId="0" borderId="0" xfId="0" applyFont="1" applyAlignment="1" applyProtection="1">
      <alignment vertical="top"/>
    </xf>
    <xf numFmtId="170" fontId="2" fillId="0" borderId="0" xfId="2" applyNumberFormat="1" applyAlignment="1" applyProtection="1">
      <alignment horizontal="right" vertical="top"/>
    </xf>
    <xf numFmtId="0" fontId="2" fillId="0" borderId="0" xfId="0" applyNumberFormat="1" applyFont="1" applyAlignment="1" applyProtection="1">
      <alignment horizontal="right" vertical="top"/>
    </xf>
    <xf numFmtId="170" fontId="2" fillId="0" borderId="0" xfId="0" applyNumberFormat="1" applyFont="1" applyAlignment="1" applyProtection="1">
      <alignment horizontal="right" vertical="top"/>
    </xf>
    <xf numFmtId="170" fontId="2" fillId="0" borderId="0" xfId="2" applyNumberFormat="1" applyAlignment="1" applyProtection="1">
      <alignment horizontal="center" vertical="top"/>
    </xf>
    <xf numFmtId="172" fontId="2" fillId="0" borderId="0" xfId="2" applyNumberFormat="1" applyAlignment="1" applyProtection="1">
      <alignment horizontal="right" vertical="top"/>
    </xf>
    <xf numFmtId="171" fontId="2" fillId="0" borderId="0" xfId="2" applyNumberFormat="1" applyAlignment="1" applyProtection="1">
      <alignment vertical="top"/>
    </xf>
    <xf numFmtId="4" fontId="2" fillId="0" borderId="0" xfId="1" applyNumberFormat="1" applyAlignment="1" applyProtection="1">
      <alignment vertical="top"/>
    </xf>
    <xf numFmtId="10" fontId="11" fillId="0" borderId="0" xfId="2" applyNumberFormat="1" applyFont="1" applyAlignment="1" applyProtection="1">
      <alignment vertical="top"/>
    </xf>
    <xf numFmtId="49" fontId="8" fillId="0" borderId="0" xfId="2" applyNumberFormat="1" applyFont="1" applyAlignment="1" applyProtection="1">
      <alignment vertical="top"/>
    </xf>
    <xf numFmtId="4" fontId="2" fillId="0" borderId="15" xfId="2" applyNumberFormat="1" applyBorder="1" applyAlignment="1" applyProtection="1">
      <alignment vertical="top"/>
    </xf>
    <xf numFmtId="0" fontId="2" fillId="0" borderId="0" xfId="2" applyAlignment="1" applyProtection="1">
      <alignment wrapText="1"/>
    </xf>
    <xf numFmtId="170" fontId="1" fillId="0" borderId="0" xfId="2" applyNumberFormat="1" applyFont="1" applyAlignment="1" applyProtection="1">
      <alignment horizontal="right" vertical="top"/>
    </xf>
    <xf numFmtId="10" fontId="11" fillId="0" borderId="0" xfId="0" applyNumberFormat="1" applyFont="1" applyAlignment="1" applyProtection="1">
      <alignment horizontal="right" vertical="top"/>
    </xf>
    <xf numFmtId="170" fontId="1" fillId="0" borderId="0" xfId="2" applyNumberFormat="1" applyFont="1" applyAlignment="1" applyProtection="1">
      <alignment horizontal="center"/>
    </xf>
    <xf numFmtId="170" fontId="2" fillId="0" borderId="0" xfId="2" applyNumberFormat="1" applyAlignment="1" applyProtection="1">
      <alignment horizontal="center"/>
    </xf>
    <xf numFmtId="170" fontId="11" fillId="0" borderId="0" xfId="2" applyNumberFormat="1" applyFont="1" applyAlignment="1" applyProtection="1">
      <alignment vertical="top"/>
    </xf>
    <xf numFmtId="49" fontId="12" fillId="0" borderId="0" xfId="2" applyNumberFormat="1" applyFont="1" applyAlignment="1" applyProtection="1">
      <alignment horizontal="left" vertical="top" wrapText="1"/>
    </xf>
    <xf numFmtId="171" fontId="4" fillId="0" borderId="0" xfId="2" applyNumberFormat="1" applyFont="1" applyProtection="1"/>
    <xf numFmtId="170" fontId="4" fillId="0" borderId="0" xfId="2" applyNumberFormat="1" applyFont="1" applyProtection="1"/>
    <xf numFmtId="2" fontId="4" fillId="0" borderId="0" xfId="1" applyNumberFormat="1" applyFont="1" applyProtection="1"/>
    <xf numFmtId="2" fontId="4" fillId="0" borderId="0" xfId="2" applyNumberFormat="1" applyFont="1" applyProtection="1"/>
    <xf numFmtId="10" fontId="4" fillId="0" borderId="0" xfId="2" applyNumberFormat="1" applyFont="1" applyProtection="1"/>
    <xf numFmtId="10" fontId="4" fillId="0" borderId="15" xfId="2" applyNumberFormat="1" applyFont="1" applyBorder="1" applyProtection="1"/>
    <xf numFmtId="0" fontId="4" fillId="0" borderId="0" xfId="2" applyFont="1" applyProtection="1"/>
    <xf numFmtId="0" fontId="4" fillId="0" borderId="0" xfId="1" applyFont="1" applyProtection="1"/>
    <xf numFmtId="1" fontId="4" fillId="0" borderId="0" xfId="1" applyNumberFormat="1" applyFont="1" applyProtection="1"/>
    <xf numFmtId="169" fontId="4" fillId="0" borderId="0" xfId="2" applyNumberFormat="1" applyFont="1" applyAlignment="1" applyProtection="1">
      <alignment vertical="top"/>
    </xf>
    <xf numFmtId="0" fontId="4" fillId="0" borderId="0" xfId="2" applyFont="1" applyAlignment="1" applyProtection="1">
      <alignment wrapText="1"/>
    </xf>
    <xf numFmtId="0" fontId="4" fillId="5" borderId="0" xfId="0" applyNumberFormat="1" applyFont="1" applyFill="1" applyProtection="1"/>
    <xf numFmtId="4" fontId="5" fillId="0" borderId="0" xfId="2" applyNumberFormat="1" applyFont="1" applyProtection="1"/>
    <xf numFmtId="4" fontId="5" fillId="0" borderId="0" xfId="2" applyNumberFormat="1" applyFont="1" applyAlignment="1" applyProtection="1">
      <alignment vertical="top"/>
    </xf>
    <xf numFmtId="0" fontId="1" fillId="0" borderId="0" xfId="2" applyFont="1" applyAlignment="1" applyProtection="1">
      <alignment horizontal="right" wrapText="1"/>
    </xf>
    <xf numFmtId="4" fontId="5" fillId="0" borderId="0" xfId="0" applyNumberFormat="1" applyFont="1" applyAlignment="1" applyProtection="1">
      <alignment horizontal="right"/>
    </xf>
    <xf numFmtId="10" fontId="5" fillId="0" borderId="0" xfId="2" applyNumberFormat="1" applyFont="1" applyProtection="1"/>
    <xf numFmtId="10" fontId="1" fillId="0" borderId="15" xfId="2" applyNumberFormat="1" applyFont="1" applyBorder="1" applyProtection="1"/>
    <xf numFmtId="2" fontId="1" fillId="0" borderId="0" xfId="2" applyNumberFormat="1" applyFont="1" applyProtection="1"/>
    <xf numFmtId="2" fontId="2" fillId="0" borderId="15" xfId="2" applyNumberFormat="1" applyBorder="1" applyProtection="1"/>
    <xf numFmtId="2" fontId="1" fillId="0" borderId="15" xfId="2" applyNumberFormat="1" applyFont="1" applyBorder="1" applyProtection="1"/>
    <xf numFmtId="0" fontId="2" fillId="2" borderId="1" xfId="2" applyFill="1" applyBorder="1" applyProtection="1"/>
    <xf numFmtId="0" fontId="2" fillId="30" borderId="1" xfId="2" applyFill="1" applyBorder="1" applyProtection="1"/>
    <xf numFmtId="169" fontId="2" fillId="30" borderId="1" xfId="2" applyNumberFormat="1" applyFill="1" applyBorder="1" applyAlignment="1" applyProtection="1">
      <alignment horizontal="fill"/>
    </xf>
    <xf numFmtId="0" fontId="2" fillId="12" borderId="1" xfId="2" applyFill="1" applyBorder="1" applyProtection="1"/>
    <xf numFmtId="169" fontId="2" fillId="10" borderId="1" xfId="2" applyNumberFormat="1" applyFill="1" applyBorder="1" applyAlignment="1" applyProtection="1">
      <alignment horizontal="fill"/>
    </xf>
    <xf numFmtId="169" fontId="2" fillId="9" borderId="1" xfId="2" applyNumberFormat="1" applyFill="1" applyBorder="1" applyAlignment="1" applyProtection="1">
      <alignment horizontal="fill"/>
    </xf>
    <xf numFmtId="169" fontId="2" fillId="14" borderId="1" xfId="2" applyNumberFormat="1" applyFill="1" applyBorder="1" applyAlignment="1" applyProtection="1">
      <alignment horizontal="fill"/>
    </xf>
    <xf numFmtId="169" fontId="2" fillId="7" borderId="1" xfId="2" applyNumberFormat="1" applyFill="1" applyBorder="1" applyAlignment="1" applyProtection="1">
      <alignment horizontal="fill"/>
    </xf>
    <xf numFmtId="169" fontId="2" fillId="15" borderId="1" xfId="2" applyNumberFormat="1" applyFill="1" applyBorder="1" applyAlignment="1" applyProtection="1">
      <alignment horizontal="fill"/>
    </xf>
    <xf numFmtId="169" fontId="2" fillId="6" borderId="1" xfId="2" applyNumberFormat="1" applyFill="1" applyBorder="1" applyAlignment="1" applyProtection="1">
      <alignment horizontal="fill"/>
    </xf>
    <xf numFmtId="169" fontId="2" fillId="2" borderId="1" xfId="2" applyNumberFormat="1" applyFill="1" applyBorder="1" applyProtection="1"/>
    <xf numFmtId="1" fontId="2" fillId="2" borderId="1" xfId="2" applyNumberFormat="1" applyFill="1" applyBorder="1" applyAlignment="1" applyProtection="1">
      <alignment horizontal="fill"/>
    </xf>
    <xf numFmtId="49" fontId="5" fillId="2" borderId="1" xfId="2" applyNumberFormat="1" applyFont="1" applyFill="1" applyBorder="1" applyAlignment="1" applyProtection="1">
      <alignment horizontal="fill"/>
    </xf>
    <xf numFmtId="2" fontId="2" fillId="30" borderId="1" xfId="2" applyNumberFormat="1" applyFill="1" applyBorder="1" applyAlignment="1" applyProtection="1">
      <alignment horizontal="fill"/>
    </xf>
    <xf numFmtId="2" fontId="2" fillId="10" borderId="1" xfId="2" applyNumberFormat="1" applyFill="1" applyBorder="1" applyAlignment="1" applyProtection="1">
      <alignment horizontal="fill"/>
    </xf>
    <xf numFmtId="2" fontId="2" fillId="7" borderId="1" xfId="2" applyNumberFormat="1" applyFill="1" applyBorder="1" applyAlignment="1" applyProtection="1">
      <alignment horizontal="fill"/>
    </xf>
    <xf numFmtId="2" fontId="2" fillId="6" borderId="1" xfId="2" applyNumberFormat="1" applyFill="1" applyBorder="1" applyAlignment="1" applyProtection="1">
      <alignment horizontal="fill"/>
    </xf>
    <xf numFmtId="2" fontId="2" fillId="9" borderId="1" xfId="2" applyNumberFormat="1" applyFill="1" applyBorder="1" applyAlignment="1" applyProtection="1">
      <alignment horizontal="fill"/>
    </xf>
    <xf numFmtId="2" fontId="2" fillId="12" borderId="1" xfId="2" applyNumberFormat="1" applyFill="1" applyBorder="1" applyAlignment="1" applyProtection="1">
      <alignment horizontal="fill"/>
    </xf>
    <xf numFmtId="1" fontId="2" fillId="12" borderId="16" xfId="2" applyNumberFormat="1" applyFill="1" applyBorder="1" applyAlignment="1" applyProtection="1">
      <alignment horizontal="fill"/>
    </xf>
    <xf numFmtId="1" fontId="2" fillId="12" borderId="1" xfId="2" applyNumberFormat="1" applyFill="1" applyBorder="1" applyAlignment="1" applyProtection="1">
      <alignment horizontal="fill"/>
    </xf>
    <xf numFmtId="1" fontId="2" fillId="30" borderId="1" xfId="2" applyNumberFormat="1" applyFill="1" applyBorder="1" applyAlignment="1" applyProtection="1">
      <alignment horizontal="fill"/>
    </xf>
    <xf numFmtId="0" fontId="2" fillId="30" borderId="1" xfId="2" applyFill="1" applyBorder="1" applyAlignment="1" applyProtection="1">
      <alignment horizontal="fill"/>
    </xf>
    <xf numFmtId="0" fontId="2" fillId="10" borderId="1" xfId="2" applyFill="1" applyBorder="1" applyAlignment="1" applyProtection="1">
      <alignment horizontal="fill"/>
    </xf>
    <xf numFmtId="0" fontId="2" fillId="12" borderId="1" xfId="2" applyFill="1" applyBorder="1" applyAlignment="1" applyProtection="1">
      <alignment horizontal="fill"/>
    </xf>
    <xf numFmtId="2" fontId="2" fillId="2" borderId="0" xfId="2" applyNumberFormat="1" applyFill="1" applyProtection="1"/>
    <xf numFmtId="4" fontId="2" fillId="30" borderId="0" xfId="2" applyNumberFormat="1" applyFill="1" applyProtection="1"/>
    <xf numFmtId="4" fontId="2" fillId="12" borderId="0" xfId="2" applyNumberFormat="1" applyFill="1" applyProtection="1"/>
    <xf numFmtId="4" fontId="2" fillId="10" borderId="0" xfId="2" applyNumberFormat="1" applyFill="1" applyProtection="1"/>
    <xf numFmtId="2" fontId="2" fillId="6" borderId="0" xfId="2" applyNumberFormat="1" applyFill="1" applyProtection="1"/>
    <xf numFmtId="4" fontId="1" fillId="2" borderId="0" xfId="2" applyNumberFormat="1" applyFont="1" applyFill="1" applyProtection="1"/>
    <xf numFmtId="2" fontId="1" fillId="2" borderId="0" xfId="2" applyNumberFormat="1" applyFont="1" applyFill="1" applyProtection="1"/>
    <xf numFmtId="4" fontId="1" fillId="12" borderId="15" xfId="2" applyNumberFormat="1" applyFont="1" applyFill="1" applyBorder="1" applyProtection="1"/>
    <xf numFmtId="4" fontId="1" fillId="30" borderId="0" xfId="2" applyNumberFormat="1" applyFont="1" applyFill="1" applyProtection="1"/>
    <xf numFmtId="4" fontId="1" fillId="10" borderId="0" xfId="2" applyNumberFormat="1" applyFont="1" applyFill="1" applyProtection="1"/>
    <xf numFmtId="0" fontId="2" fillId="30" borderId="0" xfId="2" applyFill="1" applyProtection="1"/>
    <xf numFmtId="169" fontId="2" fillId="30" borderId="0" xfId="2" applyNumberFormat="1" applyFill="1" applyAlignment="1" applyProtection="1">
      <alignment horizontal="fill"/>
    </xf>
    <xf numFmtId="0" fontId="2" fillId="12" borderId="0" xfId="2" applyFill="1" applyProtection="1"/>
    <xf numFmtId="169" fontId="2" fillId="10" borderId="0" xfId="2" applyNumberFormat="1" applyFill="1" applyAlignment="1" applyProtection="1">
      <alignment horizontal="fill"/>
    </xf>
    <xf numFmtId="169" fontId="2" fillId="9" borderId="0" xfId="2" applyNumberFormat="1" applyFill="1" applyAlignment="1" applyProtection="1">
      <alignment horizontal="fill"/>
    </xf>
    <xf numFmtId="169" fontId="2" fillId="14" borderId="0" xfId="2" applyNumberFormat="1" applyFill="1" applyAlignment="1" applyProtection="1">
      <alignment horizontal="fill"/>
    </xf>
    <xf numFmtId="169" fontId="2" fillId="7" borderId="0" xfId="2" applyNumberFormat="1" applyFill="1" applyAlignment="1" applyProtection="1">
      <alignment horizontal="fill"/>
    </xf>
    <xf numFmtId="169" fontId="2" fillId="15" borderId="0" xfId="2" applyNumberFormat="1" applyFill="1" applyAlignment="1" applyProtection="1">
      <alignment horizontal="fill"/>
    </xf>
    <xf numFmtId="169" fontId="2" fillId="6" borderId="0" xfId="2" applyNumberFormat="1" applyFill="1" applyAlignment="1" applyProtection="1">
      <alignment horizontal="fill"/>
    </xf>
    <xf numFmtId="1" fontId="2" fillId="2" borderId="0" xfId="2" applyNumberFormat="1" applyFill="1" applyAlignment="1" applyProtection="1">
      <alignment horizontal="fill"/>
    </xf>
    <xf numFmtId="1" fontId="2" fillId="30" borderId="0" xfId="2" applyNumberFormat="1" applyFill="1" applyAlignment="1" applyProtection="1">
      <alignment horizontal="fill"/>
    </xf>
    <xf numFmtId="1" fontId="2" fillId="7" borderId="0" xfId="2" applyNumberFormat="1" applyFill="1" applyAlignment="1" applyProtection="1">
      <alignment horizontal="fill"/>
    </xf>
    <xf numFmtId="1" fontId="2" fillId="6" borderId="0" xfId="2" applyNumberFormat="1" applyFill="1" applyAlignment="1" applyProtection="1">
      <alignment horizontal="fill"/>
    </xf>
    <xf numFmtId="1" fontId="2" fillId="9" borderId="0" xfId="2" applyNumberFormat="1" applyFill="1" applyAlignment="1" applyProtection="1">
      <alignment horizontal="fill"/>
    </xf>
    <xf numFmtId="1" fontId="2" fillId="12" borderId="0" xfId="2" applyNumberFormat="1" applyFill="1" applyAlignment="1" applyProtection="1">
      <alignment horizontal="fill"/>
    </xf>
    <xf numFmtId="1" fontId="2" fillId="12" borderId="15" xfId="2" applyNumberFormat="1" applyFill="1" applyBorder="1" applyAlignment="1" applyProtection="1">
      <alignment horizontal="fill"/>
    </xf>
    <xf numFmtId="0" fontId="2" fillId="30" borderId="0" xfId="2" applyFill="1" applyAlignment="1" applyProtection="1">
      <alignment horizontal="fill"/>
    </xf>
    <xf numFmtId="0" fontId="2" fillId="10" borderId="0" xfId="2" applyFill="1" applyAlignment="1" applyProtection="1">
      <alignment horizontal="fill"/>
    </xf>
    <xf numFmtId="0" fontId="2" fillId="12" borderId="0" xfId="2" applyFill="1" applyAlignment="1" applyProtection="1">
      <alignment horizontal="fill"/>
    </xf>
    <xf numFmtId="0" fontId="2" fillId="14" borderId="0" xfId="2" applyFill="1" applyProtection="1"/>
    <xf numFmtId="0" fontId="2" fillId="7" borderId="0" xfId="2" applyFill="1" applyProtection="1"/>
    <xf numFmtId="0" fontId="2" fillId="18" borderId="0" xfId="2" applyFill="1" applyProtection="1"/>
    <xf numFmtId="0" fontId="1" fillId="26" borderId="0" xfId="2" applyFont="1" applyFill="1" applyProtection="1"/>
    <xf numFmtId="1" fontId="2" fillId="26" borderId="0" xfId="2" applyNumberFormat="1" applyFill="1" applyProtection="1"/>
    <xf numFmtId="0" fontId="2" fillId="26" borderId="0" xfId="2" applyFill="1" applyProtection="1"/>
    <xf numFmtId="0" fontId="2" fillId="10" borderId="0" xfId="2" applyFill="1" applyProtection="1"/>
    <xf numFmtId="0" fontId="2" fillId="10" borderId="0" xfId="0" applyNumberFormat="1" applyFont="1" applyFill="1" applyProtection="1"/>
    <xf numFmtId="0" fontId="1" fillId="2" borderId="0" xfId="2" applyFont="1" applyFill="1" applyAlignment="1" applyProtection="1">
      <alignment horizontal="left"/>
    </xf>
    <xf numFmtId="1" fontId="2" fillId="19" borderId="0" xfId="2" applyNumberFormat="1" applyFill="1" applyAlignment="1" applyProtection="1">
      <alignment horizontal="center"/>
    </xf>
    <xf numFmtId="1" fontId="2" fillId="13" borderId="0" xfId="2" applyNumberFormat="1" applyFill="1" applyAlignment="1" applyProtection="1">
      <alignment horizontal="center"/>
    </xf>
    <xf numFmtId="0" fontId="2" fillId="16" borderId="0" xfId="2" applyFill="1" applyAlignment="1" applyProtection="1">
      <alignment horizontal="center"/>
    </xf>
    <xf numFmtId="1" fontId="2" fillId="0" borderId="0" xfId="2" applyNumberFormat="1" applyAlignment="1" applyProtection="1">
      <alignment horizontal="center"/>
    </xf>
    <xf numFmtId="49" fontId="11" fillId="0" borderId="0" xfId="2" applyNumberFormat="1" applyFont="1" applyAlignment="1" applyProtection="1">
      <alignment vertical="top" wrapText="1"/>
    </xf>
    <xf numFmtId="1" fontId="2" fillId="0" borderId="0" xfId="1" applyNumberFormat="1" applyAlignment="1" applyProtection="1">
      <alignment vertical="top"/>
    </xf>
    <xf numFmtId="4" fontId="5" fillId="0" borderId="0" xfId="0" applyNumberFormat="1" applyFont="1" applyAlignment="1" applyProtection="1">
      <alignment horizontal="right"/>
    </xf>
    <xf numFmtId="2" fontId="2" fillId="0" borderId="0" xfId="0" applyNumberFormat="1" applyFont="1" applyProtection="1"/>
    <xf numFmtId="169" fontId="2" fillId="2" borderId="0" xfId="2" applyNumberFormat="1" applyFill="1" applyProtection="1"/>
    <xf numFmtId="2" fontId="2" fillId="30" borderId="0" xfId="2" applyNumberFormat="1" applyFill="1" applyProtection="1"/>
    <xf numFmtId="2" fontId="2" fillId="10" borderId="0" xfId="2" applyNumberFormat="1" applyFill="1" applyProtection="1"/>
    <xf numFmtId="0" fontId="2" fillId="12" borderId="0" xfId="0" applyNumberFormat="1" applyFont="1" applyFill="1" applyProtection="1"/>
    <xf numFmtId="0" fontId="2" fillId="12" borderId="15" xfId="2" applyFill="1" applyBorder="1" applyProtection="1"/>
    <xf numFmtId="0" fontId="35" fillId="29" borderId="0" xfId="14" applyFont="1" applyAlignment="1" applyProtection="1">
      <alignment horizontal="left" vertical="center"/>
    </xf>
    <xf numFmtId="0" fontId="25" fillId="30" borderId="0" xfId="13" applyFont="1" applyFill="1" applyAlignment="1" applyProtection="1">
      <alignment horizontal="left" vertical="center"/>
    </xf>
    <xf numFmtId="168" fontId="25" fillId="30" borderId="0" xfId="13" applyNumberFormat="1" applyFont="1" applyFill="1" applyAlignment="1" applyProtection="1">
      <alignment horizontal="left" vertical="center"/>
    </xf>
    <xf numFmtId="0" fontId="25" fillId="30" borderId="0" xfId="13" applyNumberFormat="1" applyFont="1" applyFill="1" applyAlignment="1" applyProtection="1">
      <alignment horizontal="left" vertical="center"/>
    </xf>
    <xf numFmtId="0" fontId="25" fillId="0" borderId="0" xfId="13" applyFont="1" applyFill="1" applyBorder="1" applyAlignment="1" applyProtection="1">
      <alignment horizontal="left" vertical="center"/>
    </xf>
    <xf numFmtId="0" fontId="35" fillId="0" borderId="0" xfId="14" applyFont="1" applyFill="1" applyAlignment="1" applyProtection="1">
      <alignment horizontal="left" vertical="center"/>
    </xf>
    <xf numFmtId="0" fontId="47" fillId="30" borderId="0" xfId="13" applyFont="1" applyFill="1" applyAlignment="1" applyProtection="1">
      <alignment horizontal="right" vertical="center"/>
    </xf>
    <xf numFmtId="0" fontId="48" fillId="29" borderId="56" xfId="14" applyFont="1" applyBorder="1" applyAlignment="1" applyProtection="1">
      <alignment horizontal="left" vertical="center"/>
    </xf>
    <xf numFmtId="168" fontId="48" fillId="30" borderId="0" xfId="14" applyNumberFormat="1" applyFont="1" applyFill="1" applyAlignment="1" applyProtection="1">
      <alignment horizontal="left" vertical="center"/>
    </xf>
    <xf numFmtId="0" fontId="49" fillId="0" borderId="0" xfId="13" applyFont="1" applyFill="1" applyBorder="1" applyAlignment="1" applyProtection="1">
      <alignment horizontal="left" vertical="center"/>
    </xf>
    <xf numFmtId="9" fontId="25" fillId="0" borderId="0" xfId="13" applyNumberFormat="1" applyFont="1" applyFill="1" applyBorder="1" applyAlignment="1" applyProtection="1">
      <alignment horizontal="left" vertical="center"/>
    </xf>
    <xf numFmtId="10" fontId="28" fillId="0" borderId="0" xfId="13" applyNumberFormat="1" applyFont="1" applyFill="1" applyBorder="1" applyAlignment="1" applyProtection="1">
      <alignment horizontal="left" vertical="center"/>
    </xf>
    <xf numFmtId="10" fontId="25" fillId="0" borderId="0" xfId="13" applyNumberFormat="1" applyFont="1" applyFill="1" applyBorder="1" applyAlignment="1" applyProtection="1">
      <alignment horizontal="left" vertical="center"/>
    </xf>
    <xf numFmtId="0" fontId="48" fillId="29" borderId="57" xfId="14" applyFont="1" applyBorder="1" applyAlignment="1" applyProtection="1">
      <alignment horizontal="left" vertical="center"/>
    </xf>
    <xf numFmtId="14" fontId="48" fillId="29" borderId="57" xfId="14" applyNumberFormat="1" applyFont="1" applyBorder="1" applyAlignment="1" applyProtection="1">
      <alignment horizontal="left" vertical="center"/>
    </xf>
    <xf numFmtId="0" fontId="49" fillId="0" borderId="0" xfId="13" applyNumberFormat="1" applyFont="1" applyFill="1" applyBorder="1" applyAlignment="1" applyProtection="1">
      <alignment horizontal="left" vertical="center"/>
    </xf>
    <xf numFmtId="0" fontId="25" fillId="30" borderId="5" xfId="13" applyFont="1" applyFill="1" applyBorder="1" applyAlignment="1" applyProtection="1">
      <alignment horizontal="left" vertical="center"/>
    </xf>
    <xf numFmtId="0" fontId="35" fillId="30" borderId="0" xfId="14" applyFont="1" applyFill="1" applyAlignment="1" applyProtection="1">
      <alignment horizontal="left" vertical="center"/>
    </xf>
    <xf numFmtId="0" fontId="28" fillId="31" borderId="72" xfId="13" applyFont="1" applyFill="1" applyBorder="1" applyAlignment="1" applyProtection="1">
      <alignment horizontal="center" vertical="center"/>
    </xf>
    <xf numFmtId="0" fontId="28" fillId="31" borderId="73" xfId="13" applyFont="1" applyFill="1" applyBorder="1" applyAlignment="1" applyProtection="1">
      <alignment horizontal="center" vertical="center"/>
    </xf>
    <xf numFmtId="0" fontId="28" fillId="30" borderId="72" xfId="13" applyFont="1" applyFill="1" applyBorder="1" applyAlignment="1" applyProtection="1">
      <alignment horizontal="center" vertical="center"/>
    </xf>
    <xf numFmtId="0" fontId="28" fillId="30" borderId="73" xfId="13" applyFont="1" applyFill="1" applyBorder="1" applyAlignment="1" applyProtection="1">
      <alignment horizontal="center" vertical="center"/>
    </xf>
    <xf numFmtId="0" fontId="28" fillId="31" borderId="72" xfId="13" applyNumberFormat="1" applyFont="1" applyFill="1" applyBorder="1" applyAlignment="1" applyProtection="1">
      <alignment horizontal="center" vertical="center"/>
    </xf>
    <xf numFmtId="0" fontId="28" fillId="31" borderId="73" xfId="13" applyNumberFormat="1" applyFont="1" applyFill="1" applyBorder="1" applyAlignment="1" applyProtection="1">
      <alignment horizontal="center" vertical="center"/>
    </xf>
    <xf numFmtId="0" fontId="28" fillId="30" borderId="72" xfId="13" applyNumberFormat="1" applyFont="1" applyFill="1" applyBorder="1" applyAlignment="1" applyProtection="1">
      <alignment horizontal="center" vertical="center"/>
    </xf>
    <xf numFmtId="0" fontId="28" fillId="30" borderId="73" xfId="13" applyNumberFormat="1" applyFont="1" applyFill="1" applyBorder="1" applyAlignment="1" applyProtection="1">
      <alignment horizontal="center" vertical="center"/>
    </xf>
    <xf numFmtId="0" fontId="28" fillId="31" borderId="74" xfId="13" applyFont="1" applyFill="1" applyBorder="1" applyAlignment="1" applyProtection="1">
      <alignment horizontal="center" vertical="center"/>
    </xf>
    <xf numFmtId="0" fontId="28" fillId="32" borderId="72" xfId="13" applyFont="1" applyFill="1" applyBorder="1" applyAlignment="1" applyProtection="1">
      <alignment horizontal="center" vertical="center"/>
    </xf>
    <xf numFmtId="0" fontId="28" fillId="32" borderId="73" xfId="13" applyFont="1" applyFill="1" applyBorder="1" applyAlignment="1" applyProtection="1">
      <alignment horizontal="center" vertical="center"/>
    </xf>
    <xf numFmtId="0" fontId="25" fillId="33" borderId="0" xfId="14" applyFont="1" applyFill="1" applyAlignment="1" applyProtection="1">
      <alignment horizontal="left" vertical="center"/>
    </xf>
    <xf numFmtId="0" fontId="49" fillId="30" borderId="0" xfId="14" applyFont="1" applyFill="1" applyAlignment="1" applyProtection="1">
      <alignment horizontal="left" vertical="center"/>
    </xf>
    <xf numFmtId="0" fontId="49" fillId="30" borderId="75" xfId="14" applyFont="1" applyFill="1" applyBorder="1" applyAlignment="1" applyProtection="1">
      <alignment horizontal="left" vertical="center"/>
    </xf>
    <xf numFmtId="0" fontId="49" fillId="31" borderId="76" xfId="14" applyFont="1" applyFill="1" applyBorder="1" applyAlignment="1" applyProtection="1">
      <alignment horizontal="left" vertical="center"/>
    </xf>
    <xf numFmtId="168" fontId="49" fillId="31" borderId="77" xfId="14" applyNumberFormat="1" applyFont="1" applyFill="1" applyBorder="1" applyAlignment="1" applyProtection="1">
      <alignment horizontal="left" vertical="center"/>
    </xf>
    <xf numFmtId="0" fontId="49" fillId="30" borderId="15" xfId="14" applyFont="1" applyFill="1" applyBorder="1" applyAlignment="1" applyProtection="1">
      <alignment horizontal="left" vertical="center"/>
    </xf>
    <xf numFmtId="168" fontId="49" fillId="30" borderId="77" xfId="14" applyNumberFormat="1" applyFont="1" applyFill="1" applyBorder="1" applyAlignment="1" applyProtection="1">
      <alignment horizontal="left" vertical="center"/>
    </xf>
    <xf numFmtId="0" fontId="49" fillId="31" borderId="15" xfId="14" applyFont="1" applyFill="1" applyBorder="1" applyAlignment="1" applyProtection="1">
      <alignment horizontal="left" vertical="center"/>
    </xf>
    <xf numFmtId="0" fontId="28" fillId="32" borderId="15" xfId="13" applyFont="1" applyFill="1" applyBorder="1" applyAlignment="1" applyProtection="1">
      <alignment vertical="center"/>
    </xf>
    <xf numFmtId="0" fontId="28" fillId="32" borderId="13" xfId="13" applyFont="1" applyFill="1" applyBorder="1" applyAlignment="1" applyProtection="1">
      <alignment vertical="center"/>
    </xf>
    <xf numFmtId="0" fontId="49" fillId="0" borderId="0" xfId="14" applyFont="1" applyFill="1" applyAlignment="1" applyProtection="1">
      <alignment horizontal="left" vertical="center"/>
    </xf>
    <xf numFmtId="0" fontId="25" fillId="0" borderId="0" xfId="14" applyFont="1" applyFill="1" applyAlignment="1" applyProtection="1">
      <alignment horizontal="left" vertical="center"/>
    </xf>
    <xf numFmtId="0" fontId="19" fillId="29" borderId="0" xfId="14" applyFont="1" applyAlignment="1" applyProtection="1">
      <alignment horizontal="left" vertical="center"/>
    </xf>
    <xf numFmtId="168" fontId="19" fillId="29" borderId="0" xfId="14" applyNumberFormat="1" applyFont="1" applyAlignment="1" applyProtection="1">
      <alignment horizontal="left" vertical="center"/>
    </xf>
    <xf numFmtId="168" fontId="19" fillId="0" borderId="0" xfId="14" applyNumberFormat="1" applyFont="1" applyFill="1" applyAlignment="1" applyProtection="1">
      <alignment horizontal="left" vertical="center"/>
    </xf>
    <xf numFmtId="0" fontId="19" fillId="0" borderId="0" xfId="14" applyFont="1" applyFill="1" applyAlignment="1" applyProtection="1">
      <alignment horizontal="left" vertical="center"/>
    </xf>
    <xf numFmtId="0" fontId="28" fillId="0" borderId="0" xfId="14" applyFont="1" applyFill="1" applyAlignment="1" applyProtection="1">
      <alignment horizontal="left" vertical="center"/>
    </xf>
  </cellXfs>
  <cellStyles count="15">
    <cellStyle name="Comma 6" xfId="11" xr:uid="{00000000-0005-0000-0000-000000000000}"/>
    <cellStyle name="Currency" xfId="9" builtinId="4"/>
    <cellStyle name="Currency 2" xfId="8" xr:uid="{00000000-0005-0000-0000-000002000000}"/>
    <cellStyle name="Followed Hyperlink" xfId="6" builtinId="9" customBuiltin="1"/>
    <cellStyle name="Hyperlink" xfId="3" builtinId="8" customBuiltin="1"/>
    <cellStyle name="Normal" xfId="0" builtinId="0"/>
    <cellStyle name="Normal 2" xfId="5" xr:uid="{00000000-0005-0000-0000-000006000000}"/>
    <cellStyle name="Normal 2 3" xfId="12" xr:uid="{00000000-0005-0000-0000-000007000000}"/>
    <cellStyle name="Normal 3" xfId="7" xr:uid="{00000000-0005-0000-0000-000008000000}"/>
    <cellStyle name="Normal 3 2" xfId="14" xr:uid="{6E661002-2432-4C81-B09D-BA38A536ACA2}"/>
    <cellStyle name="Normal 8" xfId="10" xr:uid="{00000000-0005-0000-0000-000009000000}"/>
    <cellStyle name="Normal_1" xfId="1" xr:uid="{00000000-0005-0000-0000-00000A000000}"/>
    <cellStyle name="Normal_2" xfId="2" xr:uid="{00000000-0005-0000-0000-00000B000000}"/>
    <cellStyle name="Percent" xfId="4" builtinId="5"/>
    <cellStyle name="Title" xfId="13" builtinId="15"/>
  </cellStyles>
  <dxfs count="4">
    <dxf>
      <fill>
        <patternFill>
          <bgColor theme="7" tint="0.39994506668294322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>
        <top style="dotted">
          <color auto="1"/>
        </top>
        <bottom style="dotted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ill>
        <patternFill>
          <bgColor theme="7" tint="0.59996337778862885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</dxfs>
  <tableStyles count="0" defaultTableStyle="TableStyleMedium9" defaultPivotStyle="PivotStyleLight16"/>
  <colors>
    <mruColors>
      <color rgb="FF0000FF"/>
      <color rgb="FF00CCFF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</xdr:colOff>
          <xdr:row>36</xdr:row>
          <xdr:rowOff>190500</xdr:rowOff>
        </xdr:from>
        <xdr:to>
          <xdr:col>9</xdr:col>
          <xdr:colOff>76200</xdr:colOff>
          <xdr:row>38</xdr:row>
          <xdr:rowOff>15240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</xdr:colOff>
          <xdr:row>37</xdr:row>
          <xdr:rowOff>190500</xdr:rowOff>
        </xdr:from>
        <xdr:to>
          <xdr:col>9</xdr:col>
          <xdr:colOff>76200</xdr:colOff>
          <xdr:row>39</xdr:row>
          <xdr:rowOff>15240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</xdr:colOff>
          <xdr:row>38</xdr:row>
          <xdr:rowOff>175260</xdr:rowOff>
        </xdr:from>
        <xdr:to>
          <xdr:col>9</xdr:col>
          <xdr:colOff>76200</xdr:colOff>
          <xdr:row>40</xdr:row>
          <xdr:rowOff>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320040</xdr:colOff>
          <xdr:row>37</xdr:row>
          <xdr:rowOff>0</xdr:rowOff>
        </xdr:from>
        <xdr:to>
          <xdr:col>7</xdr:col>
          <xdr:colOff>624840</xdr:colOff>
          <xdr:row>38</xdr:row>
          <xdr:rowOff>22860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320040</xdr:colOff>
          <xdr:row>38</xdr:row>
          <xdr:rowOff>0</xdr:rowOff>
        </xdr:from>
        <xdr:to>
          <xdr:col>7</xdr:col>
          <xdr:colOff>624840</xdr:colOff>
          <xdr:row>39</xdr:row>
          <xdr:rowOff>22860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320040</xdr:colOff>
          <xdr:row>38</xdr:row>
          <xdr:rowOff>175260</xdr:rowOff>
        </xdr:from>
        <xdr:to>
          <xdr:col>7</xdr:col>
          <xdr:colOff>624840</xdr:colOff>
          <xdr:row>40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190500</xdr:rowOff>
        </xdr:from>
        <xdr:to>
          <xdr:col>9</xdr:col>
          <xdr:colOff>60960</xdr:colOff>
          <xdr:row>3</xdr:row>
          <xdr:rowOff>205740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228600</xdr:rowOff>
        </xdr:from>
        <xdr:to>
          <xdr:col>9</xdr:col>
          <xdr:colOff>60960</xdr:colOff>
          <xdr:row>3</xdr:row>
          <xdr:rowOff>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472440</xdr:colOff>
          <xdr:row>1</xdr:row>
          <xdr:rowOff>76200</xdr:rowOff>
        </xdr:from>
        <xdr:to>
          <xdr:col>8</xdr:col>
          <xdr:colOff>762000</xdr:colOff>
          <xdr:row>2</xdr:row>
          <xdr:rowOff>137160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P&amp;G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</xdr:row>
          <xdr:rowOff>76200</xdr:rowOff>
        </xdr:from>
        <xdr:to>
          <xdr:col>10</xdr:col>
          <xdr:colOff>762000</xdr:colOff>
          <xdr:row>2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P&amp;G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04%20Tenders\3801-3900\3852%20Fresh%20Choice%20Roslyn%20Refurbishment\3852%20Pricing\Invoiceboo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RY"/>
      <sheetName val="0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zBlankInv"/>
      <sheetName val="zSumryRow"/>
    </sheetNames>
    <sheetDataSet>
      <sheetData sheetId="0">
        <row r="59">
          <cell r="L59">
            <v>59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AD3EC-487B-48D6-96EA-95FB0FEDD5DE}">
  <sheetPr codeName="Sheet13"/>
  <dimension ref="B2:O43"/>
  <sheetViews>
    <sheetView workbookViewId="0">
      <selection activeCell="E18" sqref="E18"/>
    </sheetView>
  </sheetViews>
  <sheetFormatPr defaultColWidth="7.26953125" defaultRowHeight="13.8"/>
  <cols>
    <col min="1" max="1" width="2.90625" style="430" customWidth="1"/>
    <col min="2" max="2" width="15.90625" style="430" customWidth="1"/>
    <col min="3" max="8" width="20.453125" style="430" customWidth="1"/>
    <col min="9" max="9" width="2.6328125" style="430" customWidth="1"/>
    <col min="10" max="10" width="14" style="430" customWidth="1"/>
    <col min="11" max="14" width="7.26953125" style="430"/>
    <col min="15" max="15" width="22.7265625" style="430" customWidth="1"/>
    <col min="16" max="16384" width="7.26953125" style="430"/>
  </cols>
  <sheetData>
    <row r="2" spans="2:15" ht="15" customHeight="1">
      <c r="B2" s="427" t="s">
        <v>498</v>
      </c>
      <c r="C2" s="428"/>
      <c r="D2" s="428"/>
      <c r="E2" s="428"/>
      <c r="F2" s="428"/>
      <c r="G2" s="428"/>
      <c r="H2" s="429"/>
      <c r="J2" s="431" t="s">
        <v>55</v>
      </c>
      <c r="K2" s="432"/>
      <c r="L2" s="432"/>
      <c r="M2" s="432"/>
      <c r="N2" s="432"/>
      <c r="O2" s="433"/>
    </row>
    <row r="3" spans="2:15" ht="17.399999999999999">
      <c r="B3" s="434" t="s">
        <v>95</v>
      </c>
      <c r="C3" s="435" t="s">
        <v>471</v>
      </c>
      <c r="D3" s="436" t="s">
        <v>499</v>
      </c>
      <c r="E3" s="437"/>
      <c r="F3" s="438" t="s">
        <v>514</v>
      </c>
      <c r="G3" s="439"/>
      <c r="H3" s="440"/>
      <c r="J3" s="441" t="str">
        <f>IF(ISBLANK(D6)," ",D6)</f>
        <v>Sub1</v>
      </c>
      <c r="K3" s="442"/>
      <c r="L3" s="442"/>
      <c r="M3" s="442"/>
      <c r="N3" s="442"/>
      <c r="O3" s="443"/>
    </row>
    <row r="4" spans="2:15" ht="15.75" customHeight="1">
      <c r="B4" s="434" t="s">
        <v>500</v>
      </c>
      <c r="C4" s="444">
        <v>0</v>
      </c>
      <c r="D4" s="444"/>
      <c r="E4" s="444"/>
      <c r="F4" s="445"/>
      <c r="G4" s="434" t="s">
        <v>501</v>
      </c>
      <c r="H4" s="446" t="s">
        <v>436</v>
      </c>
      <c r="J4" s="447"/>
      <c r="K4" s="448"/>
      <c r="L4" s="448"/>
      <c r="M4" s="448"/>
      <c r="N4" s="448"/>
      <c r="O4" s="449"/>
    </row>
    <row r="5" spans="2:15" ht="17.399999999999999">
      <c r="B5" s="450"/>
      <c r="C5" s="450"/>
      <c r="D5" s="427"/>
      <c r="E5" s="428"/>
      <c r="F5" s="428"/>
      <c r="G5" s="428"/>
      <c r="H5" s="429"/>
      <c r="J5" s="451"/>
      <c r="K5" s="452"/>
      <c r="L5" s="452"/>
      <c r="M5" s="452"/>
      <c r="N5" s="452"/>
      <c r="O5" s="453"/>
    </row>
    <row r="6" spans="2:15" ht="15.6">
      <c r="B6" s="434"/>
      <c r="C6" s="434" t="s">
        <v>502</v>
      </c>
      <c r="D6" s="454" t="s">
        <v>503</v>
      </c>
      <c r="E6" s="454" t="s">
        <v>504</v>
      </c>
      <c r="F6" s="454" t="s">
        <v>505</v>
      </c>
      <c r="G6" s="454" t="s">
        <v>506</v>
      </c>
      <c r="H6" s="454" t="s">
        <v>507</v>
      </c>
      <c r="J6" s="451"/>
      <c r="K6" s="452"/>
      <c r="L6" s="452"/>
      <c r="M6" s="452"/>
      <c r="N6" s="452"/>
      <c r="O6" s="453"/>
    </row>
    <row r="7" spans="2:15" ht="13.5" customHeight="1">
      <c r="B7" s="455" t="s">
        <v>508</v>
      </c>
      <c r="C7" s="456" t="s">
        <v>509</v>
      </c>
      <c r="D7" s="456" t="s">
        <v>509</v>
      </c>
      <c r="E7" s="456" t="s">
        <v>509</v>
      </c>
      <c r="F7" s="456" t="s">
        <v>509</v>
      </c>
      <c r="G7" s="456" t="s">
        <v>509</v>
      </c>
      <c r="H7" s="456" t="s">
        <v>509</v>
      </c>
      <c r="J7" s="451"/>
      <c r="K7" s="452"/>
      <c r="L7" s="452"/>
      <c r="M7" s="452"/>
      <c r="N7" s="452"/>
      <c r="O7" s="453"/>
    </row>
    <row r="8" spans="2:15" ht="15" customHeight="1">
      <c r="B8" s="457"/>
      <c r="C8" s="458"/>
      <c r="D8" s="458"/>
      <c r="E8" s="458"/>
      <c r="F8" s="458"/>
      <c r="G8" s="458"/>
      <c r="H8" s="458"/>
      <c r="J8" s="451"/>
      <c r="K8" s="452"/>
      <c r="L8" s="452"/>
      <c r="M8" s="452"/>
      <c r="N8" s="452"/>
      <c r="O8" s="453"/>
    </row>
    <row r="9" spans="2:15" ht="15" customHeight="1">
      <c r="B9" s="457"/>
      <c r="C9" s="458"/>
      <c r="D9" s="458"/>
      <c r="E9" s="458"/>
      <c r="F9" s="458"/>
      <c r="G9" s="458"/>
      <c r="H9" s="458"/>
      <c r="J9" s="451"/>
      <c r="K9" s="452"/>
      <c r="L9" s="452"/>
      <c r="M9" s="452"/>
      <c r="N9" s="452"/>
      <c r="O9" s="453"/>
    </row>
    <row r="10" spans="2:15" ht="15" customHeight="1">
      <c r="B10" s="459"/>
      <c r="C10" s="458"/>
      <c r="D10" s="458"/>
      <c r="E10" s="458"/>
      <c r="F10" s="458"/>
      <c r="G10" s="458"/>
      <c r="H10" s="458"/>
      <c r="J10" s="451"/>
      <c r="K10" s="452"/>
      <c r="L10" s="452"/>
      <c r="M10" s="452"/>
      <c r="N10" s="452"/>
      <c r="O10" s="453"/>
    </row>
    <row r="11" spans="2:15" ht="15" customHeight="1">
      <c r="B11" s="460" t="s">
        <v>510</v>
      </c>
      <c r="C11" s="461" t="s">
        <v>511</v>
      </c>
      <c r="D11" s="462"/>
      <c r="E11" s="462"/>
      <c r="F11" s="462"/>
      <c r="G11" s="462"/>
      <c r="H11" s="463"/>
      <c r="J11" s="441" t="str">
        <f>IF(ISBLANK(E6)," ",E6)</f>
        <v>Sub2</v>
      </c>
      <c r="K11" s="442"/>
      <c r="L11" s="442"/>
      <c r="M11" s="442"/>
      <c r="N11" s="442"/>
      <c r="O11" s="443"/>
    </row>
    <row r="12" spans="2:15" ht="15.6">
      <c r="B12" s="464"/>
      <c r="C12" s="465" t="s">
        <v>511</v>
      </c>
      <c r="D12" s="466"/>
      <c r="E12" s="466"/>
      <c r="F12" s="466"/>
      <c r="G12" s="466"/>
      <c r="H12" s="467"/>
      <c r="J12" s="447"/>
      <c r="K12" s="448"/>
      <c r="L12" s="448"/>
      <c r="M12" s="448"/>
      <c r="N12" s="448"/>
      <c r="O12" s="449"/>
    </row>
    <row r="13" spans="2:15" ht="15.6">
      <c r="B13" s="464"/>
      <c r="C13" s="465" t="s">
        <v>511</v>
      </c>
      <c r="D13" s="466"/>
      <c r="E13" s="466"/>
      <c r="F13" s="466"/>
      <c r="G13" s="466"/>
      <c r="H13" s="467"/>
      <c r="J13" s="451"/>
      <c r="K13" s="452"/>
      <c r="L13" s="452"/>
      <c r="M13" s="452"/>
      <c r="N13" s="452"/>
      <c r="O13" s="453"/>
    </row>
    <row r="14" spans="2:15" ht="13.5" customHeight="1">
      <c r="B14" s="464"/>
      <c r="C14" s="465" t="s">
        <v>511</v>
      </c>
      <c r="D14" s="466"/>
      <c r="E14" s="466"/>
      <c r="F14" s="466"/>
      <c r="G14" s="466"/>
      <c r="H14" s="467"/>
      <c r="J14" s="451"/>
      <c r="K14" s="452"/>
      <c r="L14" s="452"/>
      <c r="M14" s="452"/>
      <c r="N14" s="452"/>
      <c r="O14" s="453"/>
    </row>
    <row r="15" spans="2:15" ht="15.6">
      <c r="B15" s="464"/>
      <c r="C15" s="465" t="s">
        <v>511</v>
      </c>
      <c r="D15" s="466"/>
      <c r="E15" s="466"/>
      <c r="F15" s="466"/>
      <c r="G15" s="466"/>
      <c r="H15" s="467"/>
      <c r="J15" s="451"/>
      <c r="K15" s="452"/>
      <c r="L15" s="452"/>
      <c r="M15" s="452"/>
      <c r="N15" s="452"/>
      <c r="O15" s="453"/>
    </row>
    <row r="16" spans="2:15" ht="15.6">
      <c r="B16" s="464"/>
      <c r="C16" s="465" t="s">
        <v>511</v>
      </c>
      <c r="D16" s="466"/>
      <c r="E16" s="466"/>
      <c r="F16" s="466"/>
      <c r="G16" s="466"/>
      <c r="H16" s="467"/>
      <c r="J16" s="451"/>
      <c r="K16" s="452"/>
      <c r="L16" s="452"/>
      <c r="M16" s="452"/>
      <c r="N16" s="452"/>
      <c r="O16" s="453"/>
    </row>
    <row r="17" spans="2:15" ht="15.6">
      <c r="B17" s="464"/>
      <c r="C17" s="465" t="s">
        <v>511</v>
      </c>
      <c r="D17" s="466"/>
      <c r="E17" s="466"/>
      <c r="F17" s="466"/>
      <c r="G17" s="466"/>
      <c r="H17" s="467"/>
      <c r="J17" s="451"/>
      <c r="K17" s="452"/>
      <c r="L17" s="452"/>
      <c r="M17" s="452"/>
      <c r="N17" s="452"/>
      <c r="O17" s="453"/>
    </row>
    <row r="18" spans="2:15" ht="15.6">
      <c r="B18" s="464"/>
      <c r="C18" s="465" t="s">
        <v>511</v>
      </c>
      <c r="D18" s="466"/>
      <c r="E18" s="466"/>
      <c r="F18" s="466"/>
      <c r="G18" s="466"/>
      <c r="H18" s="467"/>
      <c r="J18" s="451"/>
      <c r="K18" s="452"/>
      <c r="L18" s="452"/>
      <c r="M18" s="452"/>
      <c r="N18" s="452"/>
      <c r="O18" s="453"/>
    </row>
    <row r="19" spans="2:15" ht="15.6">
      <c r="B19" s="464"/>
      <c r="C19" s="465" t="s">
        <v>511</v>
      </c>
      <c r="D19" s="466"/>
      <c r="E19" s="466"/>
      <c r="F19" s="466"/>
      <c r="G19" s="466"/>
      <c r="H19" s="467"/>
      <c r="J19" s="441" t="str">
        <f>IF(ISBLANK(F6)," ",F6)</f>
        <v>Sub3</v>
      </c>
      <c r="K19" s="442"/>
      <c r="L19" s="442"/>
      <c r="M19" s="442"/>
      <c r="N19" s="442"/>
      <c r="O19" s="443"/>
    </row>
    <row r="20" spans="2:15" ht="15.6">
      <c r="B20" s="464"/>
      <c r="C20" s="465" t="s">
        <v>511</v>
      </c>
      <c r="D20" s="466"/>
      <c r="E20" s="466"/>
      <c r="F20" s="466"/>
      <c r="G20" s="466"/>
      <c r="H20" s="467"/>
      <c r="J20" s="447"/>
      <c r="K20" s="448"/>
      <c r="L20" s="448"/>
      <c r="M20" s="448"/>
      <c r="N20" s="448"/>
      <c r="O20" s="449"/>
    </row>
    <row r="21" spans="2:15" ht="15.6">
      <c r="B21" s="464"/>
      <c r="C21" s="465" t="s">
        <v>511</v>
      </c>
      <c r="D21" s="466"/>
      <c r="E21" s="466"/>
      <c r="F21" s="466"/>
      <c r="G21" s="466"/>
      <c r="H21" s="467"/>
      <c r="J21" s="451"/>
      <c r="K21" s="452"/>
      <c r="L21" s="452"/>
      <c r="M21" s="452"/>
      <c r="N21" s="452"/>
      <c r="O21" s="453"/>
    </row>
    <row r="22" spans="2:15" ht="15.6">
      <c r="B22" s="464"/>
      <c r="C22" s="465" t="s">
        <v>511</v>
      </c>
      <c r="D22" s="466"/>
      <c r="E22" s="466"/>
      <c r="F22" s="466"/>
      <c r="G22" s="466"/>
      <c r="H22" s="467"/>
      <c r="J22" s="451"/>
      <c r="K22" s="452"/>
      <c r="L22" s="452"/>
      <c r="M22" s="452"/>
      <c r="N22" s="452"/>
      <c r="O22" s="453"/>
    </row>
    <row r="23" spans="2:15" ht="15.6">
      <c r="B23" s="464"/>
      <c r="C23" s="465" t="s">
        <v>511</v>
      </c>
      <c r="D23" s="466"/>
      <c r="E23" s="466"/>
      <c r="F23" s="466"/>
      <c r="G23" s="466"/>
      <c r="H23" s="467"/>
      <c r="J23" s="451"/>
      <c r="K23" s="452"/>
      <c r="L23" s="452"/>
      <c r="M23" s="452"/>
      <c r="N23" s="452"/>
      <c r="O23" s="453"/>
    </row>
    <row r="24" spans="2:15" ht="15.6">
      <c r="B24" s="464"/>
      <c r="C24" s="465" t="s">
        <v>511</v>
      </c>
      <c r="D24" s="466"/>
      <c r="E24" s="466"/>
      <c r="F24" s="466"/>
      <c r="G24" s="466"/>
      <c r="H24" s="467"/>
      <c r="J24" s="451"/>
      <c r="K24" s="452"/>
      <c r="L24" s="452"/>
      <c r="M24" s="452"/>
      <c r="N24" s="452"/>
      <c r="O24" s="453"/>
    </row>
    <row r="25" spans="2:15" ht="15.6">
      <c r="B25" s="464"/>
      <c r="C25" s="465" t="s">
        <v>511</v>
      </c>
      <c r="D25" s="466"/>
      <c r="E25" s="466"/>
      <c r="F25" s="466"/>
      <c r="G25" s="466"/>
      <c r="H25" s="467"/>
      <c r="J25" s="451"/>
      <c r="K25" s="452"/>
      <c r="L25" s="452"/>
      <c r="M25" s="452"/>
      <c r="N25" s="452"/>
      <c r="O25" s="453"/>
    </row>
    <row r="26" spans="2:15" ht="15.6">
      <c r="B26" s="464"/>
      <c r="C26" s="465" t="s">
        <v>511</v>
      </c>
      <c r="D26" s="466"/>
      <c r="E26" s="466"/>
      <c r="F26" s="466"/>
      <c r="G26" s="466"/>
      <c r="H26" s="467"/>
      <c r="J26" s="451"/>
      <c r="K26" s="452"/>
      <c r="L26" s="452"/>
      <c r="M26" s="452"/>
      <c r="N26" s="452"/>
      <c r="O26" s="453"/>
    </row>
    <row r="27" spans="2:15" ht="15.6">
      <c r="B27" s="464"/>
      <c r="C27" s="465" t="s">
        <v>511</v>
      </c>
      <c r="D27" s="466"/>
      <c r="E27" s="466"/>
      <c r="F27" s="466"/>
      <c r="G27" s="466"/>
      <c r="H27" s="467"/>
      <c r="J27" s="441" t="str">
        <f>IF(ISBLANK(G6)," ",G6)</f>
        <v>Sub4</v>
      </c>
      <c r="K27" s="442"/>
      <c r="L27" s="442"/>
      <c r="M27" s="442"/>
      <c r="N27" s="442"/>
      <c r="O27" s="443"/>
    </row>
    <row r="28" spans="2:15" ht="15.6">
      <c r="B28" s="464"/>
      <c r="C28" s="465" t="s">
        <v>511</v>
      </c>
      <c r="D28" s="466"/>
      <c r="E28" s="466"/>
      <c r="F28" s="466"/>
      <c r="G28" s="466"/>
      <c r="H28" s="467"/>
      <c r="J28" s="447"/>
      <c r="K28" s="448"/>
      <c r="L28" s="448"/>
      <c r="M28" s="448"/>
      <c r="N28" s="448"/>
      <c r="O28" s="449"/>
    </row>
    <row r="29" spans="2:15" ht="15.6">
      <c r="B29" s="464"/>
      <c r="C29" s="465" t="s">
        <v>511</v>
      </c>
      <c r="D29" s="466"/>
      <c r="E29" s="466"/>
      <c r="F29" s="466"/>
      <c r="G29" s="466"/>
      <c r="H29" s="467"/>
      <c r="J29" s="451"/>
      <c r="K29" s="452"/>
      <c r="L29" s="452"/>
      <c r="M29" s="452"/>
      <c r="N29" s="452"/>
      <c r="O29" s="453"/>
    </row>
    <row r="30" spans="2:15" ht="15.6">
      <c r="B30" s="464"/>
      <c r="C30" s="465" t="s">
        <v>511</v>
      </c>
      <c r="D30" s="466"/>
      <c r="E30" s="466"/>
      <c r="F30" s="466"/>
      <c r="G30" s="466"/>
      <c r="H30" s="467"/>
      <c r="J30" s="451"/>
      <c r="K30" s="452"/>
      <c r="L30" s="452"/>
      <c r="M30" s="452"/>
      <c r="N30" s="452"/>
      <c r="O30" s="453"/>
    </row>
    <row r="31" spans="2:15" ht="15.6">
      <c r="B31" s="464"/>
      <c r="C31" s="465" t="s">
        <v>511</v>
      </c>
      <c r="D31" s="466"/>
      <c r="E31" s="466"/>
      <c r="F31" s="466"/>
      <c r="G31" s="466"/>
      <c r="H31" s="467"/>
      <c r="J31" s="451"/>
      <c r="K31" s="452"/>
      <c r="L31" s="452"/>
      <c r="M31" s="452"/>
      <c r="N31" s="452"/>
      <c r="O31" s="453"/>
    </row>
    <row r="32" spans="2:15" ht="15.6">
      <c r="B32" s="464"/>
      <c r="C32" s="465" t="s">
        <v>511</v>
      </c>
      <c r="D32" s="466"/>
      <c r="E32" s="466"/>
      <c r="F32" s="466"/>
      <c r="G32" s="466"/>
      <c r="H32" s="467"/>
      <c r="J32" s="451"/>
      <c r="K32" s="452"/>
      <c r="L32" s="452"/>
      <c r="M32" s="452"/>
      <c r="N32" s="452"/>
      <c r="O32" s="453"/>
    </row>
    <row r="33" spans="2:15" ht="15.6">
      <c r="B33" s="464"/>
      <c r="C33" s="465" t="s">
        <v>511</v>
      </c>
      <c r="D33" s="466"/>
      <c r="E33" s="466"/>
      <c r="F33" s="466"/>
      <c r="G33" s="466"/>
      <c r="H33" s="467"/>
      <c r="J33" s="451"/>
      <c r="K33" s="452"/>
      <c r="L33" s="452"/>
      <c r="M33" s="452"/>
      <c r="N33" s="452"/>
      <c r="O33" s="453"/>
    </row>
    <row r="34" spans="2:15" ht="15.6">
      <c r="B34" s="464"/>
      <c r="C34" s="465" t="s">
        <v>511</v>
      </c>
      <c r="D34" s="466"/>
      <c r="E34" s="466"/>
      <c r="F34" s="466"/>
      <c r="G34" s="466"/>
      <c r="H34" s="467"/>
      <c r="J34" s="451"/>
      <c r="K34" s="452"/>
      <c r="L34" s="452"/>
      <c r="M34" s="452"/>
      <c r="N34" s="452"/>
      <c r="O34" s="453"/>
    </row>
    <row r="35" spans="2:15" ht="15.6">
      <c r="B35" s="464"/>
      <c r="C35" s="465" t="s">
        <v>511</v>
      </c>
      <c r="D35" s="466"/>
      <c r="E35" s="466"/>
      <c r="F35" s="466"/>
      <c r="G35" s="466"/>
      <c r="H35" s="467"/>
      <c r="J35" s="441" t="str">
        <f>IF(ISBLANK(H6)," ",H6)</f>
        <v>Sub5</v>
      </c>
      <c r="K35" s="442"/>
      <c r="L35" s="442"/>
      <c r="M35" s="442"/>
      <c r="N35" s="442"/>
      <c r="O35" s="443"/>
    </row>
    <row r="36" spans="2:15" ht="15.6">
      <c r="B36" s="464"/>
      <c r="C36" s="465" t="s">
        <v>511</v>
      </c>
      <c r="D36" s="466"/>
      <c r="E36" s="466"/>
      <c r="F36" s="466"/>
      <c r="G36" s="466"/>
      <c r="H36" s="467"/>
      <c r="J36" s="447"/>
      <c r="K36" s="448"/>
      <c r="L36" s="448"/>
      <c r="M36" s="448"/>
      <c r="N36" s="448"/>
      <c r="O36" s="449"/>
    </row>
    <row r="37" spans="2:15" ht="15.6">
      <c r="B37" s="464"/>
      <c r="C37" s="465" t="s">
        <v>511</v>
      </c>
      <c r="D37" s="466"/>
      <c r="E37" s="466"/>
      <c r="F37" s="466"/>
      <c r="G37" s="466"/>
      <c r="H37" s="467"/>
      <c r="J37" s="451"/>
      <c r="K37" s="452"/>
      <c r="L37" s="452"/>
      <c r="M37" s="452"/>
      <c r="N37" s="452"/>
      <c r="O37" s="453"/>
    </row>
    <row r="38" spans="2:15" ht="15">
      <c r="B38" s="468"/>
      <c r="C38" s="469" t="s">
        <v>511</v>
      </c>
      <c r="D38" s="470"/>
      <c r="E38" s="470"/>
      <c r="F38" s="470"/>
      <c r="G38" s="470"/>
      <c r="H38" s="471"/>
      <c r="J38" s="451"/>
      <c r="K38" s="452"/>
      <c r="L38" s="452"/>
      <c r="M38" s="452"/>
      <c r="N38" s="452"/>
      <c r="O38" s="453"/>
    </row>
    <row r="39" spans="2:15">
      <c r="B39" s="455" t="s">
        <v>512</v>
      </c>
      <c r="C39" s="472"/>
      <c r="D39" s="473">
        <f>SUM(D7:D38)</f>
        <v>0</v>
      </c>
      <c r="E39" s="473">
        <f>SUM(E7:E38)</f>
        <v>0</v>
      </c>
      <c r="F39" s="473">
        <f>SUM(F7:F38)</f>
        <v>0</v>
      </c>
      <c r="G39" s="473">
        <f>SUM(G7:G38)</f>
        <v>0</v>
      </c>
      <c r="H39" s="473">
        <f>SUM(H7:H38)</f>
        <v>0</v>
      </c>
      <c r="J39" s="451"/>
      <c r="K39" s="452"/>
      <c r="L39" s="452"/>
      <c r="M39" s="452"/>
      <c r="N39" s="452"/>
      <c r="O39" s="453"/>
    </row>
    <row r="40" spans="2:15">
      <c r="B40" s="457"/>
      <c r="C40" s="474"/>
      <c r="D40" s="473"/>
      <c r="E40" s="473"/>
      <c r="F40" s="473"/>
      <c r="G40" s="473"/>
      <c r="H40" s="473"/>
      <c r="J40" s="451"/>
      <c r="K40" s="452"/>
      <c r="L40" s="452"/>
      <c r="M40" s="452"/>
      <c r="N40" s="452"/>
      <c r="O40" s="453"/>
    </row>
    <row r="41" spans="2:15">
      <c r="B41" s="457"/>
      <c r="C41" s="474"/>
      <c r="D41" s="473"/>
      <c r="E41" s="473"/>
      <c r="F41" s="473"/>
      <c r="G41" s="473"/>
      <c r="H41" s="473"/>
      <c r="J41" s="451"/>
      <c r="K41" s="452"/>
      <c r="L41" s="452"/>
      <c r="M41" s="452"/>
      <c r="N41" s="452"/>
      <c r="O41" s="453"/>
    </row>
    <row r="42" spans="2:15">
      <c r="B42" s="459"/>
      <c r="C42" s="474"/>
      <c r="D42" s="475"/>
      <c r="E42" s="475"/>
      <c r="F42" s="475"/>
      <c r="G42" s="475"/>
      <c r="H42" s="475"/>
      <c r="J42" s="476"/>
      <c r="K42" s="477"/>
      <c r="L42" s="477"/>
      <c r="M42" s="477"/>
      <c r="N42" s="477"/>
      <c r="O42" s="478"/>
    </row>
    <row r="43" spans="2:15">
      <c r="B43" s="479"/>
    </row>
  </sheetData>
  <mergeCells count="31">
    <mergeCell ref="C4:F4"/>
    <mergeCell ref="J4:O10"/>
    <mergeCell ref="D5:H5"/>
    <mergeCell ref="B7:B10"/>
    <mergeCell ref="C7:C10"/>
    <mergeCell ref="D7:D10"/>
    <mergeCell ref="E7:E10"/>
    <mergeCell ref="F7:F10"/>
    <mergeCell ref="G7:G10"/>
    <mergeCell ref="H7:H10"/>
    <mergeCell ref="B2:H2"/>
    <mergeCell ref="J2:O2"/>
    <mergeCell ref="D3:E3"/>
    <mergeCell ref="F3:H3"/>
    <mergeCell ref="J3:O3"/>
    <mergeCell ref="J35:O35"/>
    <mergeCell ref="J36:O42"/>
    <mergeCell ref="B39:B42"/>
    <mergeCell ref="C39:C42"/>
    <mergeCell ref="D39:D42"/>
    <mergeCell ref="E39:E42"/>
    <mergeCell ref="F39:F42"/>
    <mergeCell ref="G39:G42"/>
    <mergeCell ref="H39:H42"/>
    <mergeCell ref="B11:B38"/>
    <mergeCell ref="J28:O34"/>
    <mergeCell ref="J11:O11"/>
    <mergeCell ref="J12:O18"/>
    <mergeCell ref="J19:O19"/>
    <mergeCell ref="J20:O26"/>
    <mergeCell ref="J27:O2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T41"/>
  <sheetViews>
    <sheetView showGridLines="0" zoomScaleNormal="100" workbookViewId="0">
      <selection activeCell="B2" sqref="B2:F2"/>
    </sheetView>
  </sheetViews>
  <sheetFormatPr defaultColWidth="0" defaultRowHeight="15" zeroHeight="1"/>
  <cols>
    <col min="1" max="1" width="1.26953125" style="480" customWidth="1"/>
    <col min="2" max="2" width="10.7265625" style="480" customWidth="1"/>
    <col min="3" max="5" width="8.81640625" style="480" customWidth="1"/>
    <col min="6" max="6" width="16.81640625" style="480" customWidth="1"/>
    <col min="7" max="7" width="2" style="480" bestFit="1" customWidth="1"/>
    <col min="8" max="8" width="11.453125" style="480" customWidth="1"/>
    <col min="9" max="9" width="3.26953125" style="480" bestFit="1" customWidth="1"/>
    <col min="10" max="10" width="1.7265625" style="480" customWidth="1"/>
    <col min="11" max="11" width="4.26953125" style="481" customWidth="1"/>
    <col min="12" max="12" width="8.81640625" style="482" customWidth="1"/>
    <col min="13" max="13" width="11.26953125" style="482" customWidth="1"/>
    <col min="14" max="14" width="12" style="482" customWidth="1"/>
    <col min="15" max="15" width="9.81640625" style="482" customWidth="1"/>
    <col min="16" max="16" width="5.7265625" style="482" customWidth="1"/>
    <col min="17" max="17" width="12.54296875" style="480" hidden="1" customWidth="1"/>
    <col min="18" max="18" width="2" style="480" hidden="1" customWidth="1"/>
    <col min="19" max="19" width="11.453125" style="480" hidden="1" customWidth="1"/>
    <col min="20" max="20" width="3.26953125" style="480" hidden="1" customWidth="1"/>
    <col min="21" max="16384" width="8.81640625" style="480" hidden="1"/>
  </cols>
  <sheetData>
    <row r="1" spans="1:16"/>
    <row r="2" spans="1:16" s="483" customFormat="1" ht="18" thickBot="1">
      <c r="B2" s="484" t="s">
        <v>372</v>
      </c>
      <c r="C2" s="485"/>
      <c r="D2" s="485"/>
      <c r="E2" s="485"/>
      <c r="F2" s="485"/>
      <c r="K2" s="486"/>
      <c r="L2" s="487" t="s">
        <v>424</v>
      </c>
      <c r="M2" s="488"/>
      <c r="N2" s="488"/>
      <c r="O2" s="488"/>
      <c r="P2" s="488"/>
    </row>
    <row r="3" spans="1:16" s="483" customFormat="1" ht="16.2" thickBot="1">
      <c r="A3" s="489"/>
      <c r="B3" s="490" t="s">
        <v>383</v>
      </c>
      <c r="C3" s="491" t="str">
        <f>SUMRY!J2</f>
        <v>Job Name</v>
      </c>
      <c r="D3" s="492"/>
      <c r="E3" s="492"/>
      <c r="F3" s="492"/>
      <c r="G3" s="492"/>
      <c r="H3" s="493" t="s">
        <v>373</v>
      </c>
      <c r="I3" s="494"/>
      <c r="J3" s="495"/>
      <c r="K3" s="486"/>
      <c r="L3" s="496" t="s">
        <v>425</v>
      </c>
      <c r="M3" s="497"/>
      <c r="N3" s="498"/>
      <c r="O3" s="498"/>
      <c r="P3" s="498"/>
    </row>
    <row r="4" spans="1:16" s="483" customFormat="1" ht="16.5" customHeight="1" thickBot="1">
      <c r="A4" s="489"/>
      <c r="B4" s="499" t="s">
        <v>384</v>
      </c>
      <c r="C4" s="500" t="str">
        <f>SUMRY!L1</f>
        <v>XXXX</v>
      </c>
      <c r="D4" s="501" t="s">
        <v>385</v>
      </c>
      <c r="E4" s="501"/>
      <c r="F4" s="502">
        <f>SUMRY!L27</f>
        <v>1</v>
      </c>
      <c r="G4" s="503"/>
      <c r="H4" s="504" t="s">
        <v>374</v>
      </c>
      <c r="I4" s="504"/>
      <c r="J4" s="505"/>
      <c r="K4" s="486"/>
      <c r="L4" s="506"/>
      <c r="M4" s="506"/>
      <c r="N4" s="506"/>
      <c r="O4" s="506"/>
      <c r="P4" s="507" t="s">
        <v>426</v>
      </c>
    </row>
    <row r="5" spans="1:16" s="483" customFormat="1" ht="16.5" customHeight="1" thickBot="1">
      <c r="A5" s="489"/>
      <c r="B5" s="508" t="s">
        <v>386</v>
      </c>
      <c r="C5" s="501"/>
      <c r="D5" s="501"/>
      <c r="E5" s="501"/>
      <c r="F5" s="509"/>
      <c r="G5" s="510">
        <f>SUMRY!M30</f>
        <v>43861</v>
      </c>
      <c r="H5" s="511"/>
      <c r="I5" s="512"/>
      <c r="J5" s="513"/>
      <c r="K5" s="486"/>
      <c r="L5" s="514"/>
      <c r="M5" s="514"/>
      <c r="N5" s="514"/>
      <c r="O5" s="514"/>
      <c r="P5" s="507" t="s">
        <v>427</v>
      </c>
    </row>
    <row r="6" spans="1:16" s="483" customFormat="1" ht="16.5" customHeight="1" thickBot="1">
      <c r="A6" s="489"/>
      <c r="B6" s="508" t="s">
        <v>485</v>
      </c>
      <c r="C6" s="501"/>
      <c r="D6" s="501"/>
      <c r="E6" s="501"/>
      <c r="F6" s="509"/>
      <c r="G6" s="515">
        <v>43921</v>
      </c>
      <c r="H6" s="516"/>
      <c r="I6" s="517"/>
      <c r="J6" s="518"/>
      <c r="K6" s="486"/>
      <c r="L6" s="519"/>
      <c r="M6" s="519"/>
      <c r="N6" s="519"/>
      <c r="O6" s="519"/>
      <c r="P6" s="507" t="s">
        <v>428</v>
      </c>
    </row>
    <row r="7" spans="1:16" s="483" customFormat="1" ht="16.5" customHeight="1" thickBot="1">
      <c r="A7" s="489"/>
      <c r="B7" s="508" t="s">
        <v>387</v>
      </c>
      <c r="C7" s="501"/>
      <c r="D7" s="501"/>
      <c r="E7" s="501"/>
      <c r="F7" s="509"/>
      <c r="G7" s="520">
        <v>5</v>
      </c>
      <c r="H7" s="501" t="s">
        <v>388</v>
      </c>
      <c r="I7" s="509"/>
      <c r="J7" s="505"/>
      <c r="K7" s="486"/>
      <c r="L7" s="514"/>
      <c r="M7" s="514"/>
      <c r="N7" s="514"/>
      <c r="O7" s="514"/>
      <c r="P7" s="507" t="s">
        <v>429</v>
      </c>
    </row>
    <row r="8" spans="1:16" s="483" customFormat="1" ht="16.5" customHeight="1" thickBot="1">
      <c r="A8" s="489"/>
      <c r="B8" s="508" t="s">
        <v>389</v>
      </c>
      <c r="C8" s="501"/>
      <c r="D8" s="501"/>
      <c r="E8" s="501"/>
      <c r="F8" s="509"/>
      <c r="G8" s="510">
        <f>WORKDAY(G6,G7)</f>
        <v>43928</v>
      </c>
      <c r="H8" s="511"/>
      <c r="I8" s="512"/>
      <c r="J8" s="513"/>
      <c r="K8" s="486"/>
      <c r="L8" s="521"/>
      <c r="M8" s="521"/>
      <c r="N8" s="521"/>
      <c r="O8" s="521"/>
      <c r="P8" s="507" t="s">
        <v>430</v>
      </c>
    </row>
    <row r="9" spans="1:16" s="483" customFormat="1" ht="16.5" customHeight="1" thickBot="1">
      <c r="A9" s="489"/>
      <c r="B9" s="508" t="s">
        <v>485</v>
      </c>
      <c r="C9" s="501"/>
      <c r="D9" s="501"/>
      <c r="E9" s="501"/>
      <c r="F9" s="509"/>
      <c r="G9" s="515"/>
      <c r="H9" s="522"/>
      <c r="I9" s="523"/>
      <c r="J9" s="524"/>
      <c r="K9" s="486"/>
      <c r="L9" s="521"/>
      <c r="M9" s="521"/>
      <c r="N9" s="521"/>
      <c r="O9" s="521"/>
      <c r="P9" s="507" t="s">
        <v>431</v>
      </c>
    </row>
    <row r="10" spans="1:16" s="483" customFormat="1" ht="17.25" customHeight="1" thickBot="1">
      <c r="A10" s="489"/>
      <c r="B10" s="508" t="s">
        <v>390</v>
      </c>
      <c r="C10" s="501"/>
      <c r="D10" s="501"/>
      <c r="E10" s="501"/>
      <c r="F10" s="509"/>
      <c r="G10" s="520">
        <v>5</v>
      </c>
      <c r="H10" s="501" t="s">
        <v>388</v>
      </c>
      <c r="I10" s="509"/>
      <c r="J10" s="505"/>
      <c r="K10" s="486"/>
      <c r="L10" s="519"/>
      <c r="M10" s="519"/>
      <c r="N10" s="519"/>
      <c r="O10" s="519"/>
      <c r="P10" s="507" t="s">
        <v>432</v>
      </c>
    </row>
    <row r="11" spans="1:16" s="483" customFormat="1" ht="16.5" customHeight="1" thickBot="1">
      <c r="A11" s="489"/>
      <c r="B11" s="508" t="s">
        <v>485</v>
      </c>
      <c r="C11" s="501"/>
      <c r="D11" s="501"/>
      <c r="E11" s="501"/>
      <c r="F11" s="509"/>
      <c r="G11" s="510">
        <f>WORKDAY(G8,G10)</f>
        <v>43935</v>
      </c>
      <c r="H11" s="511"/>
      <c r="I11" s="512"/>
      <c r="J11" s="513"/>
      <c r="K11" s="486"/>
      <c r="L11" s="496" t="s">
        <v>410</v>
      </c>
      <c r="M11" s="498"/>
      <c r="N11" s="498"/>
      <c r="O11" s="498"/>
      <c r="P11" s="525"/>
    </row>
    <row r="12" spans="1:16" s="483" customFormat="1" ht="16.5" customHeight="1" thickBot="1">
      <c r="A12" s="489"/>
      <c r="B12" s="508" t="s">
        <v>391</v>
      </c>
      <c r="C12" s="501"/>
      <c r="D12" s="501"/>
      <c r="E12" s="501"/>
      <c r="F12" s="509"/>
      <c r="G12" s="510"/>
      <c r="H12" s="511"/>
      <c r="I12" s="512"/>
      <c r="J12" s="513"/>
      <c r="K12" s="486"/>
      <c r="L12" s="519"/>
      <c r="M12" s="519"/>
      <c r="N12" s="519"/>
      <c r="O12" s="519"/>
      <c r="P12" s="525"/>
    </row>
    <row r="13" spans="1:16" s="483" customFormat="1" ht="16.5" customHeight="1" thickBot="1">
      <c r="A13" s="489"/>
      <c r="B13" s="508" t="s">
        <v>392</v>
      </c>
      <c r="C13" s="501"/>
      <c r="D13" s="509"/>
      <c r="E13" s="526"/>
      <c r="F13" s="517"/>
      <c r="G13" s="515" t="s">
        <v>404</v>
      </c>
      <c r="H13" s="522"/>
      <c r="I13" s="523"/>
      <c r="J13" s="524"/>
      <c r="K13" s="486"/>
      <c r="L13" s="498"/>
      <c r="M13" s="498"/>
      <c r="N13" s="498"/>
      <c r="O13" s="498"/>
      <c r="P13" s="498"/>
    </row>
    <row r="14" spans="1:16" s="483" customFormat="1" ht="17.25" customHeight="1" thickBot="1">
      <c r="A14" s="489"/>
      <c r="B14" s="508" t="s">
        <v>393</v>
      </c>
      <c r="C14" s="501"/>
      <c r="D14" s="501"/>
      <c r="E14" s="501"/>
      <c r="F14" s="509"/>
      <c r="G14" s="520">
        <v>7</v>
      </c>
      <c r="H14" s="501" t="s">
        <v>388</v>
      </c>
      <c r="I14" s="509"/>
      <c r="J14" s="505"/>
      <c r="K14" s="486"/>
      <c r="L14" s="498"/>
      <c r="M14" s="498"/>
      <c r="N14" s="498"/>
      <c r="O14" s="498"/>
      <c r="P14" s="498"/>
    </row>
    <row r="15" spans="1:16" s="483" customFormat="1" ht="17.25" customHeight="1" thickBot="1">
      <c r="A15" s="489"/>
      <c r="B15" s="508" t="s">
        <v>394</v>
      </c>
      <c r="C15" s="501"/>
      <c r="D15" s="501"/>
      <c r="E15" s="501"/>
      <c r="F15" s="509"/>
      <c r="G15" s="510">
        <f>WORKDAY(G11,G14)</f>
        <v>43944</v>
      </c>
      <c r="H15" s="511"/>
      <c r="I15" s="512"/>
      <c r="J15" s="513"/>
      <c r="K15" s="486"/>
      <c r="L15" s="498"/>
      <c r="M15" s="498"/>
      <c r="N15" s="498"/>
      <c r="O15" s="498"/>
      <c r="P15" s="498"/>
    </row>
    <row r="16" spans="1:16" s="483" customFormat="1" ht="16.5" customHeight="1" thickBot="1">
      <c r="A16" s="489"/>
      <c r="B16" s="508" t="s">
        <v>395</v>
      </c>
      <c r="C16" s="501"/>
      <c r="D16" s="501"/>
      <c r="E16" s="501"/>
      <c r="F16" s="509"/>
      <c r="G16" s="527"/>
      <c r="H16" s="528"/>
      <c r="I16" s="529"/>
      <c r="J16" s="530"/>
      <c r="K16" s="486"/>
      <c r="L16" s="498"/>
      <c r="M16" s="498"/>
      <c r="N16" s="498"/>
      <c r="O16" s="498"/>
      <c r="P16" s="498"/>
    </row>
    <row r="17" spans="1:16" s="483" customFormat="1" ht="16.5" customHeight="1" thickBot="1">
      <c r="A17" s="489"/>
      <c r="B17" s="508" t="s">
        <v>396</v>
      </c>
      <c r="C17" s="501"/>
      <c r="D17" s="501"/>
      <c r="E17" s="501"/>
      <c r="F17" s="509"/>
      <c r="G17" s="531">
        <f>SUMRY!M19</f>
        <v>0</v>
      </c>
      <c r="H17" s="532"/>
      <c r="I17" s="533"/>
      <c r="J17" s="534"/>
      <c r="K17" s="486"/>
      <c r="L17" s="498"/>
      <c r="M17" s="498"/>
      <c r="N17" s="498"/>
      <c r="O17" s="498"/>
      <c r="P17" s="498"/>
    </row>
    <row r="18" spans="1:16" s="483" customFormat="1" ht="17.25" customHeight="1" thickBot="1">
      <c r="A18" s="489"/>
      <c r="B18" s="508" t="s">
        <v>397</v>
      </c>
      <c r="C18" s="501"/>
      <c r="D18" s="501"/>
      <c r="E18" s="501"/>
      <c r="F18" s="509"/>
      <c r="G18" s="531">
        <f>SUMRY!M27</f>
        <v>0</v>
      </c>
      <c r="H18" s="532"/>
      <c r="I18" s="533"/>
      <c r="J18" s="534"/>
      <c r="K18" s="486"/>
      <c r="L18" s="498"/>
      <c r="M18" s="498"/>
      <c r="N18" s="498"/>
      <c r="O18" s="498"/>
      <c r="P18" s="498"/>
    </row>
    <row r="19" spans="1:16" s="483" customFormat="1" ht="17.25" customHeight="1" thickBot="1">
      <c r="A19" s="489"/>
      <c r="B19" s="508" t="s">
        <v>398</v>
      </c>
      <c r="C19" s="501"/>
      <c r="D19" s="501"/>
      <c r="E19" s="501"/>
      <c r="F19" s="509"/>
      <c r="G19" s="531">
        <f>SUMRY!M21</f>
        <v>0</v>
      </c>
      <c r="H19" s="532"/>
      <c r="I19" s="533"/>
      <c r="J19" s="534"/>
      <c r="K19" s="486"/>
      <c r="L19" s="498"/>
      <c r="M19" s="498"/>
      <c r="N19" s="498"/>
      <c r="O19" s="498"/>
      <c r="P19" s="498"/>
    </row>
    <row r="20" spans="1:16" s="483" customFormat="1" ht="16.5" customHeight="1" thickBot="1">
      <c r="A20" s="489"/>
      <c r="B20" s="508" t="s">
        <v>399</v>
      </c>
      <c r="C20" s="501"/>
      <c r="D20" s="501"/>
      <c r="E20" s="501"/>
      <c r="F20" s="509"/>
      <c r="G20" s="535">
        <v>0</v>
      </c>
      <c r="H20" s="536"/>
      <c r="I20" s="537"/>
      <c r="J20" s="538"/>
      <c r="K20" s="486"/>
      <c r="L20" s="498"/>
      <c r="M20" s="498"/>
      <c r="N20" s="498"/>
      <c r="O20" s="498"/>
      <c r="P20" s="498"/>
    </row>
    <row r="21" spans="1:16" s="483" customFormat="1" ht="16.5" customHeight="1" thickBot="1">
      <c r="A21" s="489"/>
      <c r="B21" s="508" t="s">
        <v>400</v>
      </c>
      <c r="C21" s="501"/>
      <c r="D21" s="501"/>
      <c r="E21" s="501"/>
      <c r="F21" s="509"/>
      <c r="G21" s="535">
        <v>0</v>
      </c>
      <c r="H21" s="536"/>
      <c r="I21" s="537"/>
      <c r="J21" s="538"/>
      <c r="K21" s="486"/>
      <c r="L21" s="498"/>
      <c r="M21" s="498"/>
      <c r="N21" s="498"/>
      <c r="O21" s="498"/>
      <c r="P21" s="498"/>
    </row>
    <row r="22" spans="1:16" s="483" customFormat="1" ht="16.5" customHeight="1" thickBot="1">
      <c r="A22" s="489"/>
      <c r="B22" s="508" t="s">
        <v>401</v>
      </c>
      <c r="C22" s="501"/>
      <c r="D22" s="501"/>
      <c r="E22" s="501"/>
      <c r="F22" s="509"/>
      <c r="G22" s="535">
        <v>0</v>
      </c>
      <c r="H22" s="536"/>
      <c r="I22" s="537"/>
      <c r="J22" s="538"/>
      <c r="K22" s="486"/>
      <c r="L22" s="498"/>
      <c r="M22" s="498"/>
      <c r="N22" s="498"/>
      <c r="O22" s="498"/>
      <c r="P22" s="498"/>
    </row>
    <row r="23" spans="1:16" s="483" customFormat="1" ht="16.2" thickBot="1">
      <c r="A23" s="489"/>
      <c r="B23" s="508" t="s">
        <v>402</v>
      </c>
      <c r="C23" s="501"/>
      <c r="D23" s="501"/>
      <c r="E23" s="501"/>
      <c r="F23" s="509"/>
      <c r="G23" s="535">
        <v>0</v>
      </c>
      <c r="H23" s="536"/>
      <c r="I23" s="537"/>
      <c r="J23" s="538"/>
      <c r="K23" s="486"/>
      <c r="L23" s="498"/>
      <c r="M23" s="498"/>
      <c r="N23" s="539"/>
      <c r="O23" s="498"/>
      <c r="P23" s="498"/>
    </row>
    <row r="24" spans="1:16" ht="15.6" thickBot="1">
      <c r="A24" s="540"/>
      <c r="B24" s="541" t="s">
        <v>403</v>
      </c>
      <c r="C24" s="542"/>
      <c r="D24" s="542"/>
      <c r="E24" s="542"/>
      <c r="F24" s="542"/>
      <c r="G24" s="542"/>
      <c r="H24" s="542"/>
      <c r="I24" s="543"/>
      <c r="J24" s="544"/>
    </row>
    <row r="25" spans="1:16">
      <c r="A25" s="540"/>
      <c r="B25" s="545"/>
      <c r="C25" s="546"/>
      <c r="D25" s="546"/>
      <c r="E25" s="546"/>
      <c r="F25" s="546"/>
      <c r="G25" s="546"/>
      <c r="H25" s="546"/>
      <c r="I25" s="547"/>
      <c r="J25" s="544"/>
    </row>
    <row r="26" spans="1:16">
      <c r="A26" s="540"/>
      <c r="B26" s="548"/>
      <c r="C26" s="549"/>
      <c r="D26" s="549"/>
      <c r="E26" s="549"/>
      <c r="F26" s="549"/>
      <c r="G26" s="549"/>
      <c r="H26" s="549"/>
      <c r="I26" s="550"/>
      <c r="J26" s="544"/>
    </row>
    <row r="27" spans="1:16">
      <c r="A27" s="540"/>
      <c r="B27" s="548"/>
      <c r="C27" s="549"/>
      <c r="D27" s="549"/>
      <c r="E27" s="549"/>
      <c r="F27" s="549"/>
      <c r="G27" s="549"/>
      <c r="H27" s="549"/>
      <c r="I27" s="550"/>
      <c r="J27" s="544"/>
    </row>
    <row r="28" spans="1:16">
      <c r="A28" s="540"/>
      <c r="B28" s="548"/>
      <c r="C28" s="549"/>
      <c r="D28" s="549"/>
      <c r="E28" s="549"/>
      <c r="F28" s="549"/>
      <c r="G28" s="549"/>
      <c r="H28" s="549"/>
      <c r="I28" s="550"/>
      <c r="J28" s="544"/>
    </row>
    <row r="29" spans="1:16">
      <c r="A29" s="540"/>
      <c r="B29" s="548"/>
      <c r="C29" s="549"/>
      <c r="D29" s="549"/>
      <c r="E29" s="549"/>
      <c r="F29" s="549"/>
      <c r="G29" s="549"/>
      <c r="H29" s="549"/>
      <c r="I29" s="550"/>
      <c r="J29" s="544"/>
    </row>
    <row r="30" spans="1:16">
      <c r="A30" s="540"/>
      <c r="B30" s="548"/>
      <c r="C30" s="549"/>
      <c r="D30" s="549"/>
      <c r="E30" s="549"/>
      <c r="F30" s="549"/>
      <c r="G30" s="549"/>
      <c r="H30" s="549"/>
      <c r="I30" s="550"/>
      <c r="J30" s="544"/>
    </row>
    <row r="31" spans="1:16">
      <c r="A31" s="540"/>
      <c r="B31" s="548"/>
      <c r="C31" s="549"/>
      <c r="D31" s="549"/>
      <c r="E31" s="549"/>
      <c r="F31" s="549"/>
      <c r="G31" s="549"/>
      <c r="H31" s="549"/>
      <c r="I31" s="550"/>
      <c r="J31" s="544"/>
    </row>
    <row r="32" spans="1:16">
      <c r="A32" s="540"/>
      <c r="B32" s="548"/>
      <c r="C32" s="549"/>
      <c r="D32" s="549"/>
      <c r="E32" s="549"/>
      <c r="F32" s="549"/>
      <c r="G32" s="549"/>
      <c r="H32" s="549"/>
      <c r="I32" s="550"/>
      <c r="J32" s="544"/>
    </row>
    <row r="33" spans="1:10">
      <c r="A33" s="540"/>
      <c r="B33" s="548"/>
      <c r="C33" s="549"/>
      <c r="D33" s="549"/>
      <c r="E33" s="549"/>
      <c r="F33" s="549"/>
      <c r="G33" s="549"/>
      <c r="H33" s="549"/>
      <c r="I33" s="550"/>
      <c r="J33" s="544"/>
    </row>
    <row r="34" spans="1:10">
      <c r="A34" s="540"/>
      <c r="B34" s="548"/>
      <c r="C34" s="549"/>
      <c r="D34" s="549"/>
      <c r="E34" s="549"/>
      <c r="F34" s="549"/>
      <c r="G34" s="549"/>
      <c r="H34" s="549"/>
      <c r="I34" s="550"/>
      <c r="J34" s="544"/>
    </row>
    <row r="35" spans="1:10">
      <c r="A35" s="540"/>
      <c r="B35" s="548"/>
      <c r="C35" s="549"/>
      <c r="D35" s="549"/>
      <c r="E35" s="549"/>
      <c r="F35" s="549"/>
      <c r="G35" s="549"/>
      <c r="H35" s="549"/>
      <c r="I35" s="550"/>
      <c r="J35" s="544"/>
    </row>
    <row r="36" spans="1:10" ht="15.6" thickBot="1">
      <c r="A36" s="540"/>
      <c r="B36" s="551"/>
      <c r="C36" s="552"/>
      <c r="D36" s="552"/>
      <c r="E36" s="552"/>
      <c r="F36" s="552"/>
      <c r="G36" s="552"/>
      <c r="H36" s="552"/>
      <c r="I36" s="553"/>
      <c r="J36" s="544"/>
    </row>
    <row r="37" spans="1:10" ht="15.6" thickBot="1">
      <c r="F37" s="540" t="s">
        <v>375</v>
      </c>
    </row>
    <row r="38" spans="1:10" ht="15.6" thickBot="1">
      <c r="F38" s="554" t="s">
        <v>376</v>
      </c>
      <c r="G38" s="555"/>
      <c r="H38" s="556"/>
      <c r="I38" s="556"/>
      <c r="J38" s="557"/>
    </row>
    <row r="39" spans="1:10" ht="15.6" thickBot="1">
      <c r="F39" s="554" t="s">
        <v>377</v>
      </c>
      <c r="G39" s="555"/>
      <c r="H39" s="556"/>
      <c r="I39" s="556"/>
      <c r="J39" s="557"/>
    </row>
    <row r="40" spans="1:10" ht="15.6" thickBot="1">
      <c r="F40" s="554" t="s">
        <v>378</v>
      </c>
      <c r="G40" s="555"/>
      <c r="H40" s="556"/>
      <c r="I40" s="556"/>
      <c r="J40" s="557"/>
    </row>
    <row r="41" spans="1:10"/>
  </sheetData>
  <mergeCells count="56">
    <mergeCell ref="L8:O8"/>
    <mergeCell ref="L9:O9"/>
    <mergeCell ref="L10:O10"/>
    <mergeCell ref="L12:O12"/>
    <mergeCell ref="L2:P2"/>
    <mergeCell ref="L4:O4"/>
    <mergeCell ref="L5:O5"/>
    <mergeCell ref="L6:O6"/>
    <mergeCell ref="L7:O7"/>
    <mergeCell ref="B23:F23"/>
    <mergeCell ref="G23:I23"/>
    <mergeCell ref="B25:I36"/>
    <mergeCell ref="B24:I24"/>
    <mergeCell ref="B20:F20"/>
    <mergeCell ref="G20:I20"/>
    <mergeCell ref="B21:F21"/>
    <mergeCell ref="G21:I21"/>
    <mergeCell ref="B22:F22"/>
    <mergeCell ref="G22:I22"/>
    <mergeCell ref="G17:I17"/>
    <mergeCell ref="B18:F18"/>
    <mergeCell ref="G18:I18"/>
    <mergeCell ref="B19:F19"/>
    <mergeCell ref="G19:I19"/>
    <mergeCell ref="F40:G40"/>
    <mergeCell ref="B6:F6"/>
    <mergeCell ref="G6:I6"/>
    <mergeCell ref="B7:F7"/>
    <mergeCell ref="H7:I7"/>
    <mergeCell ref="B8:F8"/>
    <mergeCell ref="G8:I8"/>
    <mergeCell ref="B9:F9"/>
    <mergeCell ref="G9:I9"/>
    <mergeCell ref="B10:F10"/>
    <mergeCell ref="H10:I10"/>
    <mergeCell ref="B11:F11"/>
    <mergeCell ref="G11:I11"/>
    <mergeCell ref="B12:F12"/>
    <mergeCell ref="G12:I12"/>
    <mergeCell ref="B13:D13"/>
    <mergeCell ref="B2:F2"/>
    <mergeCell ref="F38:G38"/>
    <mergeCell ref="F39:G39"/>
    <mergeCell ref="C3:G3"/>
    <mergeCell ref="D4:E4"/>
    <mergeCell ref="B5:F5"/>
    <mergeCell ref="G5:I5"/>
    <mergeCell ref="E13:F13"/>
    <mergeCell ref="G13:I13"/>
    <mergeCell ref="B14:F14"/>
    <mergeCell ref="H14:I14"/>
    <mergeCell ref="B15:F15"/>
    <mergeCell ref="G15:I15"/>
    <mergeCell ref="B16:F16"/>
    <mergeCell ref="G16:I16"/>
    <mergeCell ref="B17:F17"/>
  </mergeCells>
  <dataValidations count="2">
    <dataValidation type="custom" allowBlank="1" showInputMessage="1" showErrorMessage="1" error="Data entry in this cell is denied." sqref="B2:G2 H37:J37 A2:A24 F37:G40 D41:G41" xr:uid="{00000000-0002-0000-0000-000000000000}">
      <formula1>"&lt;&gt;ActiveCell"</formula1>
    </dataValidation>
    <dataValidation allowBlank="1" showInputMessage="1" showErrorMessage="1" sqref="H38:J40" xr:uid="{00000000-0002-0000-0000-000001000000}"/>
  </dataValidations>
  <printOptions horizontalCentered="1"/>
  <pageMargins left="0.11811023622047245" right="0.11811023622047245" top="1.7322834645669292" bottom="0.74803149606299213" header="0.31496062992125984" footer="0.31496062992125984"/>
  <pageSetup paperSize="9" orientation="portrait" r:id="rId1"/>
  <headerFooter>
    <oddHeader>&amp;L&amp;G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5" name="Check Box 7">
              <controlPr defaultSize="0" autoFill="0" autoLine="0" autoPict="0">
                <anchor moveWithCells="1">
                  <from>
                    <xdr:col>8</xdr:col>
                    <xdr:colOff>53340</xdr:colOff>
                    <xdr:row>36</xdr:row>
                    <xdr:rowOff>190500</xdr:rowOff>
                  </from>
                  <to>
                    <xdr:col>9</xdr:col>
                    <xdr:colOff>76200</xdr:colOff>
                    <xdr:row>38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>
                <anchor moveWithCells="1">
                  <from>
                    <xdr:col>8</xdr:col>
                    <xdr:colOff>53340</xdr:colOff>
                    <xdr:row>37</xdr:row>
                    <xdr:rowOff>190500</xdr:rowOff>
                  </from>
                  <to>
                    <xdr:col>9</xdr:col>
                    <xdr:colOff>76200</xdr:colOff>
                    <xdr:row>39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Check Box 9">
              <controlPr defaultSize="0" autoFill="0" autoLine="0" autoPict="0">
                <anchor moveWithCells="1">
                  <from>
                    <xdr:col>8</xdr:col>
                    <xdr:colOff>53340</xdr:colOff>
                    <xdr:row>38</xdr:row>
                    <xdr:rowOff>175260</xdr:rowOff>
                  </from>
                  <to>
                    <xdr:col>9</xdr:col>
                    <xdr:colOff>76200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Check Box 10">
              <controlPr defaultSize="0" autoFill="0" autoLine="0" autoPict="0">
                <anchor moveWithCells="1">
                  <from>
                    <xdr:col>7</xdr:col>
                    <xdr:colOff>320040</xdr:colOff>
                    <xdr:row>37</xdr:row>
                    <xdr:rowOff>0</xdr:rowOff>
                  </from>
                  <to>
                    <xdr:col>7</xdr:col>
                    <xdr:colOff>624840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Check Box 11">
              <controlPr defaultSize="0" autoFill="0" autoLine="0" autoPict="0">
                <anchor moveWithCells="1">
                  <from>
                    <xdr:col>7</xdr:col>
                    <xdr:colOff>320040</xdr:colOff>
                    <xdr:row>38</xdr:row>
                    <xdr:rowOff>0</xdr:rowOff>
                  </from>
                  <to>
                    <xdr:col>7</xdr:col>
                    <xdr:colOff>624840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0" name="Check Box 12">
              <controlPr defaultSize="0" autoFill="0" autoLine="0" autoPict="0">
                <anchor moveWithCells="1">
                  <from>
                    <xdr:col>7</xdr:col>
                    <xdr:colOff>320040</xdr:colOff>
                    <xdr:row>38</xdr:row>
                    <xdr:rowOff>175260</xdr:rowOff>
                  </from>
                  <to>
                    <xdr:col>7</xdr:col>
                    <xdr:colOff>624840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1" name="Check Box 16">
              <controlPr defaultSize="0" autoFill="0" autoLine="0" autoPict="0">
                <anchor moveWithCells="1">
                  <from>
                    <xdr:col>8</xdr:col>
                    <xdr:colOff>38100</xdr:colOff>
                    <xdr:row>2</xdr:row>
                    <xdr:rowOff>190500</xdr:rowOff>
                  </from>
                  <to>
                    <xdr:col>9</xdr:col>
                    <xdr:colOff>60960</xdr:colOff>
                    <xdr:row>3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2" name="Check Box 17">
              <controlPr defaultSize="0" autoFill="0" autoLine="0" autoPict="0">
                <anchor moveWithCells="1">
                  <from>
                    <xdr:col>8</xdr:col>
                    <xdr:colOff>38100</xdr:colOff>
                    <xdr:row>1</xdr:row>
                    <xdr:rowOff>228600</xdr:rowOff>
                  </from>
                  <to>
                    <xdr:col>9</xdr:col>
                    <xdr:colOff>60960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pageSetUpPr fitToPage="1"/>
  </sheetPr>
  <dimension ref="B2:P46"/>
  <sheetViews>
    <sheetView tabSelected="1" zoomScaleNormal="100" workbookViewId="0">
      <selection activeCell="C19" sqref="C19"/>
    </sheetView>
  </sheetViews>
  <sheetFormatPr defaultColWidth="8.81640625" defaultRowHeight="15"/>
  <cols>
    <col min="1" max="1" width="8.81640625" style="559"/>
    <col min="2" max="2" width="16.1796875" style="559" customWidth="1"/>
    <col min="3" max="3" width="21.7265625" style="559" customWidth="1"/>
    <col min="4" max="4" width="11.26953125" style="559" customWidth="1"/>
    <col min="5" max="5" width="11.453125" style="559" customWidth="1"/>
    <col min="6" max="6" width="15.81640625" style="559" bestFit="1" customWidth="1"/>
    <col min="7" max="11" width="11.453125" style="559" customWidth="1"/>
    <col min="12" max="12" width="30.7265625" style="559" customWidth="1"/>
    <col min="13" max="16384" width="8.81640625" style="559"/>
  </cols>
  <sheetData>
    <row r="2" spans="2:16" ht="15.6" thickBot="1">
      <c r="B2" s="558"/>
      <c r="C2" s="558"/>
      <c r="D2" s="558"/>
      <c r="E2" s="558"/>
      <c r="F2" s="558"/>
      <c r="G2" s="558"/>
      <c r="H2" s="558"/>
      <c r="I2" s="558"/>
      <c r="J2" s="558"/>
      <c r="K2" s="558"/>
      <c r="L2" s="558"/>
      <c r="M2" s="558"/>
      <c r="N2" s="558"/>
      <c r="O2" s="558"/>
      <c r="P2" s="558"/>
    </row>
    <row r="3" spans="2:16" ht="15.6">
      <c r="B3" s="560" t="s">
        <v>1</v>
      </c>
      <c r="C3" s="561" t="str">
        <f>SUMRY!J2</f>
        <v>Job Name</v>
      </c>
      <c r="D3" s="562"/>
      <c r="E3" s="562"/>
      <c r="F3" s="563"/>
      <c r="G3" s="563"/>
      <c r="H3" s="563"/>
      <c r="I3" s="563"/>
      <c r="J3" s="564" t="s">
        <v>441</v>
      </c>
      <c r="K3" s="565">
        <f>'Internal Payment '!F4</f>
        <v>1</v>
      </c>
      <c r="L3" s="558"/>
      <c r="M3" s="558"/>
      <c r="N3" s="558"/>
      <c r="O3" s="558"/>
      <c r="P3" s="558"/>
    </row>
    <row r="4" spans="2:16" ht="15.6">
      <c r="B4" s="566" t="s">
        <v>442</v>
      </c>
      <c r="C4" s="567" t="str">
        <f>SUMRY!L1</f>
        <v>XXXX</v>
      </c>
      <c r="D4" s="568"/>
      <c r="E4" s="558"/>
      <c r="F4" s="558"/>
      <c r="G4" s="558"/>
      <c r="H4" s="558"/>
      <c r="I4" s="558"/>
      <c r="J4" s="569" t="s">
        <v>4</v>
      </c>
      <c r="K4" s="570">
        <f ca="1">NOW()</f>
        <v>45614.757380555558</v>
      </c>
      <c r="L4" s="558"/>
      <c r="M4" s="558"/>
      <c r="N4" s="558"/>
      <c r="O4" s="558"/>
      <c r="P4" s="558"/>
    </row>
    <row r="5" spans="2:16">
      <c r="B5" s="571"/>
      <c r="C5" s="558"/>
      <c r="D5" s="558"/>
      <c r="E5" s="558"/>
      <c r="F5" s="558"/>
      <c r="G5" s="558"/>
      <c r="H5" s="558"/>
      <c r="I5" s="558"/>
      <c r="J5" s="572"/>
      <c r="K5" s="573"/>
      <c r="L5" s="9"/>
      <c r="M5" s="558"/>
      <c r="N5" s="558"/>
      <c r="O5" s="558"/>
      <c r="P5" s="558"/>
    </row>
    <row r="6" spans="2:16" ht="15.6">
      <c r="B6" s="574" t="s">
        <v>443</v>
      </c>
      <c r="C6" s="558"/>
      <c r="D6" s="558"/>
      <c r="E6" s="558"/>
      <c r="F6" s="558"/>
      <c r="G6" s="558"/>
      <c r="H6" s="558"/>
      <c r="I6" s="558"/>
      <c r="J6" s="558"/>
      <c r="K6" s="575"/>
      <c r="L6" s="558"/>
      <c r="M6" s="558"/>
      <c r="N6" s="558"/>
      <c r="O6" s="558"/>
      <c r="P6" s="558"/>
    </row>
    <row r="7" spans="2:16">
      <c r="B7" s="571"/>
      <c r="C7" s="558"/>
      <c r="D7" s="558"/>
      <c r="E7" s="558"/>
      <c r="F7" s="558"/>
      <c r="G7" s="558"/>
      <c r="H7" s="558"/>
      <c r="I7" s="558"/>
      <c r="J7" s="558"/>
      <c r="K7" s="575"/>
      <c r="L7" s="558"/>
      <c r="M7" s="558"/>
      <c r="N7" s="558"/>
      <c r="O7" s="558"/>
      <c r="P7" s="558"/>
    </row>
    <row r="8" spans="2:16" ht="15.6">
      <c r="B8" s="571"/>
      <c r="C8" s="558"/>
      <c r="D8" s="576" t="s">
        <v>190</v>
      </c>
      <c r="E8" s="576" t="s">
        <v>180</v>
      </c>
      <c r="F8" s="577" t="s">
        <v>468</v>
      </c>
      <c r="G8" s="577" t="s">
        <v>444</v>
      </c>
      <c r="H8" s="577" t="s">
        <v>439</v>
      </c>
      <c r="I8" s="577" t="s">
        <v>474</v>
      </c>
      <c r="J8" s="577" t="s">
        <v>66</v>
      </c>
      <c r="K8" s="578" t="s">
        <v>182</v>
      </c>
      <c r="L8" s="558"/>
      <c r="M8" s="579"/>
      <c r="N8" s="580"/>
      <c r="O8" s="558"/>
      <c r="P8" s="581"/>
    </row>
    <row r="9" spans="2:16" ht="15.6">
      <c r="B9" s="574" t="s">
        <v>445</v>
      </c>
      <c r="C9" s="558"/>
      <c r="D9" s="558"/>
      <c r="E9" s="558"/>
      <c r="F9" s="558"/>
      <c r="G9" s="558"/>
      <c r="H9" s="558"/>
      <c r="I9" s="558"/>
      <c r="J9" s="558"/>
      <c r="K9" s="575"/>
      <c r="L9" s="558"/>
      <c r="M9" s="579"/>
      <c r="N9" s="582"/>
      <c r="O9" s="558"/>
      <c r="P9" s="581"/>
    </row>
    <row r="10" spans="2:16" ht="15.6">
      <c r="B10" s="571"/>
      <c r="C10" s="558"/>
      <c r="D10" s="558"/>
      <c r="E10" s="558"/>
      <c r="F10" s="558"/>
      <c r="G10" s="558"/>
      <c r="H10" s="558"/>
      <c r="I10" s="558"/>
      <c r="J10" s="558"/>
      <c r="K10" s="575"/>
      <c r="L10" s="558"/>
      <c r="M10" s="558"/>
      <c r="N10" s="558"/>
      <c r="O10" s="558"/>
      <c r="P10" s="581"/>
    </row>
    <row r="11" spans="2:16" ht="15.6">
      <c r="B11" s="571" t="s">
        <v>446</v>
      </c>
      <c r="C11" s="558"/>
      <c r="D11" s="583">
        <f>SUMRY!S19</f>
        <v>0</v>
      </c>
      <c r="E11" s="583">
        <f>SUMRY!T19</f>
        <v>0</v>
      </c>
      <c r="F11" s="584">
        <f>'1'!AC23</f>
        <v>0</v>
      </c>
      <c r="G11" s="583">
        <f>SUMRY!U19-F11</f>
        <v>0</v>
      </c>
      <c r="H11" s="583">
        <f>SUMRY!V19</f>
        <v>0</v>
      </c>
      <c r="I11" s="583">
        <f>SUM(D11:H11)</f>
        <v>0</v>
      </c>
      <c r="J11" s="583">
        <f>SUMRY!W19</f>
        <v>0</v>
      </c>
      <c r="K11" s="585">
        <f>SUM(I11:J11)</f>
        <v>0</v>
      </c>
      <c r="L11" s="586" t="s">
        <v>448</v>
      </c>
      <c r="M11" s="558"/>
      <c r="N11" s="558"/>
      <c r="O11" s="558"/>
      <c r="P11" s="581"/>
    </row>
    <row r="12" spans="2:16" ht="16.2" thickBot="1">
      <c r="B12" s="571" t="s">
        <v>449</v>
      </c>
      <c r="C12" s="558"/>
      <c r="D12" s="558"/>
      <c r="E12" s="587"/>
      <c r="F12" s="587"/>
      <c r="G12" s="587"/>
      <c r="H12" s="587"/>
      <c r="I12" s="583">
        <f>-SUMRY!M21</f>
        <v>0</v>
      </c>
      <c r="J12" s="587"/>
      <c r="K12" s="585">
        <f t="shared" ref="K12:K18" si="0">SUM(I12:J12)</f>
        <v>0</v>
      </c>
      <c r="L12" s="586"/>
      <c r="M12" s="558"/>
      <c r="N12" s="558"/>
      <c r="O12" s="558"/>
      <c r="P12" s="581"/>
    </row>
    <row r="13" spans="2:16" ht="15.6" hidden="1">
      <c r="B13" s="571" t="s">
        <v>446</v>
      </c>
      <c r="C13" s="558" t="s">
        <v>450</v>
      </c>
      <c r="D13" s="558">
        <v>0</v>
      </c>
      <c r="E13" s="587">
        <v>0</v>
      </c>
      <c r="F13" s="587" t="s">
        <v>447</v>
      </c>
      <c r="G13" s="587">
        <v>0</v>
      </c>
      <c r="H13" s="587">
        <v>0</v>
      </c>
      <c r="I13" s="587">
        <f>SUM(E13:H13)</f>
        <v>0</v>
      </c>
      <c r="J13" s="587">
        <v>0</v>
      </c>
      <c r="K13" s="588">
        <f t="shared" si="0"/>
        <v>0</v>
      </c>
      <c r="L13" s="586"/>
      <c r="M13" s="558"/>
      <c r="N13" s="558"/>
      <c r="O13" s="558"/>
      <c r="P13" s="581"/>
    </row>
    <row r="14" spans="2:16" ht="15.6" hidden="1">
      <c r="B14" s="571" t="s">
        <v>449</v>
      </c>
      <c r="C14" s="558"/>
      <c r="D14" s="558"/>
      <c r="E14" s="587"/>
      <c r="F14" s="587"/>
      <c r="G14" s="587"/>
      <c r="H14" s="587"/>
      <c r="I14" s="587">
        <v>0</v>
      </c>
      <c r="J14" s="587"/>
      <c r="K14" s="588">
        <f t="shared" si="0"/>
        <v>0</v>
      </c>
      <c r="L14" s="586"/>
      <c r="M14" s="558"/>
      <c r="N14" s="558"/>
      <c r="O14" s="558"/>
      <c r="P14" s="581"/>
    </row>
    <row r="15" spans="2:16" ht="15.6" hidden="1">
      <c r="B15" s="571" t="s">
        <v>446</v>
      </c>
      <c r="C15" s="558" t="s">
        <v>451</v>
      </c>
      <c r="D15" s="558">
        <v>0</v>
      </c>
      <c r="E15" s="587">
        <v>0</v>
      </c>
      <c r="F15" s="587" t="s">
        <v>447</v>
      </c>
      <c r="G15" s="587">
        <v>0</v>
      </c>
      <c r="H15" s="587">
        <v>0</v>
      </c>
      <c r="I15" s="587">
        <f>SUM(E15:H15)</f>
        <v>0</v>
      </c>
      <c r="J15" s="587">
        <v>0</v>
      </c>
      <c r="K15" s="588">
        <f t="shared" si="0"/>
        <v>0</v>
      </c>
      <c r="L15" s="586"/>
      <c r="M15" s="558"/>
      <c r="N15" s="558"/>
      <c r="O15" s="558"/>
      <c r="P15" s="581"/>
    </row>
    <row r="16" spans="2:16" ht="15.6" hidden="1">
      <c r="B16" s="571" t="s">
        <v>449</v>
      </c>
      <c r="C16" s="558"/>
      <c r="D16" s="558"/>
      <c r="E16" s="587"/>
      <c r="F16" s="587"/>
      <c r="G16" s="587"/>
      <c r="H16" s="587"/>
      <c r="I16" s="587">
        <v>0</v>
      </c>
      <c r="J16" s="587"/>
      <c r="K16" s="588">
        <f t="shared" si="0"/>
        <v>0</v>
      </c>
      <c r="L16" s="586"/>
      <c r="M16" s="558"/>
      <c r="N16" s="558"/>
      <c r="O16" s="558"/>
      <c r="P16" s="581"/>
    </row>
    <row r="17" spans="2:16" ht="15.6" hidden="1">
      <c r="B17" s="571" t="s">
        <v>446</v>
      </c>
      <c r="C17" s="558" t="s">
        <v>452</v>
      </c>
      <c r="D17" s="558">
        <v>0</v>
      </c>
      <c r="E17" s="587">
        <v>0</v>
      </c>
      <c r="F17" s="587" t="s">
        <v>447</v>
      </c>
      <c r="G17" s="587">
        <v>0</v>
      </c>
      <c r="H17" s="587">
        <v>0</v>
      </c>
      <c r="I17" s="587">
        <f>SUM(E17:H17)</f>
        <v>0</v>
      </c>
      <c r="J17" s="587">
        <v>0</v>
      </c>
      <c r="K17" s="588">
        <f t="shared" si="0"/>
        <v>0</v>
      </c>
      <c r="L17" s="586"/>
      <c r="M17" s="558"/>
      <c r="N17" s="558"/>
      <c r="O17" s="558"/>
      <c r="P17" s="581"/>
    </row>
    <row r="18" spans="2:16" ht="15.6" hidden="1" thickBot="1">
      <c r="B18" s="571" t="s">
        <v>449</v>
      </c>
      <c r="C18" s="558"/>
      <c r="D18" s="558"/>
      <c r="E18" s="587"/>
      <c r="F18" s="587"/>
      <c r="G18" s="587"/>
      <c r="H18" s="587"/>
      <c r="I18" s="587">
        <v>0</v>
      </c>
      <c r="J18" s="587"/>
      <c r="K18" s="588">
        <f t="shared" si="0"/>
        <v>0</v>
      </c>
      <c r="L18" s="558"/>
      <c r="M18" s="558"/>
      <c r="N18" s="558"/>
      <c r="O18" s="558"/>
      <c r="P18" s="589"/>
    </row>
    <row r="19" spans="2:16" ht="16.2" thickTop="1">
      <c r="B19" s="571"/>
      <c r="C19" s="558"/>
      <c r="D19" s="558"/>
      <c r="E19" s="587"/>
      <c r="F19" s="587"/>
      <c r="G19" s="587"/>
      <c r="H19" s="587"/>
      <c r="I19" s="590"/>
      <c r="J19" s="587"/>
      <c r="K19" s="591"/>
      <c r="L19" s="558"/>
      <c r="M19" s="558"/>
      <c r="N19" s="558"/>
      <c r="O19" s="558"/>
      <c r="P19" s="592"/>
    </row>
    <row r="20" spans="2:16" ht="15.6">
      <c r="B20" s="574" t="s">
        <v>453</v>
      </c>
      <c r="C20" s="558"/>
      <c r="D20" s="558"/>
      <c r="E20" s="587"/>
      <c r="F20" s="587"/>
      <c r="G20" s="587"/>
      <c r="H20" s="587"/>
      <c r="I20" s="593">
        <f>SUM(I11:I18)</f>
        <v>0</v>
      </c>
      <c r="J20" s="583"/>
      <c r="K20" s="594">
        <f>SUM(K11:K18)</f>
        <v>0</v>
      </c>
      <c r="L20" s="558"/>
      <c r="M20" s="558"/>
      <c r="N20" s="558"/>
      <c r="O20" s="558"/>
      <c r="P20" s="592"/>
    </row>
    <row r="21" spans="2:16" ht="15.6">
      <c r="B21" s="571"/>
      <c r="C21" s="558"/>
      <c r="D21" s="558"/>
      <c r="E21" s="587"/>
      <c r="F21" s="587"/>
      <c r="G21" s="587"/>
      <c r="H21" s="587"/>
      <c r="I21" s="587"/>
      <c r="J21" s="587"/>
      <c r="K21" s="588"/>
      <c r="L21" s="558"/>
      <c r="M21" s="558"/>
      <c r="N21" s="558"/>
      <c r="O21" s="558"/>
      <c r="P21" s="595"/>
    </row>
    <row r="22" spans="2:16" ht="15.6">
      <c r="B22" s="574" t="s">
        <v>454</v>
      </c>
      <c r="C22" s="558"/>
      <c r="D22" s="558"/>
      <c r="E22" s="587"/>
      <c r="F22" s="587"/>
      <c r="G22" s="587"/>
      <c r="H22" s="587"/>
      <c r="I22" s="587"/>
      <c r="J22" s="587"/>
      <c r="K22" s="588"/>
      <c r="L22" s="558"/>
      <c r="M22" s="558"/>
      <c r="N22" s="558"/>
      <c r="O22" s="558"/>
      <c r="P22" s="592"/>
    </row>
    <row r="23" spans="2:16" ht="15.6">
      <c r="B23" s="571"/>
      <c r="C23" s="558"/>
      <c r="D23" s="558"/>
      <c r="E23" s="596"/>
      <c r="F23" s="596"/>
      <c r="G23" s="596"/>
      <c r="H23" s="597"/>
      <c r="I23" s="598"/>
      <c r="J23" s="587"/>
      <c r="K23" s="588"/>
      <c r="L23" s="558"/>
      <c r="M23" s="558"/>
      <c r="N23" s="558"/>
      <c r="O23" s="558"/>
      <c r="P23" s="599"/>
    </row>
    <row r="24" spans="2:16" ht="16.2" thickBot="1">
      <c r="B24" s="571" t="s">
        <v>455</v>
      </c>
      <c r="C24" s="558"/>
      <c r="D24" s="600">
        <f>+I41</f>
        <v>0</v>
      </c>
      <c r="E24" s="600">
        <f>I38</f>
        <v>0</v>
      </c>
      <c r="F24" s="600">
        <f>I39</f>
        <v>0</v>
      </c>
      <c r="G24" s="600">
        <f>+I40</f>
        <v>0</v>
      </c>
      <c r="H24" s="601">
        <v>0</v>
      </c>
      <c r="I24" s="600">
        <f>SUM(E24:H24)</f>
        <v>0</v>
      </c>
      <c r="J24" s="587"/>
      <c r="K24" s="588"/>
      <c r="L24" s="598" t="s">
        <v>479</v>
      </c>
      <c r="M24" s="558"/>
      <c r="N24" s="558"/>
      <c r="O24" s="558"/>
      <c r="P24" s="595"/>
    </row>
    <row r="25" spans="2:16" ht="15.6">
      <c r="B25" s="571"/>
      <c r="C25" s="558"/>
      <c r="D25" s="583"/>
      <c r="E25" s="583"/>
      <c r="F25" s="602"/>
      <c r="G25" s="583"/>
      <c r="H25" s="583"/>
      <c r="I25" s="583"/>
      <c r="J25" s="587"/>
      <c r="K25" s="588"/>
      <c r="L25" s="558"/>
      <c r="M25" s="558"/>
      <c r="N25" s="558"/>
      <c r="O25" s="558"/>
      <c r="P25" s="592"/>
    </row>
    <row r="26" spans="2:16" ht="15.6">
      <c r="B26" s="571" t="s">
        <v>456</v>
      </c>
      <c r="C26" s="558"/>
      <c r="D26" s="587"/>
      <c r="E26" s="587"/>
      <c r="F26" s="587"/>
      <c r="G26" s="587"/>
      <c r="H26" s="603">
        <v>0</v>
      </c>
      <c r="I26" s="583">
        <f>-SUM(E26:H26)</f>
        <v>0</v>
      </c>
      <c r="J26" s="587"/>
      <c r="K26" s="10"/>
      <c r="L26" s="598" t="s">
        <v>480</v>
      </c>
      <c r="M26" s="558"/>
      <c r="N26" s="558"/>
      <c r="O26" s="558"/>
      <c r="P26" s="592"/>
    </row>
    <row r="27" spans="2:16" ht="16.2" thickBot="1">
      <c r="B27" s="571" t="s">
        <v>457</v>
      </c>
      <c r="C27" s="558"/>
      <c r="D27" s="587"/>
      <c r="E27" s="587"/>
      <c r="F27" s="587"/>
      <c r="G27" s="587"/>
      <c r="H27" s="603">
        <v>0</v>
      </c>
      <c r="I27" s="583">
        <f>-SUM(E27:H27)</f>
        <v>0</v>
      </c>
      <c r="J27" s="587"/>
      <c r="K27" s="10"/>
      <c r="L27" s="598" t="s">
        <v>481</v>
      </c>
      <c r="M27" s="558"/>
      <c r="N27" s="558"/>
      <c r="O27" s="558"/>
      <c r="P27" s="581"/>
    </row>
    <row r="28" spans="2:16">
      <c r="B28" s="571"/>
      <c r="C28" s="558"/>
      <c r="D28" s="604"/>
      <c r="E28" s="604"/>
      <c r="F28" s="604"/>
      <c r="G28" s="604"/>
      <c r="H28" s="604"/>
      <c r="I28" s="604"/>
      <c r="J28" s="587"/>
      <c r="K28" s="605"/>
      <c r="L28" s="558"/>
      <c r="M28" s="558"/>
      <c r="N28" s="558"/>
      <c r="O28" s="558"/>
      <c r="P28" s="558"/>
    </row>
    <row r="29" spans="2:16" ht="15.6">
      <c r="B29" s="574" t="s">
        <v>458</v>
      </c>
      <c r="C29" s="558"/>
      <c r="D29" s="583">
        <f>SUM(D24:D27)</f>
        <v>0</v>
      </c>
      <c r="E29" s="583">
        <f t="shared" ref="E29:I29" si="1">SUM(E24:E27)</f>
        <v>0</v>
      </c>
      <c r="F29" s="583">
        <f t="shared" si="1"/>
        <v>0</v>
      </c>
      <c r="G29" s="583">
        <f t="shared" si="1"/>
        <v>0</v>
      </c>
      <c r="H29" s="583">
        <f>H24-H26-H27</f>
        <v>0</v>
      </c>
      <c r="I29" s="583">
        <f t="shared" si="1"/>
        <v>0</v>
      </c>
      <c r="J29" s="583"/>
      <c r="K29" s="585">
        <f>+I29</f>
        <v>0</v>
      </c>
      <c r="L29" s="598" t="s">
        <v>482</v>
      </c>
      <c r="M29" s="558"/>
      <c r="N29" s="558"/>
      <c r="O29" s="558"/>
      <c r="P29" s="558"/>
    </row>
    <row r="30" spans="2:16">
      <c r="B30" s="571"/>
      <c r="C30" s="558"/>
      <c r="D30" s="583"/>
      <c r="E30" s="583"/>
      <c r="F30" s="583"/>
      <c r="G30" s="583"/>
      <c r="H30" s="583"/>
      <c r="I30" s="583"/>
      <c r="J30" s="583"/>
      <c r="K30" s="585"/>
      <c r="L30" s="558"/>
      <c r="M30" s="558"/>
      <c r="N30" s="558"/>
      <c r="O30" s="558"/>
      <c r="P30" s="558"/>
    </row>
    <row r="31" spans="2:16" ht="16.2" thickBot="1">
      <c r="B31" s="606" t="s">
        <v>459</v>
      </c>
      <c r="C31" s="607"/>
      <c r="D31" s="600">
        <f>+D11-D29</f>
        <v>0</v>
      </c>
      <c r="E31" s="600">
        <f>+E11-E29</f>
        <v>0</v>
      </c>
      <c r="F31" s="600">
        <f>+F11-F29</f>
        <v>0</v>
      </c>
      <c r="G31" s="600">
        <f>+G11-G29</f>
        <v>0</v>
      </c>
      <c r="H31" s="600">
        <f>+H11-H29</f>
        <v>0</v>
      </c>
      <c r="I31" s="608">
        <f>+I20-I29</f>
        <v>0</v>
      </c>
      <c r="J31" s="600"/>
      <c r="K31" s="609">
        <f>+K20-K29</f>
        <v>0</v>
      </c>
      <c r="L31" s="598" t="s">
        <v>460</v>
      </c>
      <c r="M31" s="558"/>
      <c r="N31" s="558"/>
      <c r="O31" s="558"/>
      <c r="P31" s="558"/>
    </row>
    <row r="32" spans="2:16" ht="16.2" thickBot="1">
      <c r="B32" s="610"/>
      <c r="C32" s="558"/>
      <c r="D32" s="558"/>
      <c r="E32" s="587"/>
      <c r="F32" s="587"/>
      <c r="G32" s="587"/>
      <c r="H32" s="587"/>
      <c r="I32" s="587"/>
      <c r="J32" s="587"/>
      <c r="K32" s="611"/>
      <c r="L32" s="558"/>
      <c r="M32" s="558"/>
      <c r="N32" s="558"/>
      <c r="O32" s="558"/>
      <c r="P32" s="558"/>
    </row>
    <row r="33" spans="2:16" ht="15.6">
      <c r="B33" s="612" t="s">
        <v>473</v>
      </c>
      <c r="C33" s="613"/>
      <c r="D33" s="613"/>
      <c r="E33" s="604"/>
      <c r="F33" s="604"/>
      <c r="G33" s="604"/>
      <c r="H33" s="604"/>
      <c r="I33" s="604"/>
      <c r="J33" s="604"/>
      <c r="K33" s="605"/>
      <c r="L33" s="558"/>
      <c r="M33" s="558"/>
      <c r="N33" s="558"/>
      <c r="O33" s="558"/>
      <c r="P33" s="558"/>
    </row>
    <row r="34" spans="2:16" ht="15.6">
      <c r="B34" s="574"/>
      <c r="C34" s="582"/>
      <c r="D34" s="582"/>
      <c r="E34" s="587"/>
      <c r="F34" s="587"/>
      <c r="G34" s="587"/>
      <c r="H34" s="587"/>
      <c r="I34" s="587"/>
      <c r="J34" s="587"/>
      <c r="K34" s="588"/>
      <c r="L34" s="558"/>
      <c r="M34" s="558"/>
      <c r="N34" s="558"/>
      <c r="O34" s="558"/>
      <c r="P34" s="558"/>
    </row>
    <row r="35" spans="2:16">
      <c r="B35" s="571"/>
      <c r="C35" s="582"/>
      <c r="D35" s="582"/>
      <c r="E35" s="587"/>
      <c r="F35" s="587"/>
      <c r="G35" s="587"/>
      <c r="H35" s="587"/>
      <c r="I35" s="587"/>
      <c r="J35" s="587"/>
      <c r="K35" s="588"/>
      <c r="L35" s="558"/>
      <c r="M35" s="558"/>
      <c r="N35" s="558"/>
      <c r="O35" s="558"/>
      <c r="P35" s="558"/>
    </row>
    <row r="36" spans="2:16" ht="15.6">
      <c r="B36" s="571"/>
      <c r="C36" s="582"/>
      <c r="F36" s="614" t="s">
        <v>461</v>
      </c>
      <c r="G36" s="614" t="s">
        <v>462</v>
      </c>
      <c r="H36" s="614" t="s">
        <v>463</v>
      </c>
      <c r="I36" s="614" t="s">
        <v>182</v>
      </c>
      <c r="J36" s="587"/>
      <c r="K36" s="588"/>
      <c r="L36" s="579"/>
      <c r="M36" s="582"/>
      <c r="N36" s="558"/>
      <c r="O36" s="558"/>
      <c r="P36" s="558"/>
    </row>
    <row r="37" spans="2:16">
      <c r="B37" s="571" t="s">
        <v>464</v>
      </c>
      <c r="C37" s="582"/>
      <c r="F37" s="603"/>
      <c r="G37" s="603">
        <v>0</v>
      </c>
      <c r="H37" s="603"/>
      <c r="I37" s="583">
        <f>SUM(F37:H37)</f>
        <v>0</v>
      </c>
      <c r="J37" s="587"/>
      <c r="K37" s="588"/>
      <c r="L37" s="598" t="s">
        <v>465</v>
      </c>
      <c r="M37" s="582"/>
      <c r="N37" s="558"/>
      <c r="O37" s="558"/>
      <c r="P37" s="558"/>
    </row>
    <row r="38" spans="2:16">
      <c r="B38" s="571" t="s">
        <v>466</v>
      </c>
      <c r="C38" s="582"/>
      <c r="F38" s="603">
        <v>0</v>
      </c>
      <c r="G38" s="583"/>
      <c r="H38" s="603">
        <v>0</v>
      </c>
      <c r="I38" s="583">
        <f>SUM(F38:H38)</f>
        <v>0</v>
      </c>
      <c r="J38" s="587"/>
      <c r="K38" s="588"/>
      <c r="L38" s="598" t="s">
        <v>467</v>
      </c>
      <c r="M38" s="582"/>
      <c r="N38" s="558"/>
      <c r="O38" s="558"/>
      <c r="P38" s="558"/>
    </row>
    <row r="39" spans="2:16">
      <c r="B39" s="571" t="s">
        <v>468</v>
      </c>
      <c r="C39" s="582"/>
      <c r="F39" s="603">
        <v>0</v>
      </c>
      <c r="G39" s="583"/>
      <c r="H39" s="603">
        <v>0</v>
      </c>
      <c r="I39" s="583">
        <f>SUM(F39:H39)</f>
        <v>0</v>
      </c>
      <c r="J39" s="587"/>
      <c r="K39" s="588"/>
      <c r="L39" s="598" t="s">
        <v>467</v>
      </c>
      <c r="M39" s="582"/>
    </row>
    <row r="40" spans="2:16">
      <c r="B40" s="571" t="s">
        <v>475</v>
      </c>
      <c r="C40" s="582"/>
      <c r="F40" s="603">
        <v>0</v>
      </c>
      <c r="G40" s="583"/>
      <c r="H40" s="603">
        <v>0</v>
      </c>
      <c r="I40" s="583">
        <f>SUM(F40:H40)</f>
        <v>0</v>
      </c>
      <c r="J40" s="587"/>
      <c r="K40" s="588"/>
      <c r="L40" s="598"/>
      <c r="M40" s="582"/>
    </row>
    <row r="41" spans="2:16" ht="15.6" thickBot="1">
      <c r="B41" s="571" t="s">
        <v>190</v>
      </c>
      <c r="C41" s="582"/>
      <c r="F41" s="603">
        <v>0</v>
      </c>
      <c r="G41" s="583"/>
      <c r="H41" s="603">
        <v>0</v>
      </c>
      <c r="I41" s="583">
        <f>SUM(F41:H41)</f>
        <v>0</v>
      </c>
      <c r="J41" s="587"/>
      <c r="K41" s="588"/>
      <c r="L41" s="598" t="s">
        <v>467</v>
      </c>
      <c r="M41" s="582"/>
    </row>
    <row r="42" spans="2:16" ht="15.6" thickTop="1">
      <c r="B42" s="571"/>
      <c r="C42" s="582"/>
      <c r="F42" s="615"/>
      <c r="G42" s="615"/>
      <c r="H42" s="615"/>
      <c r="I42" s="615"/>
      <c r="J42" s="587"/>
      <c r="K42" s="588"/>
      <c r="L42" s="579"/>
      <c r="M42" s="582"/>
    </row>
    <row r="43" spans="2:16">
      <c r="B43" s="571" t="s">
        <v>469</v>
      </c>
      <c r="C43" s="582"/>
      <c r="F43" s="583">
        <f>SUM(F37:F41)</f>
        <v>0</v>
      </c>
      <c r="G43" s="583">
        <f>SUM(G37:G42)</f>
        <v>0</v>
      </c>
      <c r="H43" s="583">
        <f>SUM(H37:H41)</f>
        <v>0</v>
      </c>
      <c r="I43" s="583">
        <f t="shared" ref="I43" si="2">SUM(I37:I41)</f>
        <v>0</v>
      </c>
      <c r="J43" s="587"/>
      <c r="K43" s="588"/>
      <c r="L43" s="579"/>
      <c r="M43" s="582"/>
    </row>
    <row r="44" spans="2:16">
      <c r="B44" s="571"/>
      <c r="C44" s="582"/>
      <c r="D44" s="582"/>
      <c r="E44" s="587"/>
      <c r="F44" s="587"/>
      <c r="G44" s="587"/>
      <c r="H44" s="587"/>
      <c r="I44" s="587"/>
      <c r="J44" s="587"/>
      <c r="K44" s="588"/>
      <c r="L44" s="579"/>
      <c r="M44" s="582"/>
    </row>
    <row r="45" spans="2:16">
      <c r="B45" s="571" t="s">
        <v>470</v>
      </c>
      <c r="C45" s="582"/>
      <c r="D45" s="582"/>
      <c r="E45" s="587"/>
      <c r="F45" s="587"/>
      <c r="G45" s="587"/>
      <c r="H45" s="587"/>
      <c r="I45" s="593">
        <f>+I29-I43</f>
        <v>0</v>
      </c>
      <c r="J45" s="587"/>
      <c r="K45" s="588"/>
      <c r="L45" s="579"/>
      <c r="M45" s="582"/>
    </row>
    <row r="46" spans="2:16" ht="15.6" thickBot="1">
      <c r="B46" s="616"/>
      <c r="C46" s="607"/>
      <c r="D46" s="607"/>
      <c r="E46" s="617"/>
      <c r="F46" s="618"/>
      <c r="G46" s="618"/>
      <c r="H46" s="618"/>
      <c r="I46" s="618"/>
      <c r="J46" s="618"/>
      <c r="K46" s="619"/>
      <c r="L46" s="558"/>
      <c r="M46" s="558"/>
    </row>
  </sheetData>
  <dataValidations disablePrompts="1" count="2">
    <dataValidation type="custom" allowBlank="1" showInputMessage="1" showErrorMessage="1" error="Data entry in this cell is denied." sqref="G38:G41" xr:uid="{00000000-0002-0000-0100-000000000000}">
      <formula1>"&lt;&gt;ActiveCell"</formula1>
    </dataValidation>
    <dataValidation allowBlank="1" showInputMessage="1" showErrorMessage="1" sqref="F37" xr:uid="{00000000-0002-0000-0100-000001000000}"/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82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autoPageBreaks="0" fitToPage="1"/>
  </sheetPr>
  <dimension ref="A1:AW88"/>
  <sheetViews>
    <sheetView showOutlineSymbols="0" zoomScale="82" zoomScaleNormal="70" workbookViewId="0">
      <pane ySplit="7" topLeftCell="A8" activePane="bottomLeft" state="frozen"/>
      <selection pane="bottomLeft" activeCell="H9" sqref="H9"/>
    </sheetView>
  </sheetViews>
  <sheetFormatPr defaultColWidth="8.81640625" defaultRowHeight="15"/>
  <cols>
    <col min="1" max="1" width="2.7265625" style="45" customWidth="1"/>
    <col min="2" max="2" width="12.7265625" style="45" customWidth="1"/>
    <col min="3" max="3" width="17.54296875" style="45" bestFit="1" customWidth="1"/>
    <col min="4" max="7" width="12.7265625" style="45" customWidth="1"/>
    <col min="8" max="8" width="2.7265625" style="45" customWidth="1"/>
    <col min="9" max="9" width="10.1796875" style="45" customWidth="1"/>
    <col min="10" max="10" width="44.7265625" style="45" bestFit="1" customWidth="1"/>
    <col min="11" max="11" width="30.7265625" style="45" customWidth="1"/>
    <col min="12" max="13" width="16.7265625" style="45" customWidth="1"/>
    <col min="14" max="15" width="14.7265625" style="45" customWidth="1"/>
    <col min="16" max="17" width="9.7265625" style="45" customWidth="1"/>
    <col min="18" max="18" width="17.54296875" style="45" bestFit="1" customWidth="1"/>
    <col min="19" max="23" width="10.7265625" style="45" customWidth="1"/>
    <col min="24" max="24" width="15.26953125" customWidth="1"/>
    <col min="25" max="47" width="10.7265625" style="45" customWidth="1"/>
    <col min="48" max="48" width="2.453125" style="45" customWidth="1"/>
    <col min="49" max="49" width="2.26953125" style="45" customWidth="1"/>
    <col min="50" max="57" width="8.81640625" style="45" customWidth="1"/>
    <col min="58" max="16384" width="8.81640625" style="45"/>
  </cols>
  <sheetData>
    <row r="1" spans="1:49" s="23" customFormat="1" ht="15.6">
      <c r="A1" s="22"/>
      <c r="B1" s="22"/>
      <c r="C1" s="22"/>
      <c r="D1" s="22"/>
      <c r="F1" s="22"/>
      <c r="G1" s="22"/>
      <c r="H1" s="22" t="s">
        <v>152</v>
      </c>
      <c r="I1" s="388" t="s">
        <v>0</v>
      </c>
      <c r="J1" s="388"/>
      <c r="K1" s="25" t="s">
        <v>95</v>
      </c>
      <c r="L1" s="26" t="s">
        <v>471</v>
      </c>
      <c r="M1" s="27"/>
      <c r="N1" s="28"/>
      <c r="O1" s="29"/>
      <c r="P1" s="22"/>
      <c r="Q1" s="22"/>
      <c r="R1" s="22"/>
      <c r="S1" s="30" t="s">
        <v>117</v>
      </c>
      <c r="T1" s="22"/>
      <c r="U1" s="22"/>
      <c r="V1" s="22"/>
      <c r="W1" s="22"/>
      <c r="X1"/>
      <c r="Y1" s="25"/>
      <c r="Z1" s="31"/>
      <c r="AA1" s="31"/>
      <c r="AB1" s="31"/>
      <c r="AC1" s="31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3" t="s">
        <v>170</v>
      </c>
      <c r="AW1" s="23" t="s">
        <v>171</v>
      </c>
    </row>
    <row r="2" spans="1:49" s="23" customFormat="1" ht="33">
      <c r="A2" s="22"/>
      <c r="B2" s="22"/>
      <c r="C2" s="22"/>
      <c r="D2" s="22"/>
      <c r="E2" s="32"/>
      <c r="F2" s="32"/>
      <c r="G2" s="22"/>
      <c r="H2" s="22" t="s">
        <v>152</v>
      </c>
      <c r="I2" s="31" t="s">
        <v>1</v>
      </c>
      <c r="J2" s="33" t="s">
        <v>472</v>
      </c>
      <c r="K2" s="34"/>
      <c r="L2" s="25"/>
      <c r="M2" s="35"/>
      <c r="N2" s="35"/>
      <c r="O2" s="35"/>
      <c r="P2" s="36" t="s">
        <v>6</v>
      </c>
      <c r="Q2" s="36"/>
      <c r="R2" s="36"/>
      <c r="S2" s="36"/>
      <c r="T2" s="36"/>
      <c r="U2" s="36"/>
      <c r="V2" s="36"/>
      <c r="W2" s="36"/>
      <c r="X2" s="36"/>
      <c r="Y2" s="37"/>
      <c r="Z2" s="37"/>
      <c r="AA2" s="37"/>
      <c r="AB2" s="37"/>
      <c r="AC2" s="37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23" t="s">
        <v>170</v>
      </c>
      <c r="AW2" s="23" t="s">
        <v>171</v>
      </c>
    </row>
    <row r="3" spans="1:49" ht="15.6">
      <c r="A3"/>
      <c r="B3"/>
      <c r="C3"/>
      <c r="D3" t="s">
        <v>2</v>
      </c>
      <c r="E3" s="39">
        <f>F56</f>
        <v>60</v>
      </c>
      <c r="F3" s="40">
        <f>F71</f>
        <v>0.1</v>
      </c>
      <c r="G3"/>
      <c r="H3" s="22" t="s">
        <v>152</v>
      </c>
      <c r="I3" s="389" t="s">
        <v>3</v>
      </c>
      <c r="J3" s="389"/>
      <c r="K3" s="42" t="s">
        <v>4</v>
      </c>
      <c r="L3" s="43" t="s">
        <v>436</v>
      </c>
      <c r="M3" s="44"/>
      <c r="N3" s="24"/>
      <c r="P3" s="36"/>
      <c r="Q3" s="36"/>
      <c r="R3" s="36"/>
      <c r="S3" s="36"/>
      <c r="T3" s="36"/>
      <c r="U3" s="36"/>
      <c r="V3" s="36"/>
      <c r="W3" s="36"/>
      <c r="X3" s="36"/>
      <c r="Y3" s="379" t="s">
        <v>5</v>
      </c>
      <c r="Z3" s="379"/>
      <c r="AA3" s="379"/>
      <c r="AB3" s="379"/>
      <c r="AC3" s="379"/>
      <c r="AD3" s="379"/>
      <c r="AE3" s="379"/>
      <c r="AF3" s="379"/>
      <c r="AG3" s="379"/>
      <c r="AH3" s="379"/>
      <c r="AI3" s="379"/>
      <c r="AJ3" s="379"/>
      <c r="AK3" s="379"/>
      <c r="AL3" s="379"/>
      <c r="AM3" s="379"/>
      <c r="AN3" s="379"/>
      <c r="AO3" s="379"/>
      <c r="AP3" s="379"/>
      <c r="AQ3" s="379"/>
      <c r="AR3" s="379"/>
      <c r="AS3" s="379"/>
      <c r="AT3" s="379"/>
      <c r="AU3" s="380"/>
      <c r="AV3" s="23" t="s">
        <v>170</v>
      </c>
      <c r="AW3" s="23" t="s">
        <v>171</v>
      </c>
    </row>
    <row r="4" spans="1:49" s="23" customFormat="1" ht="15.6">
      <c r="A4" s="387" t="s">
        <v>100</v>
      </c>
      <c r="B4" s="387"/>
      <c r="C4" s="387"/>
      <c r="D4" s="387"/>
      <c r="E4" s="387"/>
      <c r="F4" s="387"/>
      <c r="G4" s="387"/>
      <c r="H4" s="22" t="s">
        <v>152</v>
      </c>
      <c r="J4" s="22"/>
      <c r="K4" s="22"/>
      <c r="L4" s="22"/>
      <c r="M4" s="46"/>
      <c r="N4" s="44"/>
      <c r="O4" s="47"/>
      <c r="P4" s="36"/>
      <c r="Q4" s="36"/>
      <c r="R4" s="36"/>
      <c r="S4" s="36"/>
      <c r="T4" s="36"/>
      <c r="U4" s="36"/>
      <c r="V4" s="36"/>
      <c r="W4" s="36"/>
      <c r="X4" s="36"/>
      <c r="Y4" s="3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9"/>
      <c r="AS4" s="48"/>
      <c r="AT4" s="48"/>
      <c r="AU4" s="48"/>
      <c r="AV4" s="23" t="s">
        <v>170</v>
      </c>
      <c r="AW4" s="23" t="s">
        <v>171</v>
      </c>
    </row>
    <row r="5" spans="1:49" ht="15.6">
      <c r="A5"/>
      <c r="B5" s="50" t="s">
        <v>99</v>
      </c>
      <c r="C5" s="369" t="s">
        <v>484</v>
      </c>
      <c r="D5" s="51" t="s">
        <v>7</v>
      </c>
      <c r="E5" s="52" t="s">
        <v>8</v>
      </c>
      <c r="F5" s="53" t="s">
        <v>9</v>
      </c>
      <c r="G5" s="54" t="s">
        <v>10</v>
      </c>
      <c r="H5" s="22" t="s">
        <v>152</v>
      </c>
      <c r="I5" s="41" t="s">
        <v>11</v>
      </c>
      <c r="J5" s="55" t="s">
        <v>132</v>
      </c>
      <c r="K5" s="55" t="s">
        <v>133</v>
      </c>
      <c r="L5" s="42" t="s">
        <v>12</v>
      </c>
      <c r="M5" s="56" t="s">
        <v>13</v>
      </c>
      <c r="N5" s="56" t="s">
        <v>111</v>
      </c>
      <c r="O5" s="56" t="s">
        <v>112</v>
      </c>
      <c r="P5" s="57" t="s">
        <v>71</v>
      </c>
      <c r="Q5" s="57" t="s">
        <v>71</v>
      </c>
      <c r="R5" s="58" t="s">
        <v>484</v>
      </c>
      <c r="S5" s="51" t="s">
        <v>7</v>
      </c>
      <c r="T5" s="52" t="s">
        <v>8</v>
      </c>
      <c r="U5" s="53" t="s">
        <v>9</v>
      </c>
      <c r="V5" s="54" t="s">
        <v>14</v>
      </c>
      <c r="W5" s="59" t="s">
        <v>70</v>
      </c>
      <c r="Y5" s="60" t="s">
        <v>70</v>
      </c>
      <c r="Z5" s="61" t="s">
        <v>122</v>
      </c>
      <c r="AA5" s="402" t="s">
        <v>484</v>
      </c>
      <c r="AB5" s="403"/>
      <c r="AC5" s="62" t="s">
        <v>7</v>
      </c>
      <c r="AD5" s="62" t="s">
        <v>7</v>
      </c>
      <c r="AE5" s="396" t="s">
        <v>82</v>
      </c>
      <c r="AF5" s="397"/>
      <c r="AG5" s="396" t="s">
        <v>80</v>
      </c>
      <c r="AH5" s="397"/>
      <c r="AI5" s="397"/>
      <c r="AJ5" s="398"/>
      <c r="AK5" s="399" t="s">
        <v>81</v>
      </c>
      <c r="AL5" s="400"/>
      <c r="AM5" s="390" t="s">
        <v>76</v>
      </c>
      <c r="AN5" s="391"/>
      <c r="AO5" s="391"/>
      <c r="AP5" s="392"/>
      <c r="AQ5" s="393" t="s">
        <v>83</v>
      </c>
      <c r="AR5" s="401"/>
      <c r="AS5" s="393" t="s">
        <v>78</v>
      </c>
      <c r="AT5" s="394"/>
      <c r="AU5" s="395"/>
      <c r="AV5" s="23" t="s">
        <v>170</v>
      </c>
      <c r="AW5" s="23" t="s">
        <v>171</v>
      </c>
    </row>
    <row r="6" spans="1:49" ht="15.6">
      <c r="B6" s="50" t="s">
        <v>70</v>
      </c>
      <c r="C6" s="369" t="s">
        <v>15</v>
      </c>
      <c r="D6" s="51" t="s">
        <v>15</v>
      </c>
      <c r="E6" s="52" t="s">
        <v>71</v>
      </c>
      <c r="F6" s="53" t="s">
        <v>15</v>
      </c>
      <c r="G6" s="54" t="s">
        <v>15</v>
      </c>
      <c r="H6" s="22" t="s">
        <v>152</v>
      </c>
      <c r="I6" s="41" t="s">
        <v>16</v>
      </c>
      <c r="J6" s="55"/>
      <c r="K6" s="55"/>
      <c r="L6" s="42" t="s">
        <v>15</v>
      </c>
      <c r="M6" s="56" t="s">
        <v>15</v>
      </c>
      <c r="N6" s="56" t="s">
        <v>13</v>
      </c>
      <c r="O6" s="56" t="s">
        <v>15</v>
      </c>
      <c r="P6" s="63" t="s">
        <v>121</v>
      </c>
      <c r="Q6" s="57" t="s">
        <v>120</v>
      </c>
      <c r="R6" s="64" t="s">
        <v>15</v>
      </c>
      <c r="S6" s="51" t="s">
        <v>18</v>
      </c>
      <c r="T6" s="52" t="s">
        <v>18</v>
      </c>
      <c r="U6" s="53" t="s">
        <v>18</v>
      </c>
      <c r="V6" s="54" t="s">
        <v>18</v>
      </c>
      <c r="W6" s="65" t="s">
        <v>15</v>
      </c>
      <c r="Y6" s="60" t="s">
        <v>99</v>
      </c>
      <c r="Z6" s="66" t="s">
        <v>99</v>
      </c>
      <c r="AA6" s="369" t="s">
        <v>15</v>
      </c>
      <c r="AB6" s="369" t="s">
        <v>17</v>
      </c>
      <c r="AC6" s="62" t="s">
        <v>15</v>
      </c>
      <c r="AD6" s="62" t="s">
        <v>17</v>
      </c>
      <c r="AE6" s="52" t="s">
        <v>71</v>
      </c>
      <c r="AF6" s="52" t="s">
        <v>79</v>
      </c>
      <c r="AG6" s="52" t="s">
        <v>71</v>
      </c>
      <c r="AH6" s="52" t="s">
        <v>113</v>
      </c>
      <c r="AI6" s="52" t="s">
        <v>114</v>
      </c>
      <c r="AJ6" s="52" t="s">
        <v>79</v>
      </c>
      <c r="AK6" s="66" t="s">
        <v>70</v>
      </c>
      <c r="AL6" s="53" t="s">
        <v>15</v>
      </c>
      <c r="AM6" s="53" t="s">
        <v>15</v>
      </c>
      <c r="AN6" s="53" t="s">
        <v>77</v>
      </c>
      <c r="AO6" s="53" t="s">
        <v>109</v>
      </c>
      <c r="AP6" s="66" t="s">
        <v>70</v>
      </c>
      <c r="AQ6" s="54" t="s">
        <v>15</v>
      </c>
      <c r="AR6" s="66" t="s">
        <v>70</v>
      </c>
      <c r="AS6" s="54" t="s">
        <v>15</v>
      </c>
      <c r="AT6" s="54" t="s">
        <v>109</v>
      </c>
      <c r="AU6" s="66" t="s">
        <v>70</v>
      </c>
      <c r="AV6" s="23" t="s">
        <v>170</v>
      </c>
      <c r="AW6" s="23" t="s">
        <v>171</v>
      </c>
    </row>
    <row r="7" spans="1:49" ht="15.6" thickBot="1">
      <c r="B7" s="67"/>
      <c r="C7" s="370"/>
      <c r="D7" s="68"/>
      <c r="E7" s="69"/>
      <c r="F7" s="70"/>
      <c r="G7" s="71"/>
      <c r="H7" s="45" t="s">
        <v>152</v>
      </c>
      <c r="R7" s="370"/>
      <c r="S7" s="21"/>
      <c r="T7" s="72"/>
      <c r="U7" s="73"/>
      <c r="V7" s="74"/>
      <c r="W7" s="75"/>
      <c r="X7" s="76"/>
      <c r="Y7" s="67"/>
      <c r="Z7" s="67"/>
      <c r="AA7" s="370"/>
      <c r="AB7" s="370"/>
      <c r="AC7" s="77"/>
      <c r="AD7" s="77"/>
      <c r="AE7" s="69"/>
      <c r="AF7" s="69"/>
      <c r="AG7" s="69"/>
      <c r="AH7" s="69"/>
      <c r="AI7" s="69"/>
      <c r="AJ7" s="69"/>
      <c r="AK7" s="67"/>
      <c r="AL7" s="70"/>
      <c r="AM7" s="70"/>
      <c r="AN7" s="70"/>
      <c r="AO7" s="70"/>
      <c r="AP7" s="67"/>
      <c r="AQ7" s="71"/>
      <c r="AR7" s="67"/>
      <c r="AS7" s="71"/>
      <c r="AT7" s="71"/>
      <c r="AU7" s="67"/>
      <c r="AV7" s="23" t="s">
        <v>170</v>
      </c>
      <c r="AW7" s="23" t="s">
        <v>171</v>
      </c>
    </row>
    <row r="8" spans="1:49" ht="3.75" customHeight="1" thickTop="1">
      <c r="A8" s="78"/>
      <c r="B8" s="78"/>
      <c r="C8" s="78"/>
      <c r="D8" s="78"/>
      <c r="E8" s="78"/>
      <c r="F8" s="78"/>
      <c r="G8" s="78"/>
      <c r="H8" s="78" t="s">
        <v>152</v>
      </c>
      <c r="I8" s="79"/>
      <c r="J8" s="79"/>
      <c r="K8" s="79"/>
      <c r="L8" s="79"/>
      <c r="M8" s="79"/>
      <c r="N8" s="78"/>
      <c r="O8" s="78"/>
      <c r="P8" s="78"/>
      <c r="Q8" s="78"/>
      <c r="R8" s="78"/>
      <c r="S8" s="78"/>
      <c r="T8" s="78"/>
      <c r="U8" s="78"/>
      <c r="V8" s="78"/>
      <c r="W8" s="78"/>
      <c r="X8" s="80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23" t="s">
        <v>170</v>
      </c>
      <c r="AW8" s="23" t="s">
        <v>171</v>
      </c>
    </row>
    <row r="9" spans="1:49">
      <c r="A9" s="81">
        <v>1</v>
      </c>
      <c r="B9" s="18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385" t="s">
        <v>152</v>
      </c>
      <c r="I9" s="7">
        <v>1</v>
      </c>
      <c r="J9" s="8" t="s">
        <v>20</v>
      </c>
      <c r="L9" s="84">
        <f t="shared" ref="L9" si="0">_xlfn.IFNA(SUM(Y9:AU9)-(AE9+AG9+AH9),0)</f>
        <v>0</v>
      </c>
      <c r="M9" s="84">
        <f>IF(A9=0,+'1'!W239,0)</f>
        <v>0</v>
      </c>
      <c r="N9" s="85">
        <v>0</v>
      </c>
      <c r="O9" s="84">
        <f t="shared" ref="O9" si="1">+M9-N9</f>
        <v>0</v>
      </c>
      <c r="P9" s="86">
        <f t="shared" ref="P9" si="2">(AG9+AH9)-Q9</f>
        <v>0</v>
      </c>
      <c r="Q9" s="86">
        <f t="shared" ref="Q9" si="3">+T9/E$3</f>
        <v>0</v>
      </c>
      <c r="R9" s="86">
        <f>IF(A9=0,'1'!Z239,0)</f>
        <v>0</v>
      </c>
      <c r="S9" s="86">
        <f>IF(A9=0,'1'!AA239,0)</f>
        <v>0</v>
      </c>
      <c r="T9" s="86">
        <f>IF(A9=0,'1'!AB239,0)</f>
        <v>0</v>
      </c>
      <c r="U9" s="86">
        <f>IF(A9=0,'1'!AC239,0)</f>
        <v>0</v>
      </c>
      <c r="V9" s="86">
        <f>IF(A9=0,'1'!AD239,0)</f>
        <v>0</v>
      </c>
      <c r="W9" s="86">
        <f>IF(A9=0,'1'!AE239,0)</f>
        <v>0</v>
      </c>
      <c r="Y9" s="86">
        <f t="shared" ref="Y9" si="4">_xlfn.IFNA(IF((A9=1),B9,0),0)</f>
        <v>0</v>
      </c>
      <c r="Z9" s="86">
        <f>IF(A9=0,+'1'!AG239,0)</f>
        <v>0</v>
      </c>
      <c r="AA9" s="86">
        <f>_xlfn.IFNA(IF((A9=1),C9,0),0)</f>
        <v>0</v>
      </c>
      <c r="AB9" s="86">
        <f>IF(A9=0,+'1'!AI239,0)</f>
        <v>0</v>
      </c>
      <c r="AC9" s="86">
        <f t="shared" ref="AC9" si="5">_xlfn.IFNA(IF((A9=1),D9,0),0)</f>
        <v>0</v>
      </c>
      <c r="AD9" s="86">
        <f>IF(A9=0,+'1'!AK239,0)</f>
        <v>0</v>
      </c>
      <c r="AE9" s="86">
        <f t="shared" ref="AE9" si="6">_xlfn.IFNA(IF(A9=1,+E9,0),0)</f>
        <v>0</v>
      </c>
      <c r="AF9" s="86">
        <f t="shared" ref="AF9" si="7">_xlfn.IFNA(IF((+A9=1),+E9*$E$3,0),0)</f>
        <v>0</v>
      </c>
      <c r="AG9" s="86">
        <f>IF(+$A9=0,+'1'!AM239,0)</f>
        <v>0</v>
      </c>
      <c r="AH9" s="86">
        <f>IF(+$A9=0,+'1'!AN239,0)</f>
        <v>0</v>
      </c>
      <c r="AI9" s="86">
        <f>IF(+$A9=0,+'1'!AP239,0)</f>
        <v>0</v>
      </c>
      <c r="AJ9" s="86">
        <f>IF(+$A9=0,+'1'!AL239,0)</f>
        <v>0</v>
      </c>
      <c r="AK9" s="86">
        <f>_xlfn.IFNA(ROUNDUP(IF((+$A9=1),+AL9*(F$3+E$2),0),2),0)</f>
        <v>0</v>
      </c>
      <c r="AL9" s="86">
        <f t="shared" ref="AL9" si="8">_xlfn.IFNA(IF((+$A9=1),+F9,0),0)</f>
        <v>0</v>
      </c>
      <c r="AM9" s="86">
        <f>IF(+$A9=0,+'1'!AR239,0)</f>
        <v>0</v>
      </c>
      <c r="AN9" s="86">
        <f>IF(A$9=0,+'1'!AT239,0)</f>
        <v>0</v>
      </c>
      <c r="AO9" s="86">
        <f>IF($A9=0,+'1'!AV239,0)</f>
        <v>0</v>
      </c>
      <c r="AP9" s="86">
        <f>IF(A9=0,+'1'!AX239,0)</f>
        <v>0</v>
      </c>
      <c r="AQ9" s="86">
        <f t="shared" ref="AQ9" si="9">_xlfn.IFNA(IF((+$A9=1),G9,0),0)</f>
        <v>0</v>
      </c>
      <c r="AR9" s="86">
        <f>_xlfn.IFNA(ROUNDUP(IF((+$A9=1),(G9*$F$3),0),2),0)</f>
        <v>0</v>
      </c>
      <c r="AS9" s="86">
        <f>IF(+$A9=0,+'1'!AY239,0)</f>
        <v>0</v>
      </c>
      <c r="AT9" s="86">
        <f>IF(+$A9=0,+'1'!BA239,0)</f>
        <v>0</v>
      </c>
      <c r="AU9" s="86">
        <f>IF(+$A9=0,+'1'!BC239,0)</f>
        <v>0</v>
      </c>
      <c r="AV9" s="23" t="s">
        <v>170</v>
      </c>
      <c r="AW9" s="23" t="s">
        <v>171</v>
      </c>
    </row>
    <row r="10" spans="1:49" ht="3.75" customHeight="1" thickBot="1">
      <c r="H10" s="45" t="s">
        <v>152</v>
      </c>
      <c r="I10" s="63"/>
      <c r="J10" s="87"/>
      <c r="O10" s="88"/>
      <c r="X10" s="76"/>
      <c r="Y10" s="89"/>
      <c r="AV10" s="23" t="s">
        <v>170</v>
      </c>
      <c r="AW10" s="23" t="s">
        <v>171</v>
      </c>
    </row>
    <row r="11" spans="1:49" ht="15.6" thickTop="1">
      <c r="A11" s="78"/>
      <c r="B11" s="78"/>
      <c r="C11" s="78"/>
      <c r="D11" s="78"/>
      <c r="E11" s="78"/>
      <c r="F11" s="78"/>
      <c r="G11" s="78"/>
      <c r="H11" s="78" t="s">
        <v>152</v>
      </c>
      <c r="I11" s="79"/>
      <c r="J11" s="90" t="s">
        <v>103</v>
      </c>
      <c r="K11" s="79"/>
      <c r="L11" s="91"/>
      <c r="M11" s="92"/>
      <c r="N11" s="92"/>
      <c r="O11" s="93"/>
      <c r="P11" s="78"/>
      <c r="Q11" s="78"/>
      <c r="R11" s="94"/>
      <c r="S11" s="95"/>
      <c r="T11" s="96"/>
      <c r="U11" s="97"/>
      <c r="V11" s="98"/>
      <c r="W11" s="99"/>
      <c r="Y11" s="100"/>
      <c r="Z11" s="100"/>
      <c r="AA11" s="381"/>
      <c r="AB11" s="381"/>
      <c r="AC11" s="101"/>
      <c r="AD11" s="101"/>
      <c r="AE11" s="96"/>
      <c r="AF11" s="96"/>
      <c r="AG11" s="96"/>
      <c r="AH11" s="96"/>
      <c r="AI11" s="96"/>
      <c r="AJ11" s="96"/>
      <c r="AK11" s="99"/>
      <c r="AL11" s="97"/>
      <c r="AM11" s="97"/>
      <c r="AN11" s="97"/>
      <c r="AO11" s="97"/>
      <c r="AP11" s="99"/>
      <c r="AQ11" s="98"/>
      <c r="AR11" s="99"/>
      <c r="AS11" s="98"/>
      <c r="AT11" s="98"/>
      <c r="AU11" s="102"/>
      <c r="AV11" s="23" t="s">
        <v>170</v>
      </c>
      <c r="AW11" s="23" t="s">
        <v>171</v>
      </c>
    </row>
    <row r="12" spans="1:49" ht="15.6">
      <c r="A12" s="103"/>
      <c r="B12" s="104"/>
      <c r="C12" s="104"/>
      <c r="D12" s="104"/>
      <c r="H12" s="22" t="s">
        <v>152</v>
      </c>
      <c r="I12" s="55"/>
      <c r="J12" s="55" t="s">
        <v>134</v>
      </c>
      <c r="K12" s="55"/>
      <c r="L12" s="105">
        <f>SUM(L$5:L11)</f>
        <v>0</v>
      </c>
      <c r="M12" s="105">
        <f>SUM(M$5:M11)</f>
        <v>0</v>
      </c>
      <c r="N12" s="105">
        <f>SUM(N$5:N11)</f>
        <v>0</v>
      </c>
      <c r="O12" s="105">
        <f>+M12-N12</f>
        <v>0</v>
      </c>
      <c r="P12" s="106">
        <f>SUM(P$5:P11)</f>
        <v>0</v>
      </c>
      <c r="Q12" s="106">
        <f>SUM(Q$5:Q11)</f>
        <v>0</v>
      </c>
      <c r="R12" s="107">
        <f>SUM(R$5:R11)</f>
        <v>0</v>
      </c>
      <c r="S12" s="108">
        <f>SUM(S$5:S11)</f>
        <v>0</v>
      </c>
      <c r="T12" s="109">
        <f>SUM(T$5:T11)</f>
        <v>0</v>
      </c>
      <c r="U12" s="110">
        <f>SUM(U$5:U11)</f>
        <v>0</v>
      </c>
      <c r="V12" s="111">
        <f>SUM(V$5:V11)</f>
        <v>0</v>
      </c>
      <c r="W12" s="112">
        <f>SUM(W$5:W11)</f>
        <v>0</v>
      </c>
      <c r="X12" s="113">
        <f>SUM(T12:W12)</f>
        <v>0</v>
      </c>
      <c r="Y12" s="114">
        <f>SUM(Y$5:Y11)</f>
        <v>0</v>
      </c>
      <c r="Z12" s="114">
        <f>SUM(Z$5:Z11)</f>
        <v>0</v>
      </c>
      <c r="AA12" s="382">
        <f>SUM(AA$5:AA11)</f>
        <v>0</v>
      </c>
      <c r="AB12" s="382">
        <f>SUM(AB$5:AB11)</f>
        <v>0</v>
      </c>
      <c r="AC12" s="115">
        <f>SUM(AC$5:AC11)</f>
        <v>0</v>
      </c>
      <c r="AD12" s="115">
        <f>SUM(AD$5:AD11)</f>
        <v>0</v>
      </c>
      <c r="AE12" s="116">
        <f>SUM(AE$5:AE11)</f>
        <v>0</v>
      </c>
      <c r="AF12" s="116">
        <f>SUM(AF$5:AF11)</f>
        <v>0</v>
      </c>
      <c r="AG12" s="116">
        <f>SUM(AG$5:AG11)</f>
        <v>0</v>
      </c>
      <c r="AH12" s="116">
        <f>SUM(AH$5:AH11)</f>
        <v>0</v>
      </c>
      <c r="AI12" s="116">
        <f>SUM(AI$5:AI11)</f>
        <v>0</v>
      </c>
      <c r="AJ12" s="116">
        <f>SUM(AJ$5:AJ11)</f>
        <v>0</v>
      </c>
      <c r="AK12" s="114">
        <f>SUM(AK$5:AK11)</f>
        <v>0</v>
      </c>
      <c r="AL12" s="117">
        <f>SUM(AL$5:AL11)</f>
        <v>0</v>
      </c>
      <c r="AM12" s="117">
        <f>SUM(AM$5:AM11)</f>
        <v>0</v>
      </c>
      <c r="AN12" s="117">
        <f>SUM(AN$5:AN11)</f>
        <v>0</v>
      </c>
      <c r="AO12" s="117">
        <f>SUM(AO$5:AO11)</f>
        <v>0</v>
      </c>
      <c r="AP12" s="114">
        <f>SUM(AP$5:AP11)</f>
        <v>0</v>
      </c>
      <c r="AQ12" s="118">
        <f>SUM(AQ$5:AQ11)</f>
        <v>0</v>
      </c>
      <c r="AR12" s="114">
        <f>SUM(AR$5:AR11)</f>
        <v>0</v>
      </c>
      <c r="AS12" s="118">
        <f>SUM(AS$5:AS11)</f>
        <v>0</v>
      </c>
      <c r="AT12" s="118">
        <f>SUM(AT$5:AT11)</f>
        <v>0</v>
      </c>
      <c r="AU12" s="119">
        <f>SUM(AU$5:AU11)</f>
        <v>0</v>
      </c>
      <c r="AV12" s="23" t="s">
        <v>170</v>
      </c>
      <c r="AW12" s="23" t="s">
        <v>171</v>
      </c>
    </row>
    <row r="13" spans="1:49" ht="16.2" thickBot="1">
      <c r="B13" s="104"/>
      <c r="C13" s="104"/>
      <c r="D13" s="104"/>
      <c r="H13" s="22" t="s">
        <v>152</v>
      </c>
      <c r="K13" s="103"/>
      <c r="L13" s="103"/>
      <c r="M13" s="103"/>
      <c r="N13" s="103"/>
      <c r="O13" s="103"/>
      <c r="P13" s="106"/>
      <c r="Q13" s="106"/>
      <c r="R13" s="107"/>
      <c r="S13" s="108"/>
      <c r="T13" s="109"/>
      <c r="U13" s="110"/>
      <c r="V13" s="111"/>
      <c r="W13" s="112"/>
      <c r="X13" s="113"/>
      <c r="Y13" s="120"/>
      <c r="Z13" s="120"/>
      <c r="AA13" s="383"/>
      <c r="AB13" s="383"/>
      <c r="AC13" s="121"/>
      <c r="AD13" s="121"/>
      <c r="AE13" s="122"/>
      <c r="AF13" s="122"/>
      <c r="AG13" s="122"/>
      <c r="AH13" s="122"/>
      <c r="AI13" s="122"/>
      <c r="AJ13" s="122"/>
      <c r="AK13" s="123"/>
      <c r="AL13" s="124"/>
      <c r="AM13" s="124"/>
      <c r="AN13" s="124"/>
      <c r="AO13" s="124"/>
      <c r="AP13" s="123"/>
      <c r="AQ13" s="125"/>
      <c r="AR13" s="123"/>
      <c r="AS13" s="125"/>
      <c r="AT13" s="125"/>
      <c r="AU13" s="126"/>
      <c r="AV13" s="23" t="s">
        <v>170</v>
      </c>
      <c r="AW13" s="23" t="s">
        <v>171</v>
      </c>
    </row>
    <row r="14" spans="1:49" ht="15.6">
      <c r="B14" s="104"/>
      <c r="C14" s="104"/>
      <c r="D14" s="104"/>
      <c r="H14" s="22" t="s">
        <v>152</v>
      </c>
      <c r="J14" s="45" t="s">
        <v>21</v>
      </c>
      <c r="L14" s="127"/>
      <c r="M14" s="128">
        <f>+mos!F27</f>
        <v>0</v>
      </c>
      <c r="N14" s="128">
        <v>0</v>
      </c>
      <c r="O14" s="128">
        <f>+M14-N14</f>
        <v>0</v>
      </c>
      <c r="P14" s="129"/>
      <c r="Q14" s="129"/>
      <c r="R14" s="107"/>
      <c r="S14" s="108"/>
      <c r="T14" s="109"/>
      <c r="U14" s="110">
        <f>mos!H27</f>
        <v>0</v>
      </c>
      <c r="V14" s="111">
        <f>mos!G27</f>
        <v>0</v>
      </c>
      <c r="W14" s="112"/>
      <c r="X14" s="130">
        <f t="shared" ref="X14:X17" si="10">SUM(T14:W14)</f>
        <v>0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 s="23"/>
    </row>
    <row r="15" spans="1:49" ht="15.6">
      <c r="B15" s="104"/>
      <c r="C15" s="104"/>
      <c r="D15" s="104"/>
      <c r="H15" s="22" t="s">
        <v>152</v>
      </c>
      <c r="J15" s="45" t="s">
        <v>22</v>
      </c>
      <c r="L15" s="84"/>
      <c r="M15" s="82">
        <f>+mos!F49</f>
        <v>0</v>
      </c>
      <c r="N15" s="82">
        <v>0</v>
      </c>
      <c r="O15" s="82">
        <f>+M15-N15</f>
        <v>0</v>
      </c>
      <c r="P15" s="106"/>
      <c r="Q15" s="106"/>
      <c r="R15" s="107"/>
      <c r="S15" s="108"/>
      <c r="T15" s="109"/>
      <c r="U15" s="110">
        <f>mos!H49</f>
        <v>0</v>
      </c>
      <c r="V15" s="111">
        <f>mos!G49</f>
        <v>0</v>
      </c>
      <c r="W15" s="112"/>
      <c r="X15" s="130">
        <f t="shared" si="10"/>
        <v>0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 s="23"/>
    </row>
    <row r="16" spans="1:49" ht="15.6">
      <c r="B16" s="104"/>
      <c r="C16" s="104"/>
      <c r="D16" s="104"/>
      <c r="H16" s="22" t="s">
        <v>152</v>
      </c>
      <c r="L16" s="84"/>
      <c r="M16" s="84"/>
      <c r="N16" s="84"/>
      <c r="O16" s="84"/>
      <c r="P16"/>
      <c r="Q16"/>
      <c r="R16" s="370"/>
      <c r="S16" s="68"/>
      <c r="T16" s="69"/>
      <c r="U16" s="70"/>
      <c r="V16" s="71"/>
      <c r="W16" s="67"/>
      <c r="X16" s="130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 s="23"/>
    </row>
    <row r="17" spans="1:48" customFormat="1" ht="16.2" thickBot="1">
      <c r="A17" s="45"/>
      <c r="B17" s="104"/>
      <c r="C17" s="104"/>
      <c r="D17" s="104"/>
      <c r="E17" s="45"/>
      <c r="F17" s="45"/>
      <c r="G17" s="45"/>
      <c r="H17" s="22" t="s">
        <v>152</v>
      </c>
      <c r="I17" s="45"/>
      <c r="J17" s="45" t="s">
        <v>23</v>
      </c>
      <c r="K17" s="45"/>
      <c r="L17" s="85">
        <v>0</v>
      </c>
      <c r="M17" s="85">
        <v>0</v>
      </c>
      <c r="N17" s="85">
        <v>0</v>
      </c>
      <c r="O17" s="82">
        <f>+M17-N17</f>
        <v>0</v>
      </c>
      <c r="P17" s="131">
        <v>0</v>
      </c>
      <c r="Q17" s="131">
        <v>0</v>
      </c>
      <c r="R17" s="377">
        <v>0</v>
      </c>
      <c r="S17" s="132">
        <v>0</v>
      </c>
      <c r="T17" s="133">
        <v>0</v>
      </c>
      <c r="U17" s="134">
        <v>0</v>
      </c>
      <c r="V17" s="135">
        <v>0</v>
      </c>
      <c r="W17" s="136">
        <v>0</v>
      </c>
      <c r="X17" s="137">
        <f t="shared" si="10"/>
        <v>0</v>
      </c>
    </row>
    <row r="18" spans="1:48" ht="15.6">
      <c r="B18" s="104"/>
      <c r="C18" s="104"/>
      <c r="D18" s="104"/>
      <c r="H18" s="22" t="s">
        <v>152</v>
      </c>
      <c r="L18" s="127"/>
      <c r="M18" s="127"/>
      <c r="N18" s="127"/>
      <c r="O18" s="127"/>
      <c r="P18" s="106"/>
      <c r="Q18" s="138"/>
      <c r="R18" s="107"/>
      <c r="S18" s="108"/>
      <c r="T18" s="109"/>
      <c r="U18" s="110"/>
      <c r="V18" s="111"/>
      <c r="W18" s="139"/>
      <c r="X18" s="140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 s="23"/>
    </row>
    <row r="19" spans="1:48" ht="16.2" thickBot="1">
      <c r="B19" s="104"/>
      <c r="C19" s="104"/>
      <c r="H19" s="22" t="s">
        <v>152</v>
      </c>
      <c r="I19" s="55"/>
      <c r="J19" s="55" t="s">
        <v>24</v>
      </c>
      <c r="K19" s="55"/>
      <c r="L19" s="105">
        <f>SUM(L12:L18)</f>
        <v>0</v>
      </c>
      <c r="M19" s="105">
        <f>SUM(M12:M18)</f>
        <v>0</v>
      </c>
      <c r="N19" s="105">
        <f>SUM(N12:N18)</f>
        <v>0</v>
      </c>
      <c r="O19" s="105">
        <f>SUM(O12:O18)</f>
        <v>0</v>
      </c>
      <c r="P19" s="131">
        <v>0</v>
      </c>
      <c r="Q19" s="131">
        <v>0</v>
      </c>
      <c r="R19" s="378">
        <f t="shared" ref="R19" si="11">SUM(R11:R18)</f>
        <v>0</v>
      </c>
      <c r="S19" s="141">
        <f t="shared" ref="S19:W19" si="12">SUM(S11:S18)</f>
        <v>0</v>
      </c>
      <c r="T19" s="142">
        <f t="shared" si="12"/>
        <v>0</v>
      </c>
      <c r="U19" s="143">
        <f t="shared" si="12"/>
        <v>0</v>
      </c>
      <c r="V19" s="144">
        <f t="shared" si="12"/>
        <v>0</v>
      </c>
      <c r="W19" s="145">
        <f t="shared" si="12"/>
        <v>0</v>
      </c>
      <c r="X19" s="146">
        <f>SUM(X11:X18)</f>
        <v>0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 s="23"/>
    </row>
    <row r="20" spans="1:48" ht="15.6">
      <c r="B20" s="104"/>
      <c r="C20" s="104"/>
      <c r="H20" s="22" t="s">
        <v>152</v>
      </c>
      <c r="I20" s="147"/>
      <c r="J20" s="147"/>
      <c r="K20" s="147"/>
      <c r="L20" s="84"/>
      <c r="M20" s="84"/>
      <c r="N20" s="84"/>
      <c r="O20" s="84"/>
      <c r="P20" s="148"/>
      <c r="Q20" s="148"/>
      <c r="R20" s="148"/>
      <c r="S20" s="148"/>
      <c r="T20" s="148"/>
      <c r="U20" s="148"/>
      <c r="V20" s="148"/>
      <c r="W20" s="14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23"/>
    </row>
    <row r="21" spans="1:48" ht="15.6">
      <c r="B21" s="104"/>
      <c r="C21" s="104"/>
      <c r="H21" s="22" t="s">
        <v>152</v>
      </c>
      <c r="J21" s="45" t="s">
        <v>25</v>
      </c>
      <c r="L21" s="84"/>
      <c r="M21" s="84">
        <f>+M54</f>
        <v>0</v>
      </c>
      <c r="N21" s="84">
        <f>IF(L27=1,0,I43)</f>
        <v>0</v>
      </c>
      <c r="O21" s="84">
        <f>+M21-N21</f>
        <v>0</v>
      </c>
      <c r="P21"/>
      <c r="Q21"/>
      <c r="R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1:48" ht="16.2" thickBot="1">
      <c r="B22" s="104"/>
      <c r="C22" s="104"/>
      <c r="H22" s="22" t="s">
        <v>152</v>
      </c>
      <c r="L22" s="84"/>
      <c r="M22" s="149"/>
      <c r="N22" s="149"/>
      <c r="O22" s="149"/>
      <c r="P22"/>
      <c r="Q22"/>
      <c r="R22"/>
      <c r="W22" s="103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1:48" ht="15.6">
      <c r="B23" s="104"/>
      <c r="C23" s="104"/>
      <c r="H23" s="22" t="s">
        <v>152</v>
      </c>
      <c r="I23" s="55"/>
      <c r="J23" s="55" t="s">
        <v>129</v>
      </c>
      <c r="K23" s="45" t="s">
        <v>131</v>
      </c>
      <c r="L23" s="84"/>
      <c r="M23" s="105">
        <f>+M19-M21</f>
        <v>0</v>
      </c>
      <c r="N23" s="105">
        <f>+N19-N21</f>
        <v>0</v>
      </c>
      <c r="O23" s="105">
        <f>+O19-O21</f>
        <v>0</v>
      </c>
      <c r="P23"/>
      <c r="Q23"/>
      <c r="R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1:48" ht="15.6">
      <c r="B24" s="104"/>
      <c r="C24" s="104"/>
      <c r="H24" s="22" t="s">
        <v>152</v>
      </c>
      <c r="L24" s="84"/>
      <c r="M24" s="84"/>
      <c r="N24" s="84"/>
      <c r="O24" s="84"/>
      <c r="P24"/>
      <c r="Q24"/>
      <c r="R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1:48" ht="15.6">
      <c r="B25" s="104"/>
      <c r="C25" s="104"/>
      <c r="H25" s="22" t="s">
        <v>152</v>
      </c>
      <c r="J25" s="45" t="s">
        <v>26</v>
      </c>
      <c r="L25" s="84"/>
      <c r="M25" s="150">
        <v>0</v>
      </c>
      <c r="N25" s="82"/>
      <c r="O25" s="82"/>
      <c r="P25"/>
      <c r="Q25"/>
      <c r="R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1:48" ht="16.2" thickBot="1">
      <c r="B26" s="104"/>
      <c r="C26" s="104"/>
      <c r="H26" s="22" t="s">
        <v>152</v>
      </c>
      <c r="L26" s="84"/>
      <c r="M26" s="149"/>
      <c r="N26" s="84"/>
      <c r="O26" s="84"/>
      <c r="P26"/>
      <c r="Q26"/>
      <c r="R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1:48" ht="15.6">
      <c r="B27" s="104"/>
      <c r="C27" s="104"/>
      <c r="H27" s="22" t="s">
        <v>152</v>
      </c>
      <c r="I27" s="55"/>
      <c r="J27" s="55" t="s">
        <v>130</v>
      </c>
      <c r="K27" s="151"/>
      <c r="L27" s="152">
        <v>1</v>
      </c>
      <c r="M27" s="105">
        <f>+M23-M25</f>
        <v>0</v>
      </c>
      <c r="N27" s="105"/>
      <c r="O27" s="105"/>
      <c r="P27"/>
      <c r="Q27"/>
      <c r="R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1:48" ht="16.2" thickBot="1">
      <c r="B28" s="104"/>
      <c r="C28" s="104"/>
      <c r="H28" s="22" t="s">
        <v>152</v>
      </c>
      <c r="L28" s="84"/>
      <c r="M28" s="84"/>
      <c r="N28" s="84"/>
      <c r="O28" s="84"/>
      <c r="P28"/>
      <c r="Q28"/>
      <c r="R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1:48" ht="16.2" thickTop="1">
      <c r="B29" s="104"/>
      <c r="C29" s="104"/>
      <c r="H29" s="22" t="s">
        <v>152</v>
      </c>
      <c r="I29" s="153" t="s">
        <v>174</v>
      </c>
      <c r="J29" s="79"/>
      <c r="K29" s="154"/>
      <c r="L29" s="154"/>
      <c r="M29" s="155"/>
      <c r="N29" s="105"/>
      <c r="O29" s="105"/>
      <c r="P29"/>
      <c r="Q29"/>
      <c r="R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1:48" ht="15.6">
      <c r="B30" s="104"/>
      <c r="C30" s="104"/>
      <c r="H30" s="22" t="s">
        <v>152</v>
      </c>
      <c r="I30" s="156" t="s">
        <v>175</v>
      </c>
      <c r="J30" s="157"/>
      <c r="K30" s="158">
        <v>43831</v>
      </c>
      <c r="L30" s="157" t="s">
        <v>176</v>
      </c>
      <c r="M30" s="159">
        <v>43861</v>
      </c>
      <c r="N30" s="42"/>
      <c r="O30" s="42"/>
      <c r="P30"/>
      <c r="Q30"/>
      <c r="R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1:48" ht="16.2" thickBot="1">
      <c r="H31" s="22" t="s">
        <v>152</v>
      </c>
      <c r="I31" s="160" t="s">
        <v>128</v>
      </c>
      <c r="J31" s="161"/>
      <c r="K31" s="161"/>
      <c r="L31" s="162"/>
      <c r="M31" s="163">
        <f>WORKDAY(M30,17)</f>
        <v>43886</v>
      </c>
      <c r="N31" s="105"/>
      <c r="O31" s="105"/>
      <c r="P31"/>
      <c r="Q31"/>
      <c r="R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1:48" ht="15.6" thickTop="1">
      <c r="P32"/>
      <c r="Q32"/>
      <c r="R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4:47">
      <c r="D33" s="45" t="s">
        <v>27</v>
      </c>
      <c r="E33" s="45" t="s">
        <v>28</v>
      </c>
      <c r="F33" s="45" t="s">
        <v>29</v>
      </c>
      <c r="G33" s="164" t="s">
        <v>30</v>
      </c>
      <c r="H33" s="164"/>
      <c r="I33" s="164" t="s">
        <v>31</v>
      </c>
      <c r="J33" s="164" t="s">
        <v>32</v>
      </c>
      <c r="K33" s="164" t="s">
        <v>33</v>
      </c>
      <c r="L33" s="63" t="s">
        <v>34</v>
      </c>
      <c r="M33" s="63" t="s">
        <v>35</v>
      </c>
      <c r="N33" s="63" t="s">
        <v>379</v>
      </c>
      <c r="O33" s="63" t="s">
        <v>380</v>
      </c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4:47">
      <c r="D34" s="165"/>
      <c r="E34" s="166">
        <v>1</v>
      </c>
      <c r="F34" s="167"/>
      <c r="G34" s="168"/>
      <c r="H34" s="82"/>
      <c r="I34" s="82"/>
      <c r="J34" s="82">
        <v>0</v>
      </c>
      <c r="K34" s="84">
        <f t="shared" ref="K34:K42" si="13">G34-I34-J34</f>
        <v>0</v>
      </c>
      <c r="L34" s="84">
        <f>K34*(M34+1)</f>
        <v>0</v>
      </c>
      <c r="M34" s="169">
        <v>0.15</v>
      </c>
      <c r="N34" s="82">
        <v>0</v>
      </c>
      <c r="O34" s="169"/>
      <c r="T34" s="17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4:47">
      <c r="D35" s="165"/>
      <c r="E35" s="166">
        <f t="shared" ref="E35:E42" si="14">1+E34</f>
        <v>2</v>
      </c>
      <c r="F35" s="167"/>
      <c r="G35" s="171"/>
      <c r="H35" s="82"/>
      <c r="I35" s="82"/>
      <c r="J35" s="82">
        <f>SUM($K$33:K34)</f>
        <v>0</v>
      </c>
      <c r="K35" s="84">
        <f t="shared" si="13"/>
        <v>0</v>
      </c>
      <c r="L35" s="84">
        <f t="shared" ref="L35:L42" si="15">K35*(M35+1)</f>
        <v>0</v>
      </c>
      <c r="M35" s="169">
        <v>0.15</v>
      </c>
      <c r="N35" s="82">
        <v>0</v>
      </c>
      <c r="O35" s="169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4:47">
      <c r="D36" s="165"/>
      <c r="E36" s="166">
        <f t="shared" si="14"/>
        <v>3</v>
      </c>
      <c r="F36" s="167"/>
      <c r="G36" s="171"/>
      <c r="H36" s="82"/>
      <c r="I36" s="82"/>
      <c r="J36" s="82">
        <f>SUM($K$33:K35)</f>
        <v>0</v>
      </c>
      <c r="K36" s="84">
        <f t="shared" si="13"/>
        <v>0</v>
      </c>
      <c r="L36" s="84">
        <f t="shared" si="15"/>
        <v>0</v>
      </c>
      <c r="M36" s="169">
        <v>0.15</v>
      </c>
      <c r="N36" s="82">
        <v>0</v>
      </c>
      <c r="O36" s="169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4:47">
      <c r="D37" s="165"/>
      <c r="E37" s="166">
        <f t="shared" si="14"/>
        <v>4</v>
      </c>
      <c r="F37" s="167"/>
      <c r="G37" s="171"/>
      <c r="H37" s="82"/>
      <c r="I37" s="82"/>
      <c r="J37" s="82">
        <f>SUM($K$33:K36)</f>
        <v>0</v>
      </c>
      <c r="K37" s="84">
        <f t="shared" si="13"/>
        <v>0</v>
      </c>
      <c r="L37" s="84">
        <f t="shared" si="15"/>
        <v>0</v>
      </c>
      <c r="M37" s="169">
        <v>0.15</v>
      </c>
      <c r="N37" s="82">
        <v>0</v>
      </c>
      <c r="O37" s="169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4:47">
      <c r="D38" s="165"/>
      <c r="E38" s="166">
        <f t="shared" si="14"/>
        <v>5</v>
      </c>
      <c r="F38" s="167"/>
      <c r="G38" s="171"/>
      <c r="H38" s="82"/>
      <c r="I38" s="82"/>
      <c r="J38" s="82">
        <f>SUM($K$33:K37)</f>
        <v>0</v>
      </c>
      <c r="K38" s="84">
        <f t="shared" si="13"/>
        <v>0</v>
      </c>
      <c r="L38" s="84">
        <f t="shared" si="15"/>
        <v>0</v>
      </c>
      <c r="M38" s="169">
        <v>0.15</v>
      </c>
      <c r="N38" s="82">
        <v>0</v>
      </c>
      <c r="O38" s="169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4:47">
      <c r="D39" s="165"/>
      <c r="E39" s="166">
        <f t="shared" si="14"/>
        <v>6</v>
      </c>
      <c r="F39" s="167"/>
      <c r="G39" s="171"/>
      <c r="H39" s="82"/>
      <c r="I39" s="82"/>
      <c r="J39" s="82">
        <f>SUM($K$33:K38)</f>
        <v>0</v>
      </c>
      <c r="K39" s="84">
        <f t="shared" si="13"/>
        <v>0</v>
      </c>
      <c r="L39" s="84">
        <f t="shared" si="15"/>
        <v>0</v>
      </c>
      <c r="M39" s="169">
        <v>0.15</v>
      </c>
      <c r="N39" s="82">
        <v>0</v>
      </c>
      <c r="O39" s="16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4:47">
      <c r="D40" s="165"/>
      <c r="E40" s="166">
        <f t="shared" si="14"/>
        <v>7</v>
      </c>
      <c r="F40" s="167"/>
      <c r="G40" s="171"/>
      <c r="H40" s="82"/>
      <c r="I40" s="82"/>
      <c r="J40" s="82">
        <f>SUM($K$33:K39)</f>
        <v>0</v>
      </c>
      <c r="K40" s="84">
        <f t="shared" si="13"/>
        <v>0</v>
      </c>
      <c r="L40" s="84">
        <f t="shared" si="15"/>
        <v>0</v>
      </c>
      <c r="M40" s="169">
        <v>0.15</v>
      </c>
      <c r="N40" s="82">
        <v>0</v>
      </c>
      <c r="O40" s="169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4:47">
      <c r="D41" s="165"/>
      <c r="E41" s="166">
        <f t="shared" si="14"/>
        <v>8</v>
      </c>
      <c r="F41" s="167"/>
      <c r="G41" s="171"/>
      <c r="H41" s="82"/>
      <c r="I41" s="82"/>
      <c r="J41" s="82">
        <f>SUM($K$33:K39)</f>
        <v>0</v>
      </c>
      <c r="K41" s="84">
        <f>G41-I41-J41</f>
        <v>0</v>
      </c>
      <c r="L41" s="84">
        <f>K41*(M41+1)</f>
        <v>0</v>
      </c>
      <c r="M41" s="169">
        <v>0.15</v>
      </c>
      <c r="N41" s="82">
        <v>0</v>
      </c>
      <c r="O41" s="169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4:47">
      <c r="D42" s="165"/>
      <c r="E42" s="166">
        <f t="shared" si="14"/>
        <v>9</v>
      </c>
      <c r="F42" s="167"/>
      <c r="G42" s="171"/>
      <c r="H42" s="82"/>
      <c r="I42" s="82"/>
      <c r="J42" s="82">
        <f>SUM($K$33:K40)</f>
        <v>0</v>
      </c>
      <c r="K42" s="84">
        <f t="shared" si="13"/>
        <v>0</v>
      </c>
      <c r="L42" s="84">
        <f t="shared" si="15"/>
        <v>0</v>
      </c>
      <c r="M42" s="169">
        <v>0.15</v>
      </c>
      <c r="N42" s="82">
        <v>0</v>
      </c>
      <c r="O42" s="169"/>
      <c r="Y42" s="169"/>
      <c r="Z42" s="40"/>
      <c r="AA42" s="40"/>
      <c r="AB42" s="40"/>
      <c r="AC42"/>
      <c r="AD42"/>
      <c r="AE42"/>
      <c r="AF42"/>
      <c r="AG42"/>
      <c r="AH42"/>
      <c r="AI42"/>
      <c r="AJ42"/>
      <c r="AK42"/>
    </row>
    <row r="43" spans="4:47" ht="15.6" thickBot="1">
      <c r="D43" s="165"/>
      <c r="E43" s="172"/>
      <c r="F43" s="173"/>
      <c r="G43" s="174"/>
      <c r="H43" s="175"/>
      <c r="I43" s="175">
        <f>SUM(I34:I42)</f>
        <v>0</v>
      </c>
      <c r="J43" s="176">
        <f>LARGE(J34:J42,1)</f>
        <v>0</v>
      </c>
      <c r="K43" s="176"/>
      <c r="L43" s="176"/>
      <c r="M43" s="177"/>
      <c r="N43" s="175"/>
      <c r="O43" s="177"/>
      <c r="Y43" s="169"/>
      <c r="Z43" s="40"/>
      <c r="AA43" s="40"/>
      <c r="AB43" s="40"/>
      <c r="AC43"/>
      <c r="AD43"/>
      <c r="AE43"/>
      <c r="AF43"/>
      <c r="AG43"/>
      <c r="AH43"/>
      <c r="AI43"/>
      <c r="AJ43"/>
      <c r="AK43"/>
    </row>
    <row r="44" spans="4:47" ht="15.6" thickTop="1">
      <c r="D44"/>
      <c r="E44" s="45" t="s">
        <v>28</v>
      </c>
      <c r="F44" s="178"/>
      <c r="G44" s="164" t="s">
        <v>30</v>
      </c>
      <c r="H44" s="164"/>
      <c r="I44" s="164" t="s">
        <v>31</v>
      </c>
      <c r="J44" s="164" t="s">
        <v>32</v>
      </c>
      <c r="K44" s="164" t="s">
        <v>33</v>
      </c>
      <c r="L44" s="63" t="s">
        <v>36</v>
      </c>
      <c r="M44" s="63" t="s">
        <v>35</v>
      </c>
      <c r="N44" s="63"/>
      <c r="O44" s="63"/>
      <c r="Y44" s="63"/>
      <c r="Z44" s="63"/>
      <c r="AA44" s="63"/>
      <c r="AB44" s="63"/>
      <c r="AC44"/>
      <c r="AD44"/>
      <c r="AE44"/>
      <c r="AF44"/>
      <c r="AG44"/>
      <c r="AH44"/>
      <c r="AI44"/>
      <c r="AJ44"/>
      <c r="AK44"/>
    </row>
    <row r="45" spans="4:47"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Y45" s="147"/>
      <c r="Z45" s="147"/>
      <c r="AA45" s="147"/>
      <c r="AB45" s="147"/>
      <c r="AC45"/>
      <c r="AD45"/>
      <c r="AE45"/>
      <c r="AF45"/>
      <c r="AG45"/>
      <c r="AH45"/>
      <c r="AI45"/>
      <c r="AJ45"/>
      <c r="AK45"/>
    </row>
    <row r="46" spans="4:47">
      <c r="I46"/>
      <c r="J46"/>
      <c r="K46" t="s">
        <v>147</v>
      </c>
      <c r="L46"/>
      <c r="M46"/>
      <c r="N46"/>
      <c r="O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4:47">
      <c r="I47" s="164" t="s">
        <v>37</v>
      </c>
      <c r="J47" s="164" t="s">
        <v>38</v>
      </c>
      <c r="K47" s="84">
        <v>200000</v>
      </c>
      <c r="L47" s="103">
        <f>IF(SUM(M49:M51)&lt;K47,0,1)</f>
        <v>0</v>
      </c>
      <c r="M47" s="84">
        <f>IF(L47=0,0,(K47*L47)-SUM(M49:M51))</f>
        <v>0</v>
      </c>
      <c r="N47" s="103"/>
      <c r="O47" s="103"/>
      <c r="Y47" s="103"/>
      <c r="Z47" s="103"/>
      <c r="AA47" s="103"/>
      <c r="AB47" s="103"/>
      <c r="AD47"/>
      <c r="AE47"/>
      <c r="AF47"/>
      <c r="AG47"/>
      <c r="AH47"/>
      <c r="AI47"/>
      <c r="AJ47"/>
      <c r="AK47"/>
    </row>
    <row r="48" spans="4:47">
      <c r="I48" s="147"/>
      <c r="J48"/>
      <c r="K48" s="84"/>
      <c r="L48" s="103"/>
      <c r="M48" s="84"/>
      <c r="N48" s="103"/>
      <c r="O48" s="103"/>
      <c r="Y48" s="103"/>
      <c r="Z48" s="103"/>
      <c r="AA48" s="103"/>
      <c r="AB48" s="103"/>
      <c r="AC48"/>
      <c r="AD48"/>
      <c r="AE48"/>
      <c r="AF48"/>
      <c r="AG48"/>
      <c r="AH48"/>
      <c r="AI48"/>
      <c r="AJ48"/>
      <c r="AK48"/>
    </row>
    <row r="49" spans="2:49">
      <c r="I49" s="169">
        <v>0.1</v>
      </c>
      <c r="J49" s="45" t="s">
        <v>39</v>
      </c>
      <c r="K49" s="84">
        <v>200000</v>
      </c>
      <c r="L49" s="45">
        <f>IF(L51=FALSE(),0,IF(L51=0,0,1))</f>
        <v>1</v>
      </c>
      <c r="M49" s="84">
        <f>IF(($M$19&lt;=K49),($M$19*I49),(K49*I49))*L49</f>
        <v>0</v>
      </c>
      <c r="N49" s="103"/>
      <c r="O49" s="103"/>
      <c r="Y49" s="103"/>
      <c r="Z49" s="103"/>
      <c r="AA49" s="103"/>
      <c r="AB49" s="103"/>
      <c r="AC49"/>
      <c r="AD49"/>
      <c r="AE49"/>
      <c r="AF49"/>
      <c r="AG49"/>
      <c r="AH49"/>
      <c r="AI49"/>
      <c r="AJ49"/>
      <c r="AK49"/>
    </row>
    <row r="50" spans="2:49">
      <c r="I50" s="169">
        <v>0.05</v>
      </c>
      <c r="J50" s="45" t="s">
        <v>40</v>
      </c>
      <c r="K50" s="84">
        <v>800000</v>
      </c>
      <c r="L50" s="45">
        <f>IF(L51=FALSE(),0,IF(L51=0,0,1))</f>
        <v>1</v>
      </c>
      <c r="M50" s="84">
        <f>IF(($M$19-SUM($K$48:K49))&lt;0,0,IF(($M$19-SUM($K$48:K49))&lt;=K50,($M$19-SUM($K$48:K49))*I50,K50*I50))*L50</f>
        <v>0</v>
      </c>
      <c r="N50" s="103"/>
      <c r="O50" s="103"/>
      <c r="Y50" s="103"/>
      <c r="Z50" s="103"/>
      <c r="AA50" s="103"/>
      <c r="AB50" s="103"/>
      <c r="AC50"/>
      <c r="AD50"/>
      <c r="AE50"/>
      <c r="AF50"/>
      <c r="AG50"/>
      <c r="AH50"/>
      <c r="AI50"/>
      <c r="AJ50"/>
      <c r="AK50"/>
    </row>
    <row r="51" spans="2:49">
      <c r="I51" s="169">
        <v>1.7500000000000002E-2</v>
      </c>
      <c r="J51" s="45" t="s">
        <v>41</v>
      </c>
      <c r="K51" s="84">
        <f>IF($M$19&gt;=SUM($K$48:K50),+$M$19-(SUM($K$48:K50)),0)</f>
        <v>0</v>
      </c>
      <c r="L51" s="179">
        <v>1</v>
      </c>
      <c r="M51" s="84">
        <f>IF(($M$19-SUM($K$48:K50))&lt;0,0,IF(($M$19-SUM($K$19:K50))&lt;=K51,($M$19-SUM($K$48:K50))*I51,K51*I51))*L51</f>
        <v>0</v>
      </c>
      <c r="N51" s="103" t="s">
        <v>178</v>
      </c>
      <c r="O51" s="103"/>
      <c r="Y51" s="103"/>
      <c r="Z51" s="103"/>
      <c r="AA51" s="103"/>
      <c r="AB51" s="103"/>
      <c r="AC51"/>
      <c r="AD51"/>
      <c r="AE51"/>
      <c r="AF51"/>
      <c r="AG51"/>
      <c r="AH51"/>
      <c r="AI51"/>
      <c r="AJ51"/>
      <c r="AK51"/>
    </row>
    <row r="52" spans="2:49">
      <c r="J52"/>
      <c r="K52" s="103"/>
      <c r="L52" s="103"/>
      <c r="M52" s="84"/>
      <c r="N52" s="103"/>
      <c r="O52" s="103"/>
      <c r="Y52" s="103"/>
      <c r="Z52" s="103"/>
      <c r="AA52" s="103"/>
      <c r="AB52" s="103"/>
      <c r="AC52"/>
      <c r="AD52"/>
      <c r="AE52"/>
      <c r="AF52"/>
      <c r="AG52"/>
      <c r="AH52"/>
      <c r="AI52"/>
      <c r="AJ52"/>
      <c r="AK52"/>
    </row>
    <row r="53" spans="2:49">
      <c r="I53" s="45" t="s">
        <v>177</v>
      </c>
      <c r="J53"/>
      <c r="K53" s="103"/>
      <c r="L53" s="169">
        <v>0</v>
      </c>
      <c r="M53" s="84">
        <f>-((SUM(M47:M52)*L53))</f>
        <v>0</v>
      </c>
      <c r="N53" s="103"/>
      <c r="O53" s="103"/>
      <c r="Y53" s="103"/>
      <c r="Z53" s="103"/>
      <c r="AA53" s="103"/>
      <c r="AB53" s="103"/>
      <c r="AC53"/>
      <c r="AD53"/>
      <c r="AE53"/>
      <c r="AF53"/>
      <c r="AG53"/>
      <c r="AH53"/>
      <c r="AI53"/>
      <c r="AJ53"/>
      <c r="AK53"/>
    </row>
    <row r="54" spans="2:49">
      <c r="I54" s="45" t="s">
        <v>42</v>
      </c>
      <c r="J54"/>
      <c r="K54" s="103"/>
      <c r="L54" s="180"/>
      <c r="M54" s="181">
        <f>ROUND(SUM($M$47:M53),2)</f>
        <v>0</v>
      </c>
      <c r="N54" s="103"/>
      <c r="O54" s="103"/>
      <c r="Y54" s="103"/>
      <c r="Z54" s="103"/>
      <c r="AA54" s="103"/>
      <c r="AB54" s="103"/>
      <c r="AC54"/>
      <c r="AD54"/>
      <c r="AE54"/>
      <c r="AF54"/>
      <c r="AG54"/>
      <c r="AH54"/>
      <c r="AI54"/>
      <c r="AJ54"/>
      <c r="AK54"/>
    </row>
    <row r="55" spans="2:49">
      <c r="N55" s="103"/>
      <c r="O55" s="103"/>
      <c r="Y55" s="103"/>
      <c r="Z55" s="103"/>
      <c r="AA55" s="103"/>
      <c r="AB55" s="103"/>
      <c r="AC55"/>
      <c r="AD55"/>
      <c r="AE55"/>
      <c r="AF55"/>
      <c r="AG55"/>
      <c r="AH55"/>
      <c r="AI55"/>
      <c r="AJ55"/>
      <c r="AK55"/>
    </row>
    <row r="56" spans="2:49">
      <c r="B56" s="70"/>
      <c r="C56" s="70"/>
      <c r="D56" s="182">
        <f>+AE12+AG12</f>
        <v>0</v>
      </c>
      <c r="E56" s="70" t="s">
        <v>364</v>
      </c>
      <c r="F56" s="83">
        <v>60</v>
      </c>
      <c r="G56" s="70" t="s">
        <v>370</v>
      </c>
      <c r="H56" s="70"/>
      <c r="I56" s="70"/>
      <c r="J56" s="70"/>
      <c r="Y56" s="103"/>
      <c r="Z56" s="103"/>
      <c r="AA56" s="103"/>
      <c r="AB56" s="103"/>
      <c r="AC56"/>
      <c r="AW56" s="23" t="s">
        <v>171</v>
      </c>
    </row>
    <row r="57" spans="2:49">
      <c r="B57" s="70"/>
      <c r="C57" s="70"/>
      <c r="D57" s="182">
        <f>IF(A9=1,(+AE12+AG12),(+AG12))</f>
        <v>0</v>
      </c>
      <c r="E57" s="70" t="str">
        <f>IF(A9=1,("&lt;Labour Hours"),("&lt;Site Labour Hours"))</f>
        <v>&lt;Labour Hours</v>
      </c>
      <c r="F57" s="70"/>
      <c r="G57" s="70"/>
      <c r="H57" s="70"/>
      <c r="I57" s="183">
        <v>3</v>
      </c>
      <c r="J57" s="70" t="s">
        <v>43</v>
      </c>
      <c r="Y57" s="103"/>
      <c r="Z57" s="103"/>
      <c r="AA57" s="103"/>
      <c r="AB57" s="103"/>
      <c r="AC57"/>
      <c r="AW57" s="23" t="s">
        <v>171</v>
      </c>
    </row>
    <row r="58" spans="2:49">
      <c r="B58" s="70"/>
      <c r="C58" s="70"/>
      <c r="D58" s="182">
        <f>+AH12</f>
        <v>0</v>
      </c>
      <c r="E58" s="70" t="s">
        <v>115</v>
      </c>
      <c r="F58" s="184"/>
      <c r="G58" s="70"/>
      <c r="H58" s="70"/>
      <c r="I58" s="183">
        <v>45</v>
      </c>
      <c r="J58" s="70" t="s">
        <v>45</v>
      </c>
      <c r="AW58" s="23" t="s">
        <v>171</v>
      </c>
    </row>
    <row r="59" spans="2:49">
      <c r="B59" s="70"/>
      <c r="C59" s="70"/>
      <c r="D59" s="182">
        <f>($E$3-F59)*(D56+D58)</f>
        <v>0</v>
      </c>
      <c r="E59" s="70" t="s">
        <v>44</v>
      </c>
      <c r="F59" s="83">
        <v>40</v>
      </c>
      <c r="G59" s="70" t="s">
        <v>371</v>
      </c>
      <c r="H59" s="70"/>
      <c r="I59" s="183">
        <v>0</v>
      </c>
      <c r="J59" s="70" t="s">
        <v>47</v>
      </c>
      <c r="AW59" s="23" t="s">
        <v>171</v>
      </c>
    </row>
    <row r="60" spans="2:49">
      <c r="B60" s="185"/>
      <c r="C60" s="185"/>
      <c r="D60" s="182">
        <f>SUM(Y9:AU9)-(Y9+Z9+AC9+AD9+AE9+AG9+AH9+AK9+AP9+AR9+AU9)</f>
        <v>0</v>
      </c>
      <c r="E60" s="70" t="s">
        <v>46</v>
      </c>
      <c r="F60" s="185" t="e">
        <f>+D60/D72</f>
        <v>#DIV/0!</v>
      </c>
      <c r="G60" s="185"/>
      <c r="H60" s="185"/>
      <c r="I60" s="70">
        <f>D57/I57/I58+I59</f>
        <v>0</v>
      </c>
      <c r="J60" s="70" t="s">
        <v>48</v>
      </c>
      <c r="AW60" s="23" t="s">
        <v>171</v>
      </c>
    </row>
    <row r="61" spans="2:49">
      <c r="B61" s="185"/>
      <c r="C61" s="185"/>
      <c r="D61" s="182"/>
      <c r="E61" s="70"/>
      <c r="F61" s="185"/>
      <c r="G61" s="185"/>
      <c r="H61" s="185"/>
      <c r="I61" s="81">
        <v>0</v>
      </c>
      <c r="J61" s="70" t="s">
        <v>49</v>
      </c>
      <c r="AW61" s="23" t="s">
        <v>171</v>
      </c>
    </row>
    <row r="62" spans="2:49">
      <c r="B62" s="185" t="e">
        <f>+D62/D72</f>
        <v>#DIV/0!</v>
      </c>
      <c r="C62" s="185"/>
      <c r="D62" s="182">
        <f>+AC12+AD12</f>
        <v>0</v>
      </c>
      <c r="E62" s="70" t="s">
        <v>438</v>
      </c>
      <c r="F62" s="185"/>
      <c r="G62" s="185"/>
      <c r="H62" s="185"/>
      <c r="I62" s="186"/>
      <c r="J62" s="70"/>
      <c r="AW62" s="23" t="s">
        <v>171</v>
      </c>
    </row>
    <row r="63" spans="2:49">
      <c r="B63" s="185" t="e">
        <f>+D63/D72</f>
        <v>#DIV/0!</v>
      </c>
      <c r="C63" s="185"/>
      <c r="D63" s="182">
        <f>IF(A9=1,(+AF12+AJ12),(+AJ12))</f>
        <v>0</v>
      </c>
      <c r="E63" s="70" t="str">
        <f>IF(A9=1,("&lt;Total Site Labour"),("&lt;Total Site Labour"))</f>
        <v>&lt;Total Site Labour</v>
      </c>
      <c r="F63" s="70"/>
      <c r="G63" s="185"/>
      <c r="H63" s="185"/>
      <c r="I63" s="186"/>
      <c r="J63" s="70"/>
      <c r="AW63" s="23" t="s">
        <v>171</v>
      </c>
    </row>
    <row r="64" spans="2:49">
      <c r="B64" s="185" t="e">
        <f>+D64/D72</f>
        <v>#DIV/0!</v>
      </c>
      <c r="C64" s="185"/>
      <c r="D64" s="182">
        <f>+AI12</f>
        <v>0</v>
      </c>
      <c r="E64" s="70" t="s">
        <v>365</v>
      </c>
      <c r="F64" s="70"/>
      <c r="G64" s="185"/>
      <c r="H64" s="185"/>
      <c r="I64" s="70"/>
      <c r="J64" s="70"/>
      <c r="AW64" s="23" t="s">
        <v>171</v>
      </c>
    </row>
    <row r="65" spans="2:49">
      <c r="B65" s="185" t="e">
        <f>+D65/D72</f>
        <v>#DIV/0!</v>
      </c>
      <c r="C65" s="185"/>
      <c r="D65" s="182">
        <f>IF(A9=1,0,'1'!AR23)</f>
        <v>0</v>
      </c>
      <c r="E65" s="70" t="str">
        <f>IF(A9=1,("&lt;Site Management Cost"),("&lt;Total Site Management Cost"))</f>
        <v>&lt;Site Management Cost</v>
      </c>
      <c r="F65" s="70"/>
      <c r="G65" s="185"/>
      <c r="H65" s="185"/>
      <c r="I65" s="70"/>
      <c r="J65" s="70"/>
      <c r="AW65" s="23" t="s">
        <v>171</v>
      </c>
    </row>
    <row r="66" spans="2:49">
      <c r="B66" s="185" t="e">
        <f>+D66/D72</f>
        <v>#DIV/0!</v>
      </c>
      <c r="C66" s="185"/>
      <c r="D66" s="182">
        <f>(+AL12+AM12)-'1'!AR23</f>
        <v>0</v>
      </c>
      <c r="E66" s="70" t="s">
        <v>84</v>
      </c>
      <c r="F66" s="70"/>
      <c r="G66" s="185"/>
      <c r="H66" s="185"/>
      <c r="I66" s="70"/>
      <c r="J66" s="70"/>
      <c r="AW66" s="23" t="s">
        <v>171</v>
      </c>
    </row>
    <row r="67" spans="2:49">
      <c r="B67" s="185" t="e">
        <f>+D67/D72</f>
        <v>#DIV/0!</v>
      </c>
      <c r="C67" s="185"/>
      <c r="D67" s="182">
        <f>AO12</f>
        <v>0</v>
      </c>
      <c r="E67" s="70" t="s">
        <v>118</v>
      </c>
      <c r="F67" s="70"/>
      <c r="G67" s="185"/>
      <c r="H67" s="185"/>
      <c r="I67" s="70"/>
      <c r="J67" s="70"/>
      <c r="AW67" s="23" t="s">
        <v>171</v>
      </c>
    </row>
    <row r="68" spans="2:49">
      <c r="B68" s="185" t="e">
        <f>+D68/D72</f>
        <v>#DIV/0!</v>
      </c>
      <c r="C68" s="185"/>
      <c r="D68" s="182">
        <f>+AN12</f>
        <v>0</v>
      </c>
      <c r="E68" s="187" t="s">
        <v>110</v>
      </c>
      <c r="F68" s="70"/>
      <c r="G68" s="185"/>
      <c r="H68" s="185"/>
      <c r="I68" s="70"/>
      <c r="J68" s="70"/>
      <c r="AW68" s="23" t="s">
        <v>171</v>
      </c>
    </row>
    <row r="69" spans="2:49">
      <c r="B69" s="185" t="e">
        <f>+D69/D72</f>
        <v>#DIV/0!</v>
      </c>
      <c r="C69" s="185"/>
      <c r="D69" s="182">
        <f>+AQ12+AS12</f>
        <v>0</v>
      </c>
      <c r="E69" s="70" t="s">
        <v>85</v>
      </c>
      <c r="F69" s="70"/>
      <c r="G69" s="185"/>
      <c r="H69" s="185"/>
      <c r="I69" s="70"/>
      <c r="J69" s="70"/>
      <c r="AW69" s="23" t="s">
        <v>171</v>
      </c>
    </row>
    <row r="70" spans="2:49">
      <c r="B70" s="185" t="e">
        <f>+D70/D72</f>
        <v>#DIV/0!</v>
      </c>
      <c r="C70" s="185"/>
      <c r="D70" s="182">
        <f>+AT12</f>
        <v>0</v>
      </c>
      <c r="E70" s="70" t="s">
        <v>119</v>
      </c>
      <c r="F70" s="70"/>
      <c r="G70" s="185"/>
      <c r="H70" s="185"/>
      <c r="I70" s="70"/>
      <c r="J70" s="70"/>
      <c r="AW70" s="23" t="s">
        <v>171</v>
      </c>
    </row>
    <row r="71" spans="2:49">
      <c r="B71" s="185" t="e">
        <f>+D71/D72</f>
        <v>#DIV/0!</v>
      </c>
      <c r="C71" s="185"/>
      <c r="D71" s="182">
        <f>Y12+Z12+AK12+AP12+AR12+AU12</f>
        <v>0</v>
      </c>
      <c r="E71" s="70" t="s">
        <v>51</v>
      </c>
      <c r="F71" s="11">
        <v>0.1</v>
      </c>
      <c r="G71" s="185" t="s">
        <v>148</v>
      </c>
      <c r="H71" s="185"/>
      <c r="I71" s="70"/>
      <c r="J71" s="70"/>
      <c r="AW71" s="23" t="s">
        <v>171</v>
      </c>
    </row>
    <row r="72" spans="2:49">
      <c r="B72" s="185" t="e">
        <f>SUM(B63:B71)</f>
        <v>#DIV/0!</v>
      </c>
      <c r="C72" s="185"/>
      <c r="D72" s="182">
        <f>L12</f>
        <v>0</v>
      </c>
      <c r="E72" s="70" t="s">
        <v>50</v>
      </c>
      <c r="F72" s="70"/>
      <c r="G72" s="70"/>
      <c r="H72" s="70"/>
      <c r="I72" s="70"/>
      <c r="J72" s="70"/>
      <c r="M72" s="84"/>
      <c r="AW72" s="23" t="s">
        <v>171</v>
      </c>
    </row>
    <row r="73" spans="2:49">
      <c r="B73" s="185" t="e">
        <f>+D73/(D72-D73)</f>
        <v>#DIV/0!</v>
      </c>
      <c r="C73" s="185"/>
      <c r="D73" s="182">
        <f>+D71+D59</f>
        <v>0</v>
      </c>
      <c r="E73" s="70" t="s">
        <v>207</v>
      </c>
      <c r="F73" s="70"/>
      <c r="G73" s="70"/>
      <c r="H73" s="70"/>
      <c r="I73" s="70"/>
      <c r="J73" s="70"/>
      <c r="M73" s="84"/>
      <c r="AW73" s="23" t="s">
        <v>171</v>
      </c>
    </row>
    <row r="74" spans="2:49" hidden="1">
      <c r="B74" s="188"/>
      <c r="C74" s="188"/>
      <c r="D74" s="182"/>
      <c r="E74" s="70"/>
      <c r="F74" s="70"/>
      <c r="G74" s="70"/>
      <c r="H74" s="70"/>
      <c r="I74" s="70"/>
      <c r="J74" s="70"/>
      <c r="AW74" s="23" t="s">
        <v>171</v>
      </c>
    </row>
    <row r="76" spans="2:49">
      <c r="B76" s="19"/>
      <c r="C76" s="19"/>
      <c r="D76" s="19"/>
      <c r="E76" s="19"/>
      <c r="F76" s="19"/>
      <c r="G76" s="19"/>
    </row>
    <row r="77" spans="2:49">
      <c r="B77" s="19"/>
      <c r="C77" s="19"/>
      <c r="D77" s="19"/>
      <c r="E77" s="19"/>
      <c r="F77" s="19"/>
      <c r="G77" s="19"/>
    </row>
    <row r="78" spans="2:49">
      <c r="B78" s="19"/>
      <c r="C78" s="19"/>
      <c r="D78" s="19"/>
      <c r="E78" s="19"/>
      <c r="F78" s="19"/>
      <c r="G78" s="19"/>
    </row>
    <row r="79" spans="2:49">
      <c r="B79" s="19"/>
      <c r="C79" s="19"/>
      <c r="D79" s="19"/>
      <c r="E79" s="19"/>
      <c r="F79" s="19"/>
      <c r="G79" s="19"/>
    </row>
    <row r="80" spans="2:49">
      <c r="B80" s="19"/>
      <c r="C80" s="19"/>
      <c r="D80" s="19"/>
      <c r="E80" s="19"/>
      <c r="F80" s="19"/>
      <c r="G80" s="19"/>
    </row>
    <row r="81" spans="2:7">
      <c r="B81" s="19"/>
      <c r="C81" s="19"/>
      <c r="D81" s="19"/>
      <c r="E81" s="19"/>
      <c r="F81" s="19"/>
      <c r="G81" s="19"/>
    </row>
    <row r="82" spans="2:7">
      <c r="B82" s="19"/>
      <c r="C82" s="19"/>
      <c r="D82" s="19"/>
      <c r="E82" s="19"/>
      <c r="F82" s="19"/>
      <c r="G82" s="19"/>
    </row>
    <row r="83" spans="2:7">
      <c r="B83" s="19"/>
      <c r="C83" s="19"/>
      <c r="D83" s="19"/>
      <c r="E83" s="19"/>
      <c r="F83" s="19"/>
      <c r="G83" s="19"/>
    </row>
    <row r="84" spans="2:7">
      <c r="B84" s="19"/>
      <c r="C84" s="19"/>
      <c r="D84" s="19"/>
      <c r="E84" s="19"/>
      <c r="F84" s="19"/>
      <c r="G84" s="19"/>
    </row>
    <row r="85" spans="2:7">
      <c r="B85" s="19"/>
      <c r="C85" s="19"/>
      <c r="D85" s="19"/>
      <c r="E85" s="19"/>
      <c r="F85" s="19"/>
      <c r="G85" s="19"/>
    </row>
    <row r="86" spans="2:7">
      <c r="B86" s="19"/>
      <c r="C86" s="19"/>
      <c r="D86" s="19"/>
      <c r="E86" s="19"/>
      <c r="F86" s="19"/>
      <c r="G86" s="19"/>
    </row>
    <row r="87" spans="2:7">
      <c r="B87" s="19"/>
      <c r="C87" s="19"/>
      <c r="D87" s="19"/>
      <c r="E87" s="19"/>
      <c r="F87" s="19"/>
      <c r="G87" s="19"/>
    </row>
    <row r="88" spans="2:7">
      <c r="B88" s="19"/>
      <c r="C88" s="19"/>
      <c r="D88" s="19"/>
      <c r="E88" s="19"/>
      <c r="F88" s="19"/>
      <c r="G88" s="19"/>
    </row>
  </sheetData>
  <mergeCells count="10">
    <mergeCell ref="A4:G4"/>
    <mergeCell ref="I1:J1"/>
    <mergeCell ref="I3:J3"/>
    <mergeCell ref="AM5:AP5"/>
    <mergeCell ref="AS5:AU5"/>
    <mergeCell ref="AE5:AF5"/>
    <mergeCell ref="AG5:AJ5"/>
    <mergeCell ref="AK5:AL5"/>
    <mergeCell ref="AQ5:AR5"/>
    <mergeCell ref="AA5:AB5"/>
  </mergeCells>
  <phoneticPr fontId="3" type="noConversion"/>
  <dataValidations count="7">
    <dataValidation type="custom" allowBlank="1" showInputMessage="1" showErrorMessage="1" error="Formula in Cell. Access Denied." sqref="O27:O29 O31" xr:uid="{00000000-0002-0000-0200-000000000000}">
      <formula1>"&lt;&gt;J63:J67"</formula1>
    </dataValidation>
    <dataValidation type="custom" allowBlank="1" showInputMessage="1" showErrorMessage="1" error="Formula in Cell. Access Denied." sqref="Y53:Y57 K48 K34:K45 Y42:Y51" xr:uid="{00000000-0002-0000-0200-000001000000}">
      <formula1>"&lt;&gt;H70:J85,J87:J88,D92"</formula1>
    </dataValidation>
    <dataValidation type="custom" allowBlank="1" showInputMessage="1" showErrorMessage="1" error="Data entry in this cell is denied." sqref="D87 H27:J27 I10:J11 M26:M28 O19:O21 K10:M13 M24 M18:M20 O24 O26 H28:H31 N12:N13 N19 M23:O23 M14:M16 L49:L50 M44:M53 L47 K46 M7:M8 I31:L31 AS10:AU13 AX10:JA13 B5:B6 M32:M33 J29:L29 A10:A13 H10:H26 I14:K25 J47:J51 I47:I48 I52:K52 K51 I53 D29 M1:N1 I5:O6 H1:H8 AH6:AI6 R7:R8 P1:P2 AT6 AO6 D56:E73 AL10:AQ13 N56:N57 I60 W5 F72:F73 O32 G56 L33:L44 G59:G62 O64:R65516 H62:I62 J43 U14:V15 E6 P10:W13 Q1:S1 AB10:AJ13 O10:O17 B10:B11 D10:G11 P5:Q8 F57:G58 P33:R63 O34:O63 F60:F70 M55:M65516 G63:I73 R19:W19 Y10:Z13 B56:B73" xr:uid="{00000000-0002-0000-0200-000002000000}">
      <formula1>"&lt;&gt;ActiveCell"</formula1>
    </dataValidation>
    <dataValidation allowBlank="1" showInputMessage="1" showErrorMessage="1" sqref="O30 O25 N20:N22 M25 K47 M21:M22 O22 I12:J12 L45:L46 M54 L48 K49:K50 U16:V16 AK1:AK8 W14:W16 AR42:AR1048576 AR1:AR8 I29 L32 I30:L30 M29:M31 O33 N14:N16 L14:L16 L18:L28 L1:L4 L7:L8 N3 O4 O1:O2 M2:N2 L17:N17 I59 F71 N44:N55 F56 P14:T16 N24:N33 F59 M34:M43 AR10:AR13 AK10:AK13 N10:N11 C1:C8 AK42:AK1048576 N58:N65516 L51:L65516 P19:Q19 C10:C1048576 R5 P17:W17 N18:W18 B74 D74:E74 AA10:AA1048576 Y5:Z6 AA1:AA8 N7:N8 F13 A9:XFD9 F15" xr:uid="{00000000-0002-0000-0200-000003000000}"/>
    <dataValidation type="custom" allowBlank="1" showInputMessage="1" showErrorMessage="1" error="Formula in cell.Access denied." sqref="T1:W1 W7:W8 AS3:AS8 AO7:AO8 AS1:AT2 I7:J7 I1:K1 AH7:AI8 B1:B4 A1:A8 AB1:AJ3 AH4:AI5 AL4:AN8 AT3:AT5 AT7:AT8 AC4:AG8 AU1:AU8 AL1:AQ3 AO4:AO5 K7:K8 I3:K4 O7:O8 E7:E8 AB6:AB8 AJ4:AJ8 AP4:AQ8 D1:D8 F1:G8 E1:E5 S5:V8 B7:B8 Y7:Z8 Y1:Z4 AB4" xr:uid="{00000000-0002-0000-0200-000005000000}">
      <formula1>"&lt;&gt;ActiveCell"</formula1>
    </dataValidation>
    <dataValidation type="custom" allowBlank="1" showInputMessage="1" showErrorMessage="1" error="Formula in cell. Data input denied." sqref="K2" xr:uid="{00000000-0002-0000-0200-000006000000}">
      <formula1>"&lt;&gt;=A1:D2,A3:B4,C4:E4,A5:E7,F2:AH8,R9:V222,X9:AH222"</formula1>
    </dataValidation>
    <dataValidation type="custom" allowBlank="1" showInputMessage="1" showErrorMessage="1" error="Formula in cell. Access denied" sqref="W6 R6" xr:uid="{00000000-0002-0000-0200-000007000000}">
      <formula1>"&lt;&gt;A1:D2,A3:B4,A5:E7,G1:AM7,X8:AM20,Q8:V20,A17:I21"</formula1>
    </dataValidation>
  </dataValidations>
  <hyperlinks>
    <hyperlink ref="J9" location="'1'!A1" display="PRELIMINARY &amp; GENERAL" xr:uid="{00000000-0004-0000-0200-000000000000}"/>
    <hyperlink ref="I9" location="'1'!A1" display="1" xr:uid="{00000000-0004-0000-0200-000001000000}"/>
    <hyperlink ref="H9" location="'|'!A1" display="|" xr:uid="{80742BC4-FC6A-4013-AD6E-EF3893994BD3}"/>
  </hyperlinks>
  <printOptions horizontalCentered="1"/>
  <pageMargins left="0.70866141732283472" right="0.70866141732283472" top="0.74803149606299213" bottom="0.74803149606299213" header="0.31496062992125984" footer="0.31496062992125984"/>
  <pageSetup scale="51" orientation="portrait" r:id="rId1"/>
  <headerFooter alignWithMargins="0">
    <oddHeader>&amp;L&amp;G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Q62"/>
  <sheetViews>
    <sheetView zoomScale="75" workbookViewId="0">
      <selection activeCell="M26" sqref="M26"/>
    </sheetView>
  </sheetViews>
  <sheetFormatPr defaultColWidth="8.7265625" defaultRowHeight="15"/>
  <cols>
    <col min="1" max="1" width="24.54296875" style="480" customWidth="1"/>
    <col min="2" max="2" width="12" style="480" customWidth="1"/>
    <col min="3" max="3" width="5.7265625" style="480" customWidth="1"/>
    <col min="4" max="4" width="8.7265625" style="480"/>
    <col min="5" max="5" width="20.7265625" style="480" customWidth="1"/>
    <col min="6" max="6" width="14.81640625" style="480" customWidth="1"/>
    <col min="7" max="7" width="10.26953125" style="480" bestFit="1" customWidth="1"/>
    <col min="8" max="8" width="11.1796875" style="480" customWidth="1"/>
    <col min="9" max="10" width="10.7265625" style="480" customWidth="1"/>
    <col min="11" max="11" width="9.1796875" style="480" bestFit="1" customWidth="1"/>
    <col min="12" max="12" width="10.26953125" style="480" bestFit="1" customWidth="1"/>
    <col min="13" max="16384" width="8.7265625" style="480"/>
  </cols>
  <sheetData>
    <row r="1" spans="1:10" ht="15.6">
      <c r="A1" s="620" t="s">
        <v>187</v>
      </c>
      <c r="B1" s="620"/>
      <c r="C1" s="620"/>
      <c r="D1" s="621" t="s">
        <v>181</v>
      </c>
      <c r="E1" s="621" t="s">
        <v>191</v>
      </c>
      <c r="F1" s="622" t="s">
        <v>182</v>
      </c>
      <c r="G1" s="622" t="s">
        <v>183</v>
      </c>
      <c r="H1" s="622" t="s">
        <v>188</v>
      </c>
      <c r="I1" s="622" t="s">
        <v>182</v>
      </c>
      <c r="J1" s="623"/>
    </row>
    <row r="2" spans="1:10">
      <c r="A2" s="624" t="s">
        <v>201</v>
      </c>
      <c r="B2" s="624"/>
      <c r="D2" s="625">
        <v>0</v>
      </c>
      <c r="E2" s="625"/>
      <c r="F2" s="626">
        <v>0</v>
      </c>
      <c r="G2" s="626">
        <v>0</v>
      </c>
      <c r="H2" s="626">
        <v>0</v>
      </c>
      <c r="I2" s="627">
        <f>G2+H2</f>
        <v>0</v>
      </c>
      <c r="J2" s="623"/>
    </row>
    <row r="3" spans="1:10">
      <c r="A3" s="624" t="s">
        <v>201</v>
      </c>
      <c r="B3" s="624"/>
      <c r="D3" s="625">
        <v>0</v>
      </c>
      <c r="E3" s="625"/>
      <c r="F3" s="626">
        <v>0</v>
      </c>
      <c r="G3" s="626">
        <v>0</v>
      </c>
      <c r="H3" s="626">
        <v>0</v>
      </c>
      <c r="I3" s="627">
        <f t="shared" ref="I3:I4" si="0">G3+H3</f>
        <v>0</v>
      </c>
      <c r="J3" s="623"/>
    </row>
    <row r="4" spans="1:10">
      <c r="A4" s="624" t="s">
        <v>201</v>
      </c>
      <c r="B4" s="624"/>
      <c r="D4" s="625">
        <v>0</v>
      </c>
      <c r="E4" s="625"/>
      <c r="F4" s="626">
        <v>0</v>
      </c>
      <c r="G4" s="626">
        <v>0</v>
      </c>
      <c r="H4" s="626">
        <v>0</v>
      </c>
      <c r="I4" s="627">
        <f t="shared" si="0"/>
        <v>0</v>
      </c>
      <c r="J4" s="623"/>
    </row>
    <row r="5" spans="1:10">
      <c r="D5" s="628"/>
      <c r="F5" s="629"/>
      <c r="G5" s="630"/>
      <c r="J5" s="623"/>
    </row>
    <row r="6" spans="1:10" ht="15.6">
      <c r="A6" s="631" t="s">
        <v>189</v>
      </c>
      <c r="B6" s="631"/>
      <c r="C6" s="631"/>
      <c r="D6" s="632"/>
      <c r="E6" s="632"/>
      <c r="F6" s="633">
        <f>SUM(F1:F5)</f>
        <v>0</v>
      </c>
      <c r="G6" s="633">
        <f>SUM(G1:G5)</f>
        <v>0</v>
      </c>
      <c r="H6" s="633">
        <f>SUM(H1:H5)</f>
        <v>0</v>
      </c>
      <c r="I6" s="633">
        <f>SUM(I1:I5)</f>
        <v>0</v>
      </c>
      <c r="J6" s="623"/>
    </row>
    <row r="7" spans="1:10">
      <c r="J7" s="623"/>
    </row>
    <row r="9" spans="1:10" ht="15.6">
      <c r="A9" s="620" t="s">
        <v>367</v>
      </c>
      <c r="B9" s="620" t="s">
        <v>202</v>
      </c>
      <c r="C9" s="620" t="s">
        <v>197</v>
      </c>
      <c r="D9" s="621" t="s">
        <v>181</v>
      </c>
      <c r="E9" s="621" t="s">
        <v>191</v>
      </c>
      <c r="F9" s="622" t="s">
        <v>182</v>
      </c>
      <c r="G9" s="622" t="s">
        <v>183</v>
      </c>
      <c r="H9" s="622" t="s">
        <v>188</v>
      </c>
      <c r="I9" s="622" t="s">
        <v>182</v>
      </c>
    </row>
    <row r="10" spans="1:10">
      <c r="A10" s="624" t="s">
        <v>196</v>
      </c>
      <c r="B10" s="624" t="s">
        <v>202</v>
      </c>
      <c r="C10" s="624" t="s">
        <v>203</v>
      </c>
      <c r="D10" s="625">
        <v>0</v>
      </c>
      <c r="E10" s="624"/>
      <c r="F10" s="634">
        <v>0</v>
      </c>
      <c r="G10" s="634">
        <v>0</v>
      </c>
      <c r="H10" s="634">
        <v>0</v>
      </c>
      <c r="I10" s="635">
        <f>G10+H10</f>
        <v>0</v>
      </c>
    </row>
    <row r="11" spans="1:10">
      <c r="A11" s="624" t="s">
        <v>196</v>
      </c>
      <c r="B11" s="624" t="s">
        <v>202</v>
      </c>
      <c r="C11" s="624" t="s">
        <v>203</v>
      </c>
      <c r="D11" s="625">
        <v>0</v>
      </c>
      <c r="E11" s="624"/>
      <c r="F11" s="634">
        <v>0</v>
      </c>
      <c r="G11" s="634">
        <v>0</v>
      </c>
      <c r="H11" s="634">
        <v>0</v>
      </c>
      <c r="I11" s="635">
        <f t="shared" ref="I11:I12" si="1">G11+H11</f>
        <v>0</v>
      </c>
    </row>
    <row r="12" spans="1:10">
      <c r="A12" s="624" t="s">
        <v>196</v>
      </c>
      <c r="B12" s="624" t="s">
        <v>202</v>
      </c>
      <c r="C12" s="624" t="s">
        <v>203</v>
      </c>
      <c r="D12" s="625">
        <v>0</v>
      </c>
      <c r="E12" s="624"/>
      <c r="F12" s="634">
        <v>0</v>
      </c>
      <c r="G12" s="634">
        <v>0</v>
      </c>
      <c r="H12" s="634">
        <v>0</v>
      </c>
      <c r="I12" s="635">
        <f t="shared" si="1"/>
        <v>0</v>
      </c>
    </row>
    <row r="13" spans="1:10">
      <c r="D13" s="628"/>
      <c r="F13" s="635"/>
      <c r="G13" s="634"/>
    </row>
    <row r="14" spans="1:10" ht="15.6">
      <c r="A14" s="636" t="s">
        <v>195</v>
      </c>
      <c r="B14" s="636"/>
      <c r="C14" s="636"/>
      <c r="D14" s="637"/>
      <c r="E14" s="632"/>
      <c r="F14" s="638">
        <f>SUM(F9:F13)</f>
        <v>0</v>
      </c>
      <c r="G14" s="638">
        <f>SUM(G9:G13)</f>
        <v>0</v>
      </c>
      <c r="H14" s="638">
        <f>SUM(H9:H13)</f>
        <v>0</v>
      </c>
      <c r="I14" s="638">
        <f>SUM(I9:I13)</f>
        <v>0</v>
      </c>
    </row>
    <row r="15" spans="1:10">
      <c r="F15" s="628"/>
      <c r="G15" s="628"/>
      <c r="J15" s="623"/>
    </row>
    <row r="16" spans="1:10">
      <c r="F16" s="628"/>
      <c r="G16" s="628"/>
      <c r="J16" s="623"/>
    </row>
    <row r="17" spans="1:10" ht="15.6">
      <c r="A17" s="639" t="s">
        <v>66</v>
      </c>
      <c r="B17" s="639"/>
      <c r="C17" s="639"/>
      <c r="D17" s="632"/>
      <c r="E17" s="632"/>
      <c r="F17" s="633">
        <f>SUMRY!AU12+SUMRY!AP12+SUMRY!AK12+SUMRY!Z12</f>
        <v>0</v>
      </c>
      <c r="G17" s="633">
        <f>+SUMRY!W12</f>
        <v>0</v>
      </c>
      <c r="J17" s="623"/>
    </row>
    <row r="18" spans="1:10">
      <c r="J18" s="623"/>
    </row>
    <row r="19" spans="1:10">
      <c r="J19" s="623"/>
    </row>
    <row r="20" spans="1:10" ht="15.6">
      <c r="A20" s="620" t="s">
        <v>368</v>
      </c>
      <c r="B20" s="620"/>
      <c r="C20" s="620"/>
      <c r="D20" s="621" t="s">
        <v>181</v>
      </c>
      <c r="E20" s="621" t="s">
        <v>191</v>
      </c>
      <c r="F20" s="622" t="s">
        <v>182</v>
      </c>
      <c r="G20" s="622" t="s">
        <v>183</v>
      </c>
      <c r="H20" s="622" t="s">
        <v>184</v>
      </c>
      <c r="I20" s="622" t="s">
        <v>185</v>
      </c>
      <c r="J20" s="622" t="s">
        <v>483</v>
      </c>
    </row>
    <row r="21" spans="1:10">
      <c r="A21" s="624" t="s">
        <v>180</v>
      </c>
      <c r="B21" s="624"/>
      <c r="D21" s="625">
        <v>0</v>
      </c>
      <c r="E21" s="625"/>
      <c r="F21" s="626">
        <v>0</v>
      </c>
      <c r="G21" s="626">
        <v>0</v>
      </c>
      <c r="H21" s="627">
        <f>F21/SUMRY!F$56</f>
        <v>0</v>
      </c>
      <c r="I21" s="627">
        <f>G21/SUMRY!F$56</f>
        <v>0</v>
      </c>
      <c r="J21" s="635">
        <f>H21-I21</f>
        <v>0</v>
      </c>
    </row>
    <row r="22" spans="1:10">
      <c r="A22" s="624" t="s">
        <v>180</v>
      </c>
      <c r="B22" s="624"/>
      <c r="D22" s="625">
        <v>0</v>
      </c>
      <c r="E22" s="625"/>
      <c r="F22" s="626">
        <v>0</v>
      </c>
      <c r="G22" s="626">
        <v>0</v>
      </c>
      <c r="H22" s="627">
        <f>F22/SUMRY!F$56</f>
        <v>0</v>
      </c>
      <c r="I22" s="627">
        <f>G22/SUMRY!F$56</f>
        <v>0</v>
      </c>
      <c r="J22" s="635">
        <f t="shared" ref="J22:J23" si="2">H22-I22</f>
        <v>0</v>
      </c>
    </row>
    <row r="23" spans="1:10">
      <c r="A23" s="624" t="s">
        <v>180</v>
      </c>
      <c r="B23" s="624"/>
      <c r="D23" s="625">
        <v>0</v>
      </c>
      <c r="E23" s="625"/>
      <c r="F23" s="626">
        <v>0</v>
      </c>
      <c r="G23" s="626">
        <v>0</v>
      </c>
      <c r="H23" s="627">
        <f>F23/SUMRY!F$56</f>
        <v>0</v>
      </c>
      <c r="I23" s="627">
        <f>G23/SUMRY!F$56</f>
        <v>0</v>
      </c>
      <c r="J23" s="635">
        <f t="shared" si="2"/>
        <v>0</v>
      </c>
    </row>
    <row r="24" spans="1:10">
      <c r="D24" s="628"/>
      <c r="F24" s="629"/>
      <c r="G24" s="630"/>
      <c r="H24" s="629"/>
      <c r="I24" s="630"/>
    </row>
    <row r="25" spans="1:10" ht="15.6">
      <c r="A25" s="631" t="s">
        <v>186</v>
      </c>
      <c r="B25" s="631"/>
      <c r="C25" s="631"/>
      <c r="D25" s="632"/>
      <c r="E25" s="632"/>
      <c r="F25" s="633">
        <f>SUM(F20:F24)</f>
        <v>0</v>
      </c>
      <c r="G25" s="633">
        <f>SUM(G20:G24)</f>
        <v>0</v>
      </c>
      <c r="H25" s="633">
        <f>SUM(H20:H24)</f>
        <v>0</v>
      </c>
      <c r="I25" s="633">
        <f>SUM(I20:I24)</f>
        <v>0</v>
      </c>
      <c r="J25" s="633">
        <f>SUM(J20:J24)</f>
        <v>0</v>
      </c>
    </row>
    <row r="26" spans="1:10">
      <c r="H26" s="628"/>
      <c r="I26" s="628"/>
      <c r="J26" s="623"/>
    </row>
    <row r="27" spans="1:10" ht="15.6">
      <c r="A27" s="620" t="s">
        <v>476</v>
      </c>
      <c r="B27" s="620"/>
      <c r="C27" s="620"/>
      <c r="D27" s="621" t="s">
        <v>181</v>
      </c>
      <c r="E27" s="621" t="s">
        <v>191</v>
      </c>
      <c r="F27" s="622" t="s">
        <v>182</v>
      </c>
      <c r="G27" s="622" t="s">
        <v>183</v>
      </c>
      <c r="H27" s="640"/>
      <c r="I27" s="640"/>
      <c r="J27" s="641"/>
    </row>
    <row r="28" spans="1:10">
      <c r="A28" s="624" t="s">
        <v>476</v>
      </c>
      <c r="B28" s="624"/>
      <c r="D28" s="625">
        <v>0</v>
      </c>
      <c r="E28" s="625">
        <v>1</v>
      </c>
      <c r="F28" s="626">
        <v>0</v>
      </c>
      <c r="G28" s="626">
        <v>0</v>
      </c>
      <c r="H28" s="627"/>
      <c r="I28" s="627"/>
    </row>
    <row r="29" spans="1:10">
      <c r="A29" s="624" t="s">
        <v>476</v>
      </c>
      <c r="B29" s="624"/>
      <c r="D29" s="625">
        <v>0</v>
      </c>
      <c r="E29" s="625">
        <v>1</v>
      </c>
      <c r="F29" s="626">
        <v>0</v>
      </c>
      <c r="G29" s="626">
        <v>0</v>
      </c>
      <c r="H29" s="627"/>
      <c r="I29" s="627"/>
    </row>
    <row r="30" spans="1:10">
      <c r="A30" s="624" t="s">
        <v>476</v>
      </c>
      <c r="B30" s="624"/>
      <c r="D30" s="625">
        <v>0</v>
      </c>
      <c r="E30" s="625">
        <v>1</v>
      </c>
      <c r="F30" s="626">
        <v>0</v>
      </c>
      <c r="G30" s="626">
        <v>0</v>
      </c>
      <c r="H30" s="627"/>
      <c r="I30" s="627"/>
    </row>
    <row r="31" spans="1:10">
      <c r="D31" s="628"/>
      <c r="F31" s="629"/>
      <c r="G31" s="630"/>
      <c r="H31" s="629"/>
      <c r="I31" s="630"/>
    </row>
    <row r="32" spans="1:10" ht="15.6">
      <c r="A32" s="642" t="s">
        <v>477</v>
      </c>
      <c r="B32" s="631"/>
      <c r="C32" s="631"/>
      <c r="D32" s="632"/>
      <c r="E32" s="632"/>
      <c r="F32" s="633">
        <f>SUM(F27:F31)</f>
        <v>0</v>
      </c>
      <c r="G32" s="633">
        <f>SUM(G27:G31)</f>
        <v>0</v>
      </c>
      <c r="H32" s="643"/>
      <c r="I32" s="643"/>
      <c r="J32" s="623"/>
    </row>
    <row r="33" spans="1:17">
      <c r="H33" s="628"/>
      <c r="I33" s="628"/>
      <c r="J33" s="623"/>
    </row>
    <row r="34" spans="1:17">
      <c r="H34" s="628"/>
      <c r="I34" s="628"/>
      <c r="J34" s="623"/>
    </row>
    <row r="35" spans="1:17" ht="15.6">
      <c r="A35" s="644" t="s">
        <v>190</v>
      </c>
      <c r="B35" s="644"/>
      <c r="C35" s="644"/>
      <c r="D35" s="621" t="s">
        <v>181</v>
      </c>
      <c r="E35" s="621" t="s">
        <v>191</v>
      </c>
      <c r="F35" s="622" t="s">
        <v>182</v>
      </c>
      <c r="G35" s="622" t="s">
        <v>183</v>
      </c>
      <c r="J35" s="623"/>
    </row>
    <row r="36" spans="1:17">
      <c r="A36" s="624" t="s">
        <v>200</v>
      </c>
      <c r="B36" s="624"/>
      <c r="D36" s="625">
        <v>0</v>
      </c>
      <c r="E36" s="625"/>
      <c r="F36" s="626">
        <v>0</v>
      </c>
      <c r="G36" s="626">
        <v>0</v>
      </c>
      <c r="J36" s="623"/>
    </row>
    <row r="37" spans="1:17">
      <c r="A37" s="624" t="s">
        <v>200</v>
      </c>
      <c r="B37" s="624"/>
      <c r="D37" s="625">
        <v>0</v>
      </c>
      <c r="E37" s="625"/>
      <c r="F37" s="626">
        <v>0</v>
      </c>
      <c r="G37" s="626">
        <v>0</v>
      </c>
      <c r="J37" s="623"/>
    </row>
    <row r="38" spans="1:17">
      <c r="A38" s="624" t="s">
        <v>200</v>
      </c>
      <c r="B38" s="624"/>
      <c r="D38" s="625">
        <v>0</v>
      </c>
      <c r="E38" s="625"/>
      <c r="F38" s="626">
        <v>0</v>
      </c>
      <c r="G38" s="626">
        <v>0</v>
      </c>
      <c r="J38" s="623"/>
    </row>
    <row r="39" spans="1:17">
      <c r="D39" s="628"/>
      <c r="F39" s="629"/>
      <c r="G39" s="630"/>
      <c r="J39" s="623"/>
    </row>
    <row r="40" spans="1:17" ht="15.75" customHeight="1">
      <c r="A40" s="631" t="s">
        <v>194</v>
      </c>
      <c r="B40" s="631"/>
      <c r="C40" s="631"/>
      <c r="D40" s="637"/>
      <c r="E40" s="632"/>
      <c r="F40" s="633">
        <f>SUM(F35:F39)</f>
        <v>0</v>
      </c>
      <c r="G40" s="633">
        <f>SUM(G35:G39)</f>
        <v>0</v>
      </c>
      <c r="J40" s="623"/>
    </row>
    <row r="41" spans="1:17" ht="15.6">
      <c r="F41" s="635"/>
      <c r="G41" s="635"/>
      <c r="L41" s="645" t="s">
        <v>208</v>
      </c>
      <c r="M41" s="646"/>
      <c r="N41" s="646" t="s">
        <v>366</v>
      </c>
    </row>
    <row r="42" spans="1:17">
      <c r="E42" s="480" t="s">
        <v>187</v>
      </c>
      <c r="F42" s="635">
        <f>+F6</f>
        <v>0</v>
      </c>
      <c r="G42" s="635">
        <f>+I6</f>
        <v>0</v>
      </c>
      <c r="L42" s="627">
        <f>SUMRY!D66+SUMRY!D67+SUMRY!D68</f>
        <v>0</v>
      </c>
      <c r="N42" s="647">
        <f>+L42-F42</f>
        <v>0</v>
      </c>
    </row>
    <row r="43" spans="1:17">
      <c r="E43" s="480" t="s">
        <v>192</v>
      </c>
      <c r="F43" s="635">
        <f>+F14</f>
        <v>0</v>
      </c>
      <c r="G43" s="635">
        <f>+I14</f>
        <v>0</v>
      </c>
      <c r="J43" s="648"/>
      <c r="K43" s="635"/>
      <c r="L43" s="627">
        <f>SUMRY!D69+SUMRY!D70</f>
        <v>0</v>
      </c>
      <c r="M43" s="649"/>
      <c r="N43" s="647">
        <f>+L43-F43</f>
        <v>0</v>
      </c>
      <c r="O43" s="648"/>
      <c r="P43" s="650"/>
      <c r="Q43" s="648"/>
    </row>
    <row r="44" spans="1:17" ht="15.6">
      <c r="E44" s="646" t="s">
        <v>369</v>
      </c>
      <c r="F44" s="651">
        <f>+F42+F43</f>
        <v>0</v>
      </c>
      <c r="G44" s="651">
        <f>+G42+G43</f>
        <v>0</v>
      </c>
      <c r="J44" s="648"/>
      <c r="K44" s="635"/>
      <c r="L44" s="627"/>
      <c r="M44" s="649"/>
      <c r="N44" s="647"/>
      <c r="O44" s="648"/>
      <c r="P44" s="650"/>
      <c r="Q44" s="648"/>
    </row>
    <row r="45" spans="1:17">
      <c r="E45" s="480" t="s">
        <v>66</v>
      </c>
      <c r="F45" s="635">
        <f>+F17</f>
        <v>0</v>
      </c>
      <c r="G45" s="635">
        <f>+G17</f>
        <v>0</v>
      </c>
      <c r="H45" s="12" t="e">
        <f>F45/F44</f>
        <v>#DIV/0!</v>
      </c>
      <c r="J45" s="648"/>
      <c r="K45" s="635"/>
      <c r="L45" s="627">
        <f>SUMRY!D71</f>
        <v>0</v>
      </c>
      <c r="M45" s="652"/>
      <c r="N45" s="647">
        <f>+L45-F45</f>
        <v>0</v>
      </c>
      <c r="O45" s="648"/>
      <c r="P45" s="650"/>
      <c r="Q45" s="648"/>
    </row>
    <row r="46" spans="1:17">
      <c r="E46" s="480" t="s">
        <v>368</v>
      </c>
      <c r="F46" s="635">
        <f>+F25</f>
        <v>0</v>
      </c>
      <c r="G46" s="635">
        <f>+G25</f>
        <v>0</v>
      </c>
      <c r="L46" s="627">
        <f>SUMRY!D63+SUMRY!D64</f>
        <v>0</v>
      </c>
      <c r="N46" s="647">
        <f>+L46-F46</f>
        <v>0</v>
      </c>
    </row>
    <row r="47" spans="1:17">
      <c r="E47" s="480" t="s">
        <v>476</v>
      </c>
      <c r="F47" s="635">
        <f>+F32</f>
        <v>0</v>
      </c>
      <c r="G47" s="635">
        <f>+G32</f>
        <v>0</v>
      </c>
      <c r="L47" s="627">
        <f>SUMRY!D65</f>
        <v>0</v>
      </c>
      <c r="N47" s="647">
        <f>+L47-F47</f>
        <v>0</v>
      </c>
    </row>
    <row r="48" spans="1:17">
      <c r="E48" s="480" t="s">
        <v>190</v>
      </c>
      <c r="F48" s="635">
        <f>+F40</f>
        <v>0</v>
      </c>
      <c r="G48" s="635">
        <f>+G40</f>
        <v>0</v>
      </c>
      <c r="J48" s="648"/>
      <c r="K48" s="635"/>
      <c r="L48" s="627">
        <f>SUMRY!D62</f>
        <v>0</v>
      </c>
      <c r="M48" s="649"/>
      <c r="N48" s="647">
        <f>+L48-F48</f>
        <v>0</v>
      </c>
      <c r="O48" s="648"/>
      <c r="P48" s="650"/>
      <c r="Q48" s="648"/>
    </row>
    <row r="49" spans="1:17">
      <c r="J49" s="653"/>
      <c r="K49" s="635"/>
      <c r="L49" s="627"/>
      <c r="M49" s="653"/>
      <c r="N49" s="647"/>
      <c r="O49" s="653"/>
      <c r="P49" s="648"/>
      <c r="Q49" s="648"/>
    </row>
    <row r="50" spans="1:17" ht="15.6">
      <c r="A50" s="632"/>
      <c r="B50" s="632"/>
      <c r="C50" s="632"/>
      <c r="D50" s="632"/>
      <c r="E50" s="636" t="s">
        <v>193</v>
      </c>
      <c r="F50" s="654">
        <f>SUM(F44:F48)</f>
        <v>0</v>
      </c>
      <c r="G50" s="638">
        <f>SUM(G44:G48)</f>
        <v>0</v>
      </c>
      <c r="H50" s="632"/>
      <c r="J50" s="635"/>
      <c r="K50" s="635"/>
      <c r="L50" s="643">
        <f>SUM(L42:L49)</f>
        <v>0</v>
      </c>
      <c r="M50" s="655"/>
      <c r="N50" s="656">
        <f>SUM(N42:N49)</f>
        <v>0</v>
      </c>
      <c r="O50" s="653"/>
      <c r="P50" s="650"/>
      <c r="Q50" s="648"/>
    </row>
    <row r="51" spans="1:17">
      <c r="J51" s="653"/>
      <c r="K51" s="635"/>
      <c r="L51" s="648"/>
      <c r="M51" s="653"/>
      <c r="N51" s="653"/>
      <c r="O51" s="653"/>
      <c r="P51" s="657"/>
      <c r="Q51" s="648"/>
    </row>
    <row r="52" spans="1:17">
      <c r="I52" s="635"/>
      <c r="J52" s="653"/>
      <c r="K52" s="635"/>
      <c r="L52" s="648"/>
      <c r="M52" s="648"/>
      <c r="N52" s="653"/>
      <c r="O52" s="653"/>
      <c r="P52" s="657"/>
      <c r="Q52" s="648"/>
    </row>
    <row r="53" spans="1:17">
      <c r="J53" s="635"/>
      <c r="K53" s="635"/>
      <c r="L53" s="648"/>
      <c r="M53" s="648"/>
      <c r="N53" s="653"/>
      <c r="O53" s="653"/>
      <c r="P53" s="648"/>
      <c r="Q53" s="648"/>
    </row>
    <row r="54" spans="1:17">
      <c r="J54" s="653"/>
      <c r="K54" s="635"/>
      <c r="L54" s="648"/>
      <c r="M54" s="648"/>
      <c r="N54" s="653"/>
      <c r="O54" s="653"/>
      <c r="P54" s="648"/>
      <c r="Q54" s="648"/>
    </row>
    <row r="55" spans="1:17">
      <c r="J55" s="653"/>
      <c r="K55" s="635"/>
      <c r="L55" s="648"/>
      <c r="M55" s="648"/>
      <c r="N55" s="653"/>
      <c r="O55" s="653"/>
      <c r="P55" s="648"/>
      <c r="Q55" s="648"/>
    </row>
    <row r="56" spans="1:17">
      <c r="J56" s="653"/>
      <c r="K56" s="635"/>
      <c r="L56" s="658"/>
      <c r="M56" s="648"/>
      <c r="N56" s="653"/>
      <c r="O56" s="653"/>
      <c r="P56" s="648"/>
      <c r="Q56" s="648"/>
    </row>
    <row r="57" spans="1:17">
      <c r="J57" s="653"/>
      <c r="K57" s="635"/>
      <c r="L57" s="648"/>
      <c r="M57" s="648"/>
      <c r="N57" s="653"/>
      <c r="O57" s="653"/>
      <c r="P57" s="648"/>
      <c r="Q57" s="648"/>
    </row>
    <row r="58" spans="1:17">
      <c r="J58" s="653"/>
      <c r="K58" s="635"/>
      <c r="L58" s="648"/>
      <c r="M58" s="648"/>
      <c r="N58" s="653"/>
      <c r="O58" s="653"/>
      <c r="P58" s="648"/>
      <c r="Q58" s="648"/>
    </row>
    <row r="59" spans="1:17">
      <c r="J59" s="653"/>
      <c r="K59" s="635"/>
      <c r="L59" s="648"/>
      <c r="M59" s="659"/>
      <c r="N59" s="653"/>
      <c r="O59" s="653"/>
      <c r="P59" s="648"/>
      <c r="Q59" s="648"/>
    </row>
    <row r="60" spans="1:17">
      <c r="J60" s="653"/>
      <c r="K60" s="635"/>
      <c r="L60" s="648"/>
      <c r="M60" s="648"/>
      <c r="N60" s="648"/>
      <c r="O60" s="648"/>
      <c r="P60" s="648"/>
      <c r="Q60" s="648"/>
    </row>
    <row r="61" spans="1:17">
      <c r="J61" s="648"/>
      <c r="K61" s="635"/>
      <c r="L61" s="648"/>
      <c r="M61" s="648"/>
      <c r="N61" s="648"/>
      <c r="O61" s="648"/>
      <c r="P61" s="648"/>
      <c r="Q61" s="648"/>
    </row>
    <row r="62" spans="1:17">
      <c r="J62" s="648"/>
      <c r="K62" s="648"/>
      <c r="L62" s="648"/>
      <c r="M62" s="648"/>
      <c r="N62" s="648"/>
      <c r="O62" s="648"/>
      <c r="P62" s="648"/>
      <c r="Q62" s="648"/>
    </row>
  </sheetData>
  <phoneticPr fontId="3" type="noConversion"/>
  <dataValidations count="2">
    <dataValidation type="custom" allowBlank="1" showInputMessage="1" showErrorMessage="1" error="Data entry in this cell is denied." sqref="A17:D17 P49 F40:G40 J54:J60 J51:J52 K51:L60 P51:P60 M51:O58 M60:O60 A35:G35 A50:D50 N59:O59 F17:G17 H28:I30 A1:H1 A6:D6 F6:H6 H21:I23 B20:I20 A25:D25 F32:I32 A40:D40 A14:H14 F25:I25 A9:H9 I1:I14 E41:N50 J20:J25 A27:G27 A32:D32" xr:uid="{00000000-0002-0000-0300-000000000000}">
      <formula1>"&lt;&gt;ActiveCell"</formula1>
    </dataValidation>
    <dataValidation allowBlank="1" showInputMessage="1" showErrorMessage="1" sqref="M59 J53 A20 H27:I27" xr:uid="{00000000-0002-0000-0300-000001000000}"/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autoPageBreaks="0" fitToPage="1"/>
  </sheetPr>
  <dimension ref="A1:BP303"/>
  <sheetViews>
    <sheetView showOutlineSymbols="0" zoomScale="75" workbookViewId="0">
      <pane ySplit="7" topLeftCell="A29" activePane="bottomLeft" state="frozen"/>
      <selection activeCell="E32" sqref="E32"/>
      <selection pane="bottomLeft" activeCell="H35" sqref="H35"/>
    </sheetView>
  </sheetViews>
  <sheetFormatPr defaultColWidth="8.81640625" defaultRowHeight="15"/>
  <cols>
    <col min="1" max="6" width="10.7265625" style="673" customWidth="1"/>
    <col min="7" max="7" width="5.7265625" style="673" customWidth="1"/>
    <col min="8" max="9" width="10.7265625" style="673" customWidth="1"/>
    <col min="10" max="10" width="5.7265625" style="673" customWidth="1"/>
    <col min="11" max="11" width="10.1796875" style="673" customWidth="1"/>
    <col min="12" max="12" width="10.7265625" style="673" customWidth="1"/>
    <col min="13" max="13" width="5.7265625" style="673" customWidth="1"/>
    <col min="14" max="14" width="1.7265625" style="673" customWidth="1"/>
    <col min="15" max="15" width="8" style="673" customWidth="1"/>
    <col min="16" max="16" width="9.81640625" style="673" customWidth="1"/>
    <col min="17" max="17" width="40.7265625" style="673" customWidth="1"/>
    <col min="18" max="18" width="5.7265625" style="673" customWidth="1"/>
    <col min="19" max="23" width="12.7265625" style="673" customWidth="1"/>
    <col min="24" max="24" width="6.1796875" style="673" customWidth="1"/>
    <col min="25" max="25" width="8.1796875" style="673" customWidth="1"/>
    <col min="26" max="26" width="17.54296875" style="673" customWidth="1"/>
    <col min="27" max="31" width="10.7265625" style="673" customWidth="1"/>
    <col min="32" max="33" width="12.7265625" style="673" customWidth="1"/>
    <col min="34" max="48" width="10.7265625" style="673" customWidth="1"/>
    <col min="49" max="49" width="12.453125" style="673" customWidth="1"/>
    <col min="50" max="50" width="11.26953125" style="673" customWidth="1"/>
    <col min="51" max="55" width="10.7265625" style="673" customWidth="1"/>
    <col min="56" max="59" width="5.7265625" style="775" customWidth="1"/>
    <col min="60" max="60" width="22.7265625" style="775" customWidth="1"/>
    <col min="61" max="61" width="5.7265625" style="775" customWidth="1"/>
    <col min="62" max="62" width="10.7265625" style="775" customWidth="1"/>
    <col min="63" max="68" width="10.7265625" style="673" customWidth="1"/>
    <col min="69" max="83" width="8.81640625" style="673" customWidth="1"/>
    <col min="84" max="16384" width="8.81640625" style="673"/>
  </cols>
  <sheetData>
    <row r="1" spans="1:68" ht="15.6">
      <c r="A1" s="660">
        <f>SUMRY!K9</f>
        <v>0</v>
      </c>
      <c r="B1" s="660"/>
      <c r="C1" s="660"/>
      <c r="D1" s="660"/>
      <c r="E1" s="660"/>
      <c r="F1" s="660"/>
      <c r="G1" s="660"/>
      <c r="H1" s="660"/>
      <c r="I1" s="660" t="s">
        <v>52</v>
      </c>
      <c r="J1" s="660"/>
      <c r="K1" s="660"/>
      <c r="L1" s="661">
        <f>SUMRY!I9</f>
        <v>1</v>
      </c>
      <c r="M1" s="662"/>
      <c r="N1" s="660"/>
      <c r="O1" s="663"/>
      <c r="P1" s="663"/>
      <c r="Q1" s="663"/>
      <c r="R1" s="663"/>
      <c r="S1" s="663"/>
      <c r="T1" s="663"/>
      <c r="U1" s="663"/>
      <c r="V1" s="664"/>
      <c r="W1" s="664"/>
      <c r="X1" s="664"/>
      <c r="Y1" s="664"/>
      <c r="Z1" s="665" t="s">
        <v>117</v>
      </c>
      <c r="AA1" s="665" t="s">
        <v>117</v>
      </c>
      <c r="AB1" s="666"/>
      <c r="AC1" s="666"/>
      <c r="AD1" s="666"/>
      <c r="AE1" s="666"/>
      <c r="AF1" s="667"/>
      <c r="AG1" s="668"/>
      <c r="AH1" s="667"/>
      <c r="AI1" s="668"/>
      <c r="AJ1" s="667"/>
      <c r="AK1" s="668"/>
      <c r="AL1" s="669"/>
      <c r="AM1" s="668"/>
      <c r="AN1" s="668"/>
      <c r="AO1" s="668"/>
      <c r="AP1" s="668"/>
      <c r="AQ1" s="668"/>
      <c r="AR1" s="669"/>
      <c r="AS1" s="669"/>
      <c r="AT1" s="669"/>
      <c r="AU1" s="669"/>
      <c r="AV1" s="669"/>
      <c r="AW1" s="669"/>
      <c r="AX1" s="669"/>
      <c r="AY1" s="669"/>
      <c r="AZ1" s="669"/>
      <c r="BA1" s="669"/>
      <c r="BB1" s="669"/>
      <c r="BC1" s="669"/>
      <c r="BD1" s="670"/>
      <c r="BE1" s="670"/>
      <c r="BF1" s="670"/>
      <c r="BG1" s="670"/>
      <c r="BH1" s="670"/>
      <c r="BI1" s="670"/>
      <c r="BJ1" s="670"/>
      <c r="BK1" s="671" t="s">
        <v>149</v>
      </c>
      <c r="BL1" s="672"/>
      <c r="BM1" s="672"/>
      <c r="BN1" s="672"/>
      <c r="BO1" s="672"/>
      <c r="BP1" s="672"/>
    </row>
    <row r="2" spans="1:68" ht="15.6">
      <c r="A2" s="662" t="s">
        <v>53</v>
      </c>
      <c r="B2" s="674"/>
      <c r="C2" s="674"/>
      <c r="D2" s="674"/>
      <c r="E2" s="674"/>
      <c r="F2" s="674"/>
      <c r="G2" s="674"/>
      <c r="H2" s="674"/>
      <c r="I2" s="674"/>
      <c r="J2" s="674"/>
      <c r="K2" s="674"/>
      <c r="L2" s="675">
        <v>2.5000000000000001E-2</v>
      </c>
      <c r="M2" s="675"/>
      <c r="N2" s="660"/>
      <c r="O2" s="676" t="str">
        <f>SUMRY!I1</f>
        <v>AMALGAMATED BUILDERS LTD</v>
      </c>
      <c r="P2" s="676"/>
      <c r="Q2" s="664"/>
      <c r="R2" s="664"/>
      <c r="S2" s="664"/>
      <c r="T2" s="664"/>
      <c r="U2" s="677" t="s">
        <v>437</v>
      </c>
      <c r="V2" s="678" t="str">
        <f>+SUMRY!K1</f>
        <v>QUOTE NO:</v>
      </c>
      <c r="W2" s="679" t="str">
        <f>SUMRY!L1</f>
        <v>XXXX</v>
      </c>
      <c r="X2" s="679"/>
      <c r="Y2" s="679"/>
      <c r="Z2" s="666"/>
      <c r="AA2" s="666"/>
      <c r="AB2" s="666"/>
      <c r="AC2" s="666"/>
      <c r="AD2" s="666"/>
      <c r="AE2" s="666"/>
      <c r="AF2" s="680"/>
      <c r="AG2" s="669"/>
      <c r="AH2" s="667"/>
      <c r="AI2" s="669"/>
      <c r="AJ2" s="667"/>
      <c r="AK2" s="669"/>
      <c r="AL2" s="669"/>
      <c r="AM2" s="669"/>
      <c r="AN2" s="669"/>
      <c r="AO2" s="669"/>
      <c r="AP2" s="669"/>
      <c r="AQ2" s="669"/>
      <c r="AR2" s="669"/>
      <c r="AS2" s="669"/>
      <c r="AT2" s="669"/>
      <c r="AU2" s="669"/>
      <c r="AV2" s="669"/>
      <c r="AW2" s="669"/>
      <c r="AX2" s="669"/>
      <c r="AY2" s="669"/>
      <c r="AZ2" s="669"/>
      <c r="BA2" s="669"/>
      <c r="BB2" s="669"/>
      <c r="BC2" s="669"/>
      <c r="BD2" s="681"/>
      <c r="BE2" s="681"/>
      <c r="BF2" s="681"/>
      <c r="BG2" s="682"/>
      <c r="BH2" s="683"/>
      <c r="BI2" s="682"/>
      <c r="BJ2" s="683"/>
      <c r="BK2" s="672"/>
      <c r="BL2" s="672"/>
      <c r="BM2" s="672"/>
      <c r="BN2" s="672"/>
      <c r="BO2" s="672"/>
      <c r="BP2" s="672"/>
    </row>
    <row r="3" spans="1:68" ht="15.6">
      <c r="A3" s="674" t="s">
        <v>172</v>
      </c>
      <c r="B3" s="674"/>
      <c r="C3" s="674"/>
      <c r="D3" s="674"/>
      <c r="E3" s="674"/>
      <c r="F3" s="684">
        <v>1</v>
      </c>
      <c r="G3" s="674"/>
      <c r="H3" s="674"/>
      <c r="I3" s="674"/>
      <c r="J3" s="674"/>
      <c r="K3" s="674"/>
      <c r="L3" s="685">
        <v>1</v>
      </c>
      <c r="M3" s="674"/>
      <c r="N3" s="660"/>
      <c r="O3" s="676" t="str">
        <f>SUMRY!I2</f>
        <v>JOB NAME:</v>
      </c>
      <c r="P3" s="676"/>
      <c r="Q3" s="686" t="str">
        <f>SUMRY!J2</f>
        <v>Job Name</v>
      </c>
      <c r="R3" s="664"/>
      <c r="S3" s="664"/>
      <c r="T3" s="664"/>
      <c r="U3" s="677" t="s">
        <v>437</v>
      </c>
      <c r="V3" s="679"/>
      <c r="W3" s="679"/>
      <c r="X3" s="679"/>
      <c r="Y3" s="679"/>
      <c r="Z3" s="666"/>
      <c r="AA3" s="666"/>
      <c r="AB3" s="666"/>
      <c r="AC3" s="666"/>
      <c r="AD3" s="666"/>
      <c r="AE3" s="666"/>
      <c r="AF3" s="680"/>
      <c r="AG3" s="669"/>
      <c r="AH3" s="667"/>
      <c r="AI3" s="669"/>
      <c r="AJ3" s="667"/>
      <c r="AK3" s="669"/>
      <c r="AL3" s="669"/>
      <c r="AM3" s="669"/>
      <c r="AN3" s="669"/>
      <c r="AO3" s="669"/>
      <c r="AP3" s="669"/>
      <c r="AQ3" s="669"/>
      <c r="AR3" s="669"/>
      <c r="AS3" s="669"/>
      <c r="AT3" s="669"/>
      <c r="AU3" s="669"/>
      <c r="AV3" s="669"/>
      <c r="AW3" s="669"/>
      <c r="AX3" s="669"/>
      <c r="AY3" s="669"/>
      <c r="AZ3" s="669"/>
      <c r="BA3" s="669"/>
      <c r="BB3" s="669"/>
      <c r="BC3" s="669"/>
      <c r="BD3" s="681"/>
      <c r="BE3" s="681"/>
      <c r="BF3" s="681"/>
      <c r="BG3" s="682"/>
      <c r="BH3" s="683"/>
      <c r="BI3" s="682"/>
      <c r="BJ3" s="683"/>
      <c r="BK3" s="672"/>
      <c r="BL3" s="672"/>
      <c r="BM3" s="672"/>
      <c r="BN3" s="672"/>
      <c r="BO3" s="672"/>
      <c r="BP3" s="672"/>
    </row>
    <row r="4" spans="1:68" ht="15.6">
      <c r="A4" s="687" t="s">
        <v>173</v>
      </c>
      <c r="B4" s="674"/>
      <c r="C4" s="674"/>
      <c r="D4" s="674"/>
      <c r="E4" s="674"/>
      <c r="F4" s="688">
        <f>SUMRY!F3</f>
        <v>0.1</v>
      </c>
      <c r="G4" s="689">
        <v>0</v>
      </c>
      <c r="H4" s="689"/>
      <c r="I4" s="687">
        <f>SUMRY!E3</f>
        <v>60</v>
      </c>
      <c r="J4" s="689">
        <v>0</v>
      </c>
      <c r="K4" s="689"/>
      <c r="L4" s="688">
        <f>SUMRY!F3</f>
        <v>0.1</v>
      </c>
      <c r="M4" s="689">
        <v>0</v>
      </c>
      <c r="N4" s="660"/>
      <c r="O4" s="676" t="s">
        <v>54</v>
      </c>
      <c r="P4" s="676"/>
      <c r="Q4" s="664" t="str">
        <f>SUMRY!J9</f>
        <v>PRELIMINARY &amp; GENERAL</v>
      </c>
      <c r="R4" s="664"/>
      <c r="S4" s="664"/>
      <c r="T4" s="664"/>
      <c r="U4" s="677" t="s">
        <v>437</v>
      </c>
      <c r="V4" s="690" t="s">
        <v>4</v>
      </c>
      <c r="W4" s="691" t="str">
        <f>SUMRY!L3</f>
        <v>00/00/0000</v>
      </c>
      <c r="X4" s="664"/>
      <c r="Y4" s="664"/>
      <c r="Z4" s="666"/>
      <c r="AA4" s="666"/>
      <c r="AB4" s="666"/>
      <c r="AC4" s="666"/>
      <c r="AD4" s="666"/>
      <c r="AE4" s="666"/>
      <c r="AF4" s="667"/>
      <c r="AG4" s="669"/>
      <c r="AH4" s="667"/>
      <c r="AI4" s="669"/>
      <c r="AJ4" s="667"/>
      <c r="AK4" s="669"/>
      <c r="AL4" s="669"/>
      <c r="AM4" s="669"/>
      <c r="AN4" s="669"/>
      <c r="AO4" s="669"/>
      <c r="AP4" s="669"/>
      <c r="AQ4" s="669"/>
      <c r="AR4" s="669"/>
      <c r="AS4" s="669"/>
      <c r="AT4" s="669"/>
      <c r="AU4" s="669"/>
      <c r="AV4" s="669"/>
      <c r="AW4" s="669"/>
      <c r="AX4" s="669"/>
      <c r="AY4" s="669"/>
      <c r="AZ4" s="669"/>
      <c r="BA4" s="669"/>
      <c r="BB4" s="669"/>
      <c r="BC4" s="669"/>
      <c r="BD4" s="681"/>
      <c r="BE4" s="681"/>
      <c r="BF4" s="681"/>
      <c r="BG4" s="692"/>
      <c r="BH4" s="683"/>
      <c r="BI4" s="692"/>
      <c r="BJ4" s="683"/>
      <c r="BK4" s="672"/>
      <c r="BL4" s="672"/>
      <c r="BM4" s="672"/>
      <c r="BN4" s="672"/>
      <c r="BO4" s="672"/>
      <c r="BP4" s="672"/>
    </row>
    <row r="5" spans="1:68" ht="15.6">
      <c r="A5" s="693"/>
      <c r="B5" s="693"/>
      <c r="C5" s="693"/>
      <c r="D5" s="693"/>
      <c r="E5" s="693"/>
      <c r="F5" s="693" t="s">
        <v>104</v>
      </c>
      <c r="G5" s="693"/>
      <c r="H5" s="693"/>
      <c r="I5" s="693"/>
      <c r="J5" s="693"/>
      <c r="K5" s="693"/>
      <c r="L5" s="693"/>
      <c r="M5" s="694"/>
      <c r="N5" s="662"/>
      <c r="O5" s="663"/>
      <c r="P5" s="663"/>
      <c r="Q5" s="663"/>
      <c r="R5" s="663"/>
      <c r="S5" s="663"/>
      <c r="T5" s="695"/>
      <c r="U5" s="696" t="s">
        <v>437</v>
      </c>
      <c r="V5" s="695"/>
      <c r="W5" s="695"/>
      <c r="X5" s="697"/>
      <c r="Y5" s="697"/>
      <c r="Z5" s="666" t="s">
        <v>6</v>
      </c>
      <c r="AA5" s="666" t="s">
        <v>6</v>
      </c>
      <c r="AB5" s="698"/>
      <c r="AC5" s="698"/>
      <c r="AD5" s="698"/>
      <c r="AE5" s="698"/>
      <c r="AF5" s="699"/>
      <c r="AG5" s="699"/>
      <c r="AH5" s="700"/>
      <c r="AI5" s="699" t="s">
        <v>5</v>
      </c>
      <c r="AJ5" s="700"/>
      <c r="AK5" s="699" t="s">
        <v>5</v>
      </c>
      <c r="AL5" s="699"/>
      <c r="AM5" s="699"/>
      <c r="AN5" s="699"/>
      <c r="AO5" s="699"/>
      <c r="AP5" s="699"/>
      <c r="AQ5" s="699"/>
      <c r="AR5" s="699"/>
      <c r="AS5" s="699"/>
      <c r="AT5" s="699"/>
      <c r="AU5" s="699"/>
      <c r="AV5" s="699"/>
      <c r="AW5" s="699"/>
      <c r="AX5" s="699"/>
      <c r="AY5" s="699"/>
      <c r="AZ5" s="699"/>
      <c r="BA5" s="699"/>
      <c r="BB5" s="699"/>
      <c r="BC5" s="701"/>
      <c r="BD5" s="702" t="s">
        <v>87</v>
      </c>
      <c r="BE5" s="703"/>
      <c r="BF5" s="703"/>
      <c r="BG5" s="703"/>
      <c r="BH5" s="703"/>
      <c r="BI5" s="703"/>
      <c r="BJ5" s="703"/>
      <c r="BK5" s="704" t="s">
        <v>8</v>
      </c>
      <c r="BL5" s="704"/>
      <c r="BM5" s="705" t="s">
        <v>9</v>
      </c>
      <c r="BN5" s="705"/>
      <c r="BO5" s="706" t="s">
        <v>10</v>
      </c>
      <c r="BP5" s="706"/>
    </row>
    <row r="6" spans="1:68" ht="15.75" customHeight="1">
      <c r="A6" s="707" t="s">
        <v>55</v>
      </c>
      <c r="B6" s="708" t="s">
        <v>484</v>
      </c>
      <c r="C6" s="708"/>
      <c r="D6" s="709" t="s">
        <v>99</v>
      </c>
      <c r="E6" s="709" t="s">
        <v>56</v>
      </c>
      <c r="F6" s="710" t="s">
        <v>10</v>
      </c>
      <c r="G6" s="710" t="s">
        <v>10</v>
      </c>
      <c r="H6" s="711" t="s">
        <v>8</v>
      </c>
      <c r="I6" s="712" t="s">
        <v>8</v>
      </c>
      <c r="J6" s="712" t="s">
        <v>154</v>
      </c>
      <c r="K6" s="713" t="s">
        <v>205</v>
      </c>
      <c r="L6" s="714" t="s">
        <v>9</v>
      </c>
      <c r="M6" s="714" t="s">
        <v>155</v>
      </c>
      <c r="N6" s="660"/>
      <c r="O6" s="676" t="s">
        <v>57</v>
      </c>
      <c r="P6" s="676"/>
      <c r="Q6" s="664" t="s">
        <v>58</v>
      </c>
      <c r="R6" s="715" t="s">
        <v>59</v>
      </c>
      <c r="S6" s="716" t="s">
        <v>60</v>
      </c>
      <c r="T6" s="717" t="s">
        <v>61</v>
      </c>
      <c r="U6" s="717" t="s">
        <v>61</v>
      </c>
      <c r="V6" s="717" t="s">
        <v>62</v>
      </c>
      <c r="W6" s="717" t="s">
        <v>15</v>
      </c>
      <c r="X6" s="717"/>
      <c r="Y6" s="717"/>
      <c r="Z6" s="718" t="s">
        <v>484</v>
      </c>
      <c r="AA6" s="709" t="s">
        <v>7</v>
      </c>
      <c r="AB6" s="712" t="s">
        <v>8</v>
      </c>
      <c r="AC6" s="714" t="s">
        <v>9</v>
      </c>
      <c r="AD6" s="710" t="s">
        <v>10</v>
      </c>
      <c r="AE6" s="719" t="s">
        <v>70</v>
      </c>
      <c r="AF6" s="719" t="s">
        <v>97</v>
      </c>
      <c r="AG6" s="719" t="s">
        <v>97</v>
      </c>
      <c r="AH6" s="708" t="s">
        <v>484</v>
      </c>
      <c r="AI6" s="720"/>
      <c r="AJ6" s="721" t="s">
        <v>7</v>
      </c>
      <c r="AK6" s="722"/>
      <c r="AL6" s="723" t="s">
        <v>8</v>
      </c>
      <c r="AM6" s="724"/>
      <c r="AN6" s="724"/>
      <c r="AO6" s="724"/>
      <c r="AP6" s="724"/>
      <c r="AQ6" s="725"/>
      <c r="AR6" s="726" t="s">
        <v>9</v>
      </c>
      <c r="AS6" s="727"/>
      <c r="AT6" s="727"/>
      <c r="AU6" s="727"/>
      <c r="AV6" s="727"/>
      <c r="AW6" s="727"/>
      <c r="AX6" s="728"/>
      <c r="AY6" s="729" t="s">
        <v>10</v>
      </c>
      <c r="AZ6" s="730"/>
      <c r="BA6" s="730"/>
      <c r="BB6" s="730"/>
      <c r="BC6" s="730"/>
      <c r="BD6" s="731" t="s">
        <v>88</v>
      </c>
      <c r="BE6" s="731" t="s">
        <v>89</v>
      </c>
      <c r="BF6" s="731" t="s">
        <v>90</v>
      </c>
      <c r="BG6" s="731" t="s">
        <v>91</v>
      </c>
      <c r="BH6" s="732" t="s">
        <v>55</v>
      </c>
      <c r="BI6" s="733" t="s">
        <v>93</v>
      </c>
      <c r="BJ6" s="733" t="s">
        <v>94</v>
      </c>
      <c r="BK6" s="734" t="s">
        <v>179</v>
      </c>
      <c r="BL6" s="712" t="s">
        <v>18</v>
      </c>
      <c r="BM6" s="713" t="s">
        <v>179</v>
      </c>
      <c r="BN6" s="714" t="s">
        <v>18</v>
      </c>
      <c r="BO6" s="735" t="s">
        <v>179</v>
      </c>
      <c r="BP6" s="736" t="s">
        <v>18</v>
      </c>
    </row>
    <row r="7" spans="1:68" ht="16.2" thickBot="1">
      <c r="A7" s="707"/>
      <c r="B7" s="719" t="s">
        <v>70</v>
      </c>
      <c r="C7" s="718" t="s">
        <v>63</v>
      </c>
      <c r="D7" s="719" t="s">
        <v>70</v>
      </c>
      <c r="E7" s="709" t="s">
        <v>63</v>
      </c>
      <c r="F7" s="710" t="s">
        <v>63</v>
      </c>
      <c r="G7" s="710" t="s">
        <v>153</v>
      </c>
      <c r="H7" s="711" t="s">
        <v>204</v>
      </c>
      <c r="I7" s="712" t="s">
        <v>64</v>
      </c>
      <c r="J7" s="712" t="s">
        <v>153</v>
      </c>
      <c r="K7" s="713" t="s">
        <v>15</v>
      </c>
      <c r="L7" s="714" t="s">
        <v>63</v>
      </c>
      <c r="M7" s="714" t="s">
        <v>153</v>
      </c>
      <c r="N7" s="660"/>
      <c r="O7" s="737" t="s">
        <v>16</v>
      </c>
      <c r="P7" s="737"/>
      <c r="Q7" s="664"/>
      <c r="R7" s="664"/>
      <c r="S7" s="738"/>
      <c r="T7" s="717" t="s">
        <v>63</v>
      </c>
      <c r="U7" s="717" t="s">
        <v>15</v>
      </c>
      <c r="V7" s="717" t="s">
        <v>65</v>
      </c>
      <c r="W7" s="717" t="s">
        <v>65</v>
      </c>
      <c r="X7" s="717" t="s">
        <v>14</v>
      </c>
      <c r="Y7" s="717" t="s">
        <v>198</v>
      </c>
      <c r="Z7" s="739" t="s">
        <v>15</v>
      </c>
      <c r="AA7" s="740" t="s">
        <v>15</v>
      </c>
      <c r="AB7" s="712" t="s">
        <v>15</v>
      </c>
      <c r="AC7" s="714" t="s">
        <v>15</v>
      </c>
      <c r="AD7" s="736" t="s">
        <v>15</v>
      </c>
      <c r="AE7" s="741" t="s">
        <v>15</v>
      </c>
      <c r="AF7" s="741" t="s">
        <v>106</v>
      </c>
      <c r="AG7" s="741" t="s">
        <v>98</v>
      </c>
      <c r="AH7" s="742" t="s">
        <v>63</v>
      </c>
      <c r="AI7" s="739" t="s">
        <v>15</v>
      </c>
      <c r="AJ7" s="743" t="s">
        <v>63</v>
      </c>
      <c r="AK7" s="740" t="s">
        <v>15</v>
      </c>
      <c r="AL7" s="712" t="s">
        <v>125</v>
      </c>
      <c r="AM7" s="744" t="s">
        <v>123</v>
      </c>
      <c r="AN7" s="744" t="s">
        <v>116</v>
      </c>
      <c r="AO7" s="744" t="s">
        <v>107</v>
      </c>
      <c r="AP7" s="744" t="s">
        <v>108</v>
      </c>
      <c r="AQ7" s="744" t="s">
        <v>124</v>
      </c>
      <c r="AR7" s="714" t="s">
        <v>94</v>
      </c>
      <c r="AS7" s="745" t="s">
        <v>72</v>
      </c>
      <c r="AT7" s="745" t="s">
        <v>74</v>
      </c>
      <c r="AU7" s="745" t="s">
        <v>107</v>
      </c>
      <c r="AV7" s="745" t="s">
        <v>108</v>
      </c>
      <c r="AW7" s="746" t="s">
        <v>73</v>
      </c>
      <c r="AX7" s="746" t="s">
        <v>75</v>
      </c>
      <c r="AY7" s="736" t="s">
        <v>15</v>
      </c>
      <c r="AZ7" s="747" t="s">
        <v>168</v>
      </c>
      <c r="BA7" s="747" t="s">
        <v>109</v>
      </c>
      <c r="BB7" s="746" t="s">
        <v>169</v>
      </c>
      <c r="BC7" s="746" t="s">
        <v>70</v>
      </c>
      <c r="BD7" s="681"/>
      <c r="BE7" s="681"/>
      <c r="BF7" s="681"/>
      <c r="BG7" s="681"/>
      <c r="BH7" s="748"/>
      <c r="BI7" s="749"/>
      <c r="BJ7" s="749"/>
      <c r="BK7" s="750" t="s">
        <v>199</v>
      </c>
      <c r="BL7" s="751" t="str">
        <f>BK7</f>
        <v>n</v>
      </c>
      <c r="BM7" s="750" t="s">
        <v>199</v>
      </c>
      <c r="BN7" s="752" t="str">
        <f>BM7</f>
        <v>n</v>
      </c>
      <c r="BO7" s="753" t="s">
        <v>199</v>
      </c>
      <c r="BP7" s="754" t="str">
        <f>BO7</f>
        <v>n</v>
      </c>
    </row>
    <row r="8" spans="1:68" ht="16.2" thickTop="1">
      <c r="A8" s="755"/>
      <c r="B8" s="756"/>
      <c r="C8" s="757"/>
      <c r="D8" s="756"/>
      <c r="E8" s="757"/>
      <c r="F8" s="757"/>
      <c r="G8" s="757"/>
      <c r="H8" s="757"/>
      <c r="I8" s="757"/>
      <c r="J8" s="757"/>
      <c r="K8" s="757"/>
      <c r="L8" s="757"/>
      <c r="M8" s="757"/>
      <c r="N8" s="758"/>
      <c r="O8" s="755"/>
      <c r="P8" s="755"/>
      <c r="Q8" s="755"/>
      <c r="R8" s="755"/>
      <c r="S8" s="755"/>
      <c r="T8" s="755"/>
      <c r="U8" s="759" t="s">
        <v>437</v>
      </c>
      <c r="V8" s="755"/>
      <c r="W8" s="755"/>
      <c r="X8" s="760"/>
      <c r="Y8" s="760"/>
      <c r="Z8" s="756"/>
      <c r="AA8" s="756"/>
      <c r="AB8" s="756"/>
      <c r="AC8" s="756"/>
      <c r="AD8" s="756"/>
      <c r="AE8" s="756"/>
      <c r="AF8" s="757"/>
      <c r="AG8" s="757"/>
      <c r="AH8" s="757"/>
      <c r="AI8" s="757"/>
      <c r="AJ8" s="757"/>
      <c r="AK8" s="757"/>
      <c r="AL8" s="757"/>
      <c r="AM8" s="757"/>
      <c r="AN8" s="757"/>
      <c r="AO8" s="757"/>
      <c r="AP8" s="757"/>
      <c r="AQ8" s="757"/>
      <c r="AR8" s="757"/>
      <c r="AS8" s="757"/>
      <c r="AT8" s="757"/>
      <c r="AU8" s="757"/>
      <c r="AV8" s="757"/>
      <c r="AW8" s="757"/>
      <c r="AX8" s="757"/>
      <c r="AY8" s="757"/>
      <c r="AZ8" s="757"/>
      <c r="BA8" s="757"/>
      <c r="BB8" s="757"/>
      <c r="BC8" s="757"/>
      <c r="BD8" s="761"/>
      <c r="BE8" s="761"/>
      <c r="BF8" s="761"/>
      <c r="BG8" s="761"/>
      <c r="BH8" s="761"/>
      <c r="BI8" s="761"/>
      <c r="BJ8" s="761"/>
      <c r="BK8" s="756"/>
      <c r="BL8" s="756"/>
      <c r="BM8" s="756"/>
      <c r="BN8" s="756"/>
      <c r="BO8" s="756"/>
      <c r="BP8" s="756"/>
    </row>
    <row r="9" spans="1:68" s="775" customFormat="1" ht="15.6">
      <c r="A9" s="762"/>
      <c r="B9" s="763"/>
      <c r="C9" s="763"/>
      <c r="D9" s="763"/>
      <c r="E9" s="763"/>
      <c r="F9" s="763"/>
      <c r="G9" s="689"/>
      <c r="H9" s="764"/>
      <c r="I9" s="763"/>
      <c r="J9" s="689"/>
      <c r="K9" s="764"/>
      <c r="L9" s="763"/>
      <c r="M9" s="689"/>
      <c r="N9" s="765"/>
      <c r="O9" s="766">
        <v>1</v>
      </c>
      <c r="P9" s="766" t="s">
        <v>363</v>
      </c>
      <c r="Q9" s="767"/>
      <c r="R9" s="762"/>
      <c r="S9" s="768"/>
      <c r="T9" s="769"/>
      <c r="U9" s="770" t="s">
        <v>437</v>
      </c>
      <c r="V9" s="771"/>
      <c r="W9" s="772"/>
      <c r="X9" s="773"/>
      <c r="Y9" s="773"/>
      <c r="Z9" s="772"/>
      <c r="AA9" s="772"/>
      <c r="AB9" s="772"/>
      <c r="AC9" s="772"/>
      <c r="AD9" s="772"/>
      <c r="AE9" s="772"/>
      <c r="AF9" s="774"/>
      <c r="AG9" s="772"/>
      <c r="AH9" s="772"/>
      <c r="AI9" s="769"/>
      <c r="AJ9" s="772"/>
      <c r="AK9" s="769"/>
      <c r="AL9" s="769"/>
      <c r="AM9" s="769"/>
      <c r="AN9" s="769"/>
      <c r="AO9" s="769"/>
      <c r="AP9" s="769"/>
      <c r="AQ9" s="769"/>
      <c r="AR9" s="769"/>
      <c r="AS9" s="769"/>
      <c r="AT9" s="769"/>
      <c r="AU9" s="769"/>
      <c r="AV9" s="769"/>
      <c r="AW9" s="769"/>
      <c r="AX9" s="769"/>
      <c r="AY9" s="769"/>
      <c r="AZ9" s="769"/>
      <c r="BA9" s="769"/>
      <c r="BB9" s="769"/>
      <c r="BC9" s="769"/>
      <c r="BD9" s="661"/>
      <c r="BF9" s="480"/>
      <c r="BG9" s="480"/>
      <c r="BH9" s="480"/>
      <c r="BI9" s="480"/>
      <c r="BJ9" s="480"/>
      <c r="BK9" s="769"/>
      <c r="BL9" s="769"/>
      <c r="BM9" s="769"/>
      <c r="BN9" s="769"/>
      <c r="BO9" s="769"/>
      <c r="BP9" s="769"/>
    </row>
    <row r="10" spans="1:68" s="775" customFormat="1" ht="15.6">
      <c r="A10" s="762"/>
      <c r="B10" s="763"/>
      <c r="C10" s="763"/>
      <c r="D10" s="763"/>
      <c r="E10" s="763"/>
      <c r="F10" s="763"/>
      <c r="G10" s="689"/>
      <c r="H10" s="764"/>
      <c r="I10" s="763"/>
      <c r="J10" s="689"/>
      <c r="K10" s="764"/>
      <c r="L10" s="763"/>
      <c r="M10" s="689"/>
      <c r="N10" s="765"/>
      <c r="O10" s="776"/>
      <c r="P10" s="776"/>
      <c r="Q10" s="777"/>
      <c r="R10" s="762"/>
      <c r="S10" s="768"/>
      <c r="T10" s="769"/>
      <c r="U10" s="772"/>
      <c r="V10" s="771"/>
      <c r="W10" s="772"/>
      <c r="X10" s="773"/>
      <c r="Y10" s="773"/>
      <c r="Z10" s="772"/>
      <c r="AA10" s="772"/>
      <c r="AB10" s="772"/>
      <c r="AC10" s="772"/>
      <c r="AD10" s="772"/>
      <c r="AE10" s="772"/>
      <c r="AF10" s="774"/>
      <c r="AG10" s="772"/>
      <c r="AH10" s="772"/>
      <c r="AI10" s="769"/>
      <c r="AJ10" s="772"/>
      <c r="AK10" s="769"/>
      <c r="AL10" s="769"/>
      <c r="AM10" s="769"/>
      <c r="AN10" s="769"/>
      <c r="AO10" s="769"/>
      <c r="AP10" s="769"/>
      <c r="AQ10" s="769"/>
      <c r="AR10" s="769"/>
      <c r="AS10" s="769"/>
      <c r="AT10" s="769"/>
      <c r="AU10" s="769"/>
      <c r="AV10" s="769"/>
      <c r="AW10" s="769"/>
      <c r="AX10" s="769"/>
      <c r="AY10" s="769"/>
      <c r="AZ10" s="769"/>
      <c r="BA10" s="769"/>
      <c r="BB10" s="769"/>
      <c r="BC10" s="769"/>
      <c r="BD10" s="661"/>
      <c r="BF10" s="480"/>
      <c r="BG10" s="480"/>
      <c r="BH10" s="480"/>
      <c r="BI10" s="480"/>
      <c r="BJ10" s="480"/>
      <c r="BK10" s="769"/>
      <c r="BL10" s="769"/>
      <c r="BM10" s="769"/>
      <c r="BN10" s="769"/>
      <c r="BO10" s="769"/>
      <c r="BP10" s="769"/>
    </row>
    <row r="11" spans="1:68" s="775" customFormat="1" ht="15.6">
      <c r="A11" s="762"/>
      <c r="B11" s="763" t="e">
        <v>#N/A</v>
      </c>
      <c r="C11" s="763" t="e">
        <v>#N/A</v>
      </c>
      <c r="D11" s="763" t="e">
        <v>#N/A</v>
      </c>
      <c r="E11" s="763" t="e">
        <v>#N/A</v>
      </c>
      <c r="F11" s="763" t="e">
        <v>#N/A</v>
      </c>
      <c r="G11" s="763" t="e">
        <v>#N/A</v>
      </c>
      <c r="H11" s="764">
        <f t="shared" ref="H11:H22" si="0">AM11+AN11</f>
        <v>0</v>
      </c>
      <c r="I11" s="764">
        <v>0</v>
      </c>
      <c r="J11" s="778">
        <f t="shared" ref="J11:J22" si="1">+J$4</f>
        <v>0</v>
      </c>
      <c r="K11" s="764">
        <f t="shared" ref="K11:K22" si="2">AR11+AT11+AV11+AX11</f>
        <v>0</v>
      </c>
      <c r="L11" s="763" t="e">
        <v>#N/A</v>
      </c>
      <c r="M11" s="763" t="e">
        <v>#N/A</v>
      </c>
      <c r="N11" s="765"/>
      <c r="O11" s="776"/>
      <c r="P11" s="776"/>
      <c r="Q11" s="777" t="s">
        <v>288</v>
      </c>
      <c r="R11" s="762" t="s">
        <v>231</v>
      </c>
      <c r="S11" s="768">
        <v>1</v>
      </c>
      <c r="T11" s="769">
        <f>_xlfn.IFNA(ROUNDUP(AF11+AJ11+AO11+AQ11+L11+AS11+AU11+AW11+F11+AZ11+BB11,2),0)</f>
        <v>0</v>
      </c>
      <c r="U11" s="772">
        <f t="shared" ref="U11" si="3">ROUND(T11*ROUNDUP(S11,1),2)</f>
        <v>0</v>
      </c>
      <c r="V11" s="771">
        <v>0</v>
      </c>
      <c r="W11" s="772">
        <f t="shared" ref="W11" si="4">ROUND(+U11*V11,2)</f>
        <v>0</v>
      </c>
      <c r="X11" s="773"/>
      <c r="Y11" s="773"/>
      <c r="Z11" s="772">
        <f>_xlfn.IFNA(ROUNDUP(AJ11*U11,2),0)</f>
        <v>0</v>
      </c>
      <c r="AA11" s="772">
        <f>_xlfn.IFNA(ROUNDUP(AK11*V11,2),0)</f>
        <v>0</v>
      </c>
      <c r="AB11" s="772">
        <f t="shared" ref="AB11" si="5">ROUNDUP((AP11+AL11)*V11,2)</f>
        <v>0</v>
      </c>
      <c r="AC11" s="772">
        <f>_xlfn.IFNA(ROUNDUP((AT11+AV11+AR11)*V11,2),0)</f>
        <v>0</v>
      </c>
      <c r="AD11" s="772">
        <f>_xlfn.IFNA(ROUNDUP((BA11+AY11)*V11,2),0)</f>
        <v>0</v>
      </c>
      <c r="AE11" s="772">
        <f>_xlfn.IFNA((BC11+AX11+AG11)*V11,0)</f>
        <v>0</v>
      </c>
      <c r="AF11" s="774">
        <f>+_xlfn.IFNA(D11,0)</f>
        <v>0</v>
      </c>
      <c r="AG11" s="772">
        <f>_xlfn.IFNA(ROUNDUP(D11*S11,2),0)</f>
        <v>0</v>
      </c>
      <c r="AH11" s="772">
        <f>+_xlfn.IFNA(C11,0)</f>
        <v>0</v>
      </c>
      <c r="AI11" s="769">
        <f>_xlfn.IFNA(C11*S11,0)</f>
        <v>0</v>
      </c>
      <c r="AJ11" s="772">
        <f>+_xlfn.IFNA(E11,0)</f>
        <v>0</v>
      </c>
      <c r="AK11" s="769">
        <f>_xlfn.IFNA(E11*S11,0)</f>
        <v>0</v>
      </c>
      <c r="AL11" s="769">
        <f t="shared" ref="AL11" si="6">ROUNDUP(S11*AQ11,2)</f>
        <v>0</v>
      </c>
      <c r="AM11" s="769">
        <f t="shared" ref="AM11" si="7">ROUNDUP(+I11*S11,2)</f>
        <v>0</v>
      </c>
      <c r="AN11" s="769">
        <f t="shared" ref="AN11" si="8">J11*I11*S11</f>
        <v>0</v>
      </c>
      <c r="AO11" s="769">
        <f t="shared" ref="AO11" si="9">ROUNDUP(I11*I$4*J11,2)</f>
        <v>0</v>
      </c>
      <c r="AP11" s="769">
        <f t="shared" ref="AP11" si="10">AO11*S11</f>
        <v>0</v>
      </c>
      <c r="AQ11" s="769">
        <f t="shared" ref="AQ11" si="11">IF(I11=0,0,ROUNDUP(I$4*I11,2))</f>
        <v>0</v>
      </c>
      <c r="AR11" s="769">
        <f>+_xlfn.IFNA(ROUNDUP(L11*ROUNDUP(S11,1),2),0)</f>
        <v>0</v>
      </c>
      <c r="AS11" s="769">
        <v>0</v>
      </c>
      <c r="AT11" s="769">
        <f t="shared" ref="AT11" si="12">+ROUNDUP(AS11*S11,2)</f>
        <v>0</v>
      </c>
      <c r="AU11" s="769">
        <f>_xlfn.IFNA(ROUNDUP((L11+AS11)*M11,2),0)</f>
        <v>0</v>
      </c>
      <c r="AV11" s="769">
        <f t="shared" ref="AV11" si="13">ROUNDUP(AU11*S11,2)</f>
        <v>0</v>
      </c>
      <c r="AW11" s="769">
        <f>_xlfn.IFNA(ROUNDUP((L11+AS11+AU11)*(L$4)*L$3,2),0)</f>
        <v>0</v>
      </c>
      <c r="AX11" s="769">
        <f t="shared" ref="AX11" si="14">ROUNDUP(+AW11*ROUNDUP(S11,1),2)</f>
        <v>0</v>
      </c>
      <c r="AY11" s="769">
        <f>_xlfn.IFNA(ROUNDUP(F11*S11,2),0)</f>
        <v>0</v>
      </c>
      <c r="AZ11" s="769">
        <f>_xlfn.IFNA(ROUNDUP(F11*G11,2),0)</f>
        <v>0</v>
      </c>
      <c r="BA11" s="769">
        <f t="shared" ref="BA11" si="15">ROUNDUP(AZ11*S11,2)</f>
        <v>0</v>
      </c>
      <c r="BB11" s="769">
        <f>_xlfn.IFNA(ROUNDUP((ROUNDUP(F11+AZ11,2)*F$4)*F$3,2),0)</f>
        <v>0</v>
      </c>
      <c r="BC11" s="769">
        <f t="shared" ref="BC11" si="16">BB11*S11</f>
        <v>0</v>
      </c>
      <c r="BD11" s="661"/>
      <c r="BF11" s="480"/>
      <c r="BG11" s="480"/>
      <c r="BH11" s="480"/>
      <c r="BI11" s="480"/>
      <c r="BJ11" s="480"/>
      <c r="BK11" s="769">
        <f t="shared" ref="BK11:BK22" si="17">IF(BK$7=$Y11,(+$AL11+$AP11),(0))</f>
        <v>0</v>
      </c>
      <c r="BL11" s="769">
        <f t="shared" ref="BL11:BL22" si="18">IF(BL$7=$Y11,(+BK11*$V11),(0))</f>
        <v>0</v>
      </c>
      <c r="BM11" s="769">
        <f t="shared" ref="BM11:BM22" si="19">IF(BM$7=$Y11,(+$AR11+$AT11+$AV11),(0))</f>
        <v>0</v>
      </c>
      <c r="BN11" s="769">
        <f t="shared" ref="BN11:BN22" si="20">IF(BN$7=$Y11,(+BM11*$V11),(0))</f>
        <v>0</v>
      </c>
      <c r="BO11" s="769">
        <f t="shared" ref="BO11:BO22" si="21">IF(BO$7=$X11,($AY11+$BA11),(0))</f>
        <v>0</v>
      </c>
      <c r="BP11" s="769">
        <f t="shared" ref="BP11:BP22" si="22">IF(BP$7=$X11,(+BO11*$V11),(0))</f>
        <v>0</v>
      </c>
    </row>
    <row r="12" spans="1:68" s="775" customFormat="1" ht="15.6">
      <c r="A12" s="762"/>
      <c r="B12" s="763" t="e">
        <v>#N/A</v>
      </c>
      <c r="C12" s="763" t="e">
        <v>#N/A</v>
      </c>
      <c r="D12" s="763" t="e">
        <v>#N/A</v>
      </c>
      <c r="E12" s="763" t="e">
        <v>#N/A</v>
      </c>
      <c r="F12" s="763" t="e">
        <v>#N/A</v>
      </c>
      <c r="G12" s="763" t="e">
        <v>#N/A</v>
      </c>
      <c r="H12" s="764">
        <f t="shared" si="0"/>
        <v>0</v>
      </c>
      <c r="I12" s="764">
        <v>0</v>
      </c>
      <c r="J12" s="778">
        <f t="shared" si="1"/>
        <v>0</v>
      </c>
      <c r="K12" s="764">
        <f t="shared" si="2"/>
        <v>0</v>
      </c>
      <c r="L12" s="763" t="e">
        <v>#N/A</v>
      </c>
      <c r="M12" s="763" t="e">
        <v>#N/A</v>
      </c>
      <c r="N12" s="765"/>
      <c r="O12" s="776"/>
      <c r="P12" s="776"/>
      <c r="Q12" s="777" t="s">
        <v>289</v>
      </c>
      <c r="R12" s="762" t="s">
        <v>231</v>
      </c>
      <c r="S12" s="768">
        <v>1</v>
      </c>
      <c r="T12" s="769">
        <f t="shared" ref="T12:T22" si="23">_xlfn.IFNA(ROUNDUP(AF12+AJ12+AO12+AQ12+L12+AS12+AU12+AW12+F12+AZ12+BB12,2),0)</f>
        <v>0</v>
      </c>
      <c r="U12" s="772">
        <f t="shared" ref="U12:U22" si="24">ROUND(T12*ROUNDUP(S12,1),2)</f>
        <v>0</v>
      </c>
      <c r="V12" s="771">
        <v>0</v>
      </c>
      <c r="W12" s="772">
        <f t="shared" ref="W12:W22" si="25">ROUND(+U12*V12,2)</f>
        <v>0</v>
      </c>
      <c r="X12" s="773"/>
      <c r="Y12" s="773"/>
      <c r="Z12" s="772">
        <f t="shared" ref="Z12:Z22" si="26">_xlfn.IFNA(ROUNDUP(AJ12*U12,2),0)</f>
        <v>0</v>
      </c>
      <c r="AA12" s="772">
        <f t="shared" ref="AA12:AA22" si="27">_xlfn.IFNA(ROUNDUP(AK12*V12,2),0)</f>
        <v>0</v>
      </c>
      <c r="AB12" s="772">
        <f t="shared" ref="AB12:AB22" si="28">ROUNDUP((AP12+AL12)*V12,2)</f>
        <v>0</v>
      </c>
      <c r="AC12" s="772">
        <f t="shared" ref="AC12:AC22" si="29">_xlfn.IFNA(ROUNDUP((AT12+AV12+AR12)*V12,2),0)</f>
        <v>0</v>
      </c>
      <c r="AD12" s="772">
        <f t="shared" ref="AD12:AD22" si="30">_xlfn.IFNA(ROUNDUP((BA12+AY12)*V12,2),0)</f>
        <v>0</v>
      </c>
      <c r="AE12" s="772">
        <f t="shared" ref="AE12:AE22" si="31">_xlfn.IFNA((BC12+AX12+AG12)*V12,0)</f>
        <v>0</v>
      </c>
      <c r="AF12" s="774">
        <f t="shared" ref="AF12:AF22" si="32">+_xlfn.IFNA(D12,0)</f>
        <v>0</v>
      </c>
      <c r="AG12" s="772">
        <f t="shared" ref="AG12:AG22" si="33">_xlfn.IFNA(ROUNDUP(D12*S12,2),0)</f>
        <v>0</v>
      </c>
      <c r="AH12" s="772">
        <f t="shared" ref="AH12:AH22" si="34">+_xlfn.IFNA(C12,0)</f>
        <v>0</v>
      </c>
      <c r="AI12" s="769">
        <f t="shared" ref="AI12:AI22" si="35">_xlfn.IFNA(C12*S12,0)</f>
        <v>0</v>
      </c>
      <c r="AJ12" s="772">
        <f t="shared" ref="AJ12:AJ22" si="36">+_xlfn.IFNA(E12,0)</f>
        <v>0</v>
      </c>
      <c r="AK12" s="769">
        <f t="shared" ref="AK12:AK22" si="37">_xlfn.IFNA(E12*S12,0)</f>
        <v>0</v>
      </c>
      <c r="AL12" s="769">
        <f t="shared" ref="AL12:AL22" si="38">ROUNDUP(S12*AQ12,2)</f>
        <v>0</v>
      </c>
      <c r="AM12" s="769">
        <f t="shared" ref="AM12:AM22" si="39">ROUNDUP(+I12*S12,2)</f>
        <v>0</v>
      </c>
      <c r="AN12" s="769">
        <f t="shared" ref="AN12:AN22" si="40">J12*I12*S12</f>
        <v>0</v>
      </c>
      <c r="AO12" s="769">
        <f t="shared" ref="AO12:AO22" si="41">ROUNDUP(I12*I$4*J12,2)</f>
        <v>0</v>
      </c>
      <c r="AP12" s="769">
        <f t="shared" ref="AP12:AP22" si="42">AO12*S12</f>
        <v>0</v>
      </c>
      <c r="AQ12" s="769">
        <f t="shared" ref="AQ12:AQ22" si="43">IF(I12=0,0,ROUNDUP(I$4*I12,2))</f>
        <v>0</v>
      </c>
      <c r="AR12" s="769">
        <f t="shared" ref="AR12:AR22" si="44">+_xlfn.IFNA(ROUNDUP(L12*ROUNDUP(S12,1),2),0)</f>
        <v>0</v>
      </c>
      <c r="AS12" s="769">
        <v>0</v>
      </c>
      <c r="AT12" s="769">
        <f t="shared" ref="AT12:AT22" si="45">+ROUNDUP(AS12*S12,2)</f>
        <v>0</v>
      </c>
      <c r="AU12" s="769">
        <f t="shared" ref="AU12:AU22" si="46">_xlfn.IFNA(ROUNDUP((L12+AS12)*M12,2),0)</f>
        <v>0</v>
      </c>
      <c r="AV12" s="769">
        <f t="shared" ref="AV12:AV22" si="47">ROUNDUP(AU12*S12,2)</f>
        <v>0</v>
      </c>
      <c r="AW12" s="769">
        <f t="shared" ref="AW12:AW22" si="48">_xlfn.IFNA(ROUNDUP((L12+AS12+AU12)*(L$4)*L$3,2),0)</f>
        <v>0</v>
      </c>
      <c r="AX12" s="769">
        <f t="shared" ref="AX12:AX22" si="49">ROUNDUP(+AW12*ROUNDUP(S12,1),2)</f>
        <v>0</v>
      </c>
      <c r="AY12" s="769">
        <f t="shared" ref="AY12:AY22" si="50">_xlfn.IFNA(ROUNDUP(F12*S12,2),0)</f>
        <v>0</v>
      </c>
      <c r="AZ12" s="769">
        <f t="shared" ref="AZ12:AZ22" si="51">_xlfn.IFNA(ROUNDUP(F12*G12,2),0)</f>
        <v>0</v>
      </c>
      <c r="BA12" s="769">
        <f t="shared" ref="BA12:BA22" si="52">ROUNDUP(AZ12*S12,2)</f>
        <v>0</v>
      </c>
      <c r="BB12" s="769">
        <f t="shared" ref="BB12:BB22" si="53">_xlfn.IFNA(ROUNDUP((ROUNDUP(F12+AZ12,2)*F$4)*F$3,2),0)</f>
        <v>0</v>
      </c>
      <c r="BC12" s="769">
        <f t="shared" ref="BC12:BC22" si="54">BB12*S12</f>
        <v>0</v>
      </c>
      <c r="BD12" s="661"/>
      <c r="BF12" s="480"/>
      <c r="BG12" s="480"/>
      <c r="BH12" s="480"/>
      <c r="BI12" s="480"/>
      <c r="BJ12" s="480"/>
      <c r="BK12" s="769">
        <f t="shared" si="17"/>
        <v>0</v>
      </c>
      <c r="BL12" s="769">
        <f t="shared" si="18"/>
        <v>0</v>
      </c>
      <c r="BM12" s="769">
        <f t="shared" si="19"/>
        <v>0</v>
      </c>
      <c r="BN12" s="769">
        <f t="shared" si="20"/>
        <v>0</v>
      </c>
      <c r="BO12" s="769">
        <f t="shared" si="21"/>
        <v>0</v>
      </c>
      <c r="BP12" s="769">
        <f t="shared" si="22"/>
        <v>0</v>
      </c>
    </row>
    <row r="13" spans="1:68" s="775" customFormat="1" ht="15.6">
      <c r="A13" s="762"/>
      <c r="B13" s="763" t="e">
        <v>#N/A</v>
      </c>
      <c r="C13" s="763" t="e">
        <v>#N/A</v>
      </c>
      <c r="D13" s="763" t="e">
        <v>#N/A</v>
      </c>
      <c r="E13" s="763" t="e">
        <v>#N/A</v>
      </c>
      <c r="F13" s="763" t="e">
        <v>#N/A</v>
      </c>
      <c r="G13" s="763" t="e">
        <v>#N/A</v>
      </c>
      <c r="H13" s="764">
        <f t="shared" si="0"/>
        <v>0</v>
      </c>
      <c r="I13" s="764">
        <v>0</v>
      </c>
      <c r="J13" s="778">
        <f t="shared" si="1"/>
        <v>0</v>
      </c>
      <c r="K13" s="764">
        <f t="shared" si="2"/>
        <v>0</v>
      </c>
      <c r="L13" s="763" t="e">
        <v>#N/A</v>
      </c>
      <c r="M13" s="763" t="e">
        <v>#N/A</v>
      </c>
      <c r="N13" s="765"/>
      <c r="O13" s="776"/>
      <c r="P13" s="776"/>
      <c r="Q13" s="777" t="s">
        <v>290</v>
      </c>
      <c r="R13" s="762" t="s">
        <v>231</v>
      </c>
      <c r="S13" s="768">
        <v>1</v>
      </c>
      <c r="T13" s="769">
        <f t="shared" si="23"/>
        <v>0</v>
      </c>
      <c r="U13" s="772">
        <f t="shared" si="24"/>
        <v>0</v>
      </c>
      <c r="V13" s="771">
        <v>0</v>
      </c>
      <c r="W13" s="772">
        <f t="shared" si="25"/>
        <v>0</v>
      </c>
      <c r="X13" s="773"/>
      <c r="Y13" s="773"/>
      <c r="Z13" s="772">
        <f t="shared" si="26"/>
        <v>0</v>
      </c>
      <c r="AA13" s="772">
        <f t="shared" si="27"/>
        <v>0</v>
      </c>
      <c r="AB13" s="772">
        <f t="shared" si="28"/>
        <v>0</v>
      </c>
      <c r="AC13" s="772">
        <f t="shared" si="29"/>
        <v>0</v>
      </c>
      <c r="AD13" s="772">
        <f t="shared" si="30"/>
        <v>0</v>
      </c>
      <c r="AE13" s="772">
        <f t="shared" si="31"/>
        <v>0</v>
      </c>
      <c r="AF13" s="774">
        <f t="shared" si="32"/>
        <v>0</v>
      </c>
      <c r="AG13" s="772">
        <f t="shared" si="33"/>
        <v>0</v>
      </c>
      <c r="AH13" s="772">
        <f t="shared" si="34"/>
        <v>0</v>
      </c>
      <c r="AI13" s="769">
        <f t="shared" si="35"/>
        <v>0</v>
      </c>
      <c r="AJ13" s="772">
        <f t="shared" si="36"/>
        <v>0</v>
      </c>
      <c r="AK13" s="769">
        <f t="shared" si="37"/>
        <v>0</v>
      </c>
      <c r="AL13" s="769">
        <f t="shared" si="38"/>
        <v>0</v>
      </c>
      <c r="AM13" s="769">
        <f t="shared" si="39"/>
        <v>0</v>
      </c>
      <c r="AN13" s="769">
        <f t="shared" si="40"/>
        <v>0</v>
      </c>
      <c r="AO13" s="769">
        <f t="shared" si="41"/>
        <v>0</v>
      </c>
      <c r="AP13" s="769">
        <f t="shared" si="42"/>
        <v>0</v>
      </c>
      <c r="AQ13" s="769">
        <f t="shared" si="43"/>
        <v>0</v>
      </c>
      <c r="AR13" s="769">
        <f t="shared" si="44"/>
        <v>0</v>
      </c>
      <c r="AS13" s="769">
        <v>0</v>
      </c>
      <c r="AT13" s="769">
        <f t="shared" si="45"/>
        <v>0</v>
      </c>
      <c r="AU13" s="769">
        <f t="shared" si="46"/>
        <v>0</v>
      </c>
      <c r="AV13" s="769">
        <f t="shared" si="47"/>
        <v>0</v>
      </c>
      <c r="AW13" s="769">
        <f t="shared" si="48"/>
        <v>0</v>
      </c>
      <c r="AX13" s="769">
        <f t="shared" si="49"/>
        <v>0</v>
      </c>
      <c r="AY13" s="769">
        <f t="shared" si="50"/>
        <v>0</v>
      </c>
      <c r="AZ13" s="769">
        <f t="shared" si="51"/>
        <v>0</v>
      </c>
      <c r="BA13" s="769">
        <f t="shared" si="52"/>
        <v>0</v>
      </c>
      <c r="BB13" s="769">
        <f t="shared" si="53"/>
        <v>0</v>
      </c>
      <c r="BC13" s="769">
        <f t="shared" si="54"/>
        <v>0</v>
      </c>
      <c r="BD13" s="661"/>
      <c r="BF13" s="480"/>
      <c r="BG13" s="480"/>
      <c r="BH13" s="480"/>
      <c r="BI13" s="480"/>
      <c r="BJ13" s="480"/>
      <c r="BK13" s="769">
        <f t="shared" si="17"/>
        <v>0</v>
      </c>
      <c r="BL13" s="769">
        <f t="shared" si="18"/>
        <v>0</v>
      </c>
      <c r="BM13" s="769">
        <f t="shared" si="19"/>
        <v>0</v>
      </c>
      <c r="BN13" s="769">
        <f t="shared" si="20"/>
        <v>0</v>
      </c>
      <c r="BO13" s="769">
        <f t="shared" si="21"/>
        <v>0</v>
      </c>
      <c r="BP13" s="769">
        <f t="shared" si="22"/>
        <v>0</v>
      </c>
    </row>
    <row r="14" spans="1:68" s="775" customFormat="1" ht="15.6">
      <c r="A14" s="762"/>
      <c r="B14" s="763" t="e">
        <v>#N/A</v>
      </c>
      <c r="C14" s="763" t="e">
        <v>#N/A</v>
      </c>
      <c r="D14" s="763" t="e">
        <v>#N/A</v>
      </c>
      <c r="E14" s="763" t="e">
        <v>#N/A</v>
      </c>
      <c r="F14" s="763" t="e">
        <v>#N/A</v>
      </c>
      <c r="G14" s="763" t="e">
        <v>#N/A</v>
      </c>
      <c r="H14" s="764">
        <f t="shared" ref="H14" si="55">AM14+AN14</f>
        <v>0</v>
      </c>
      <c r="I14" s="764">
        <v>0</v>
      </c>
      <c r="J14" s="778">
        <f t="shared" si="1"/>
        <v>0</v>
      </c>
      <c r="K14" s="764">
        <f t="shared" ref="K14" si="56">AR14+AT14+AV14+AX14</f>
        <v>0</v>
      </c>
      <c r="L14" s="763" t="e">
        <v>#N/A</v>
      </c>
      <c r="M14" s="763" t="e">
        <v>#N/A</v>
      </c>
      <c r="N14" s="765"/>
      <c r="O14" s="776"/>
      <c r="P14" s="776"/>
      <c r="Q14" s="777" t="s">
        <v>336</v>
      </c>
      <c r="R14" s="762" t="s">
        <v>231</v>
      </c>
      <c r="S14" s="768">
        <v>1</v>
      </c>
      <c r="T14" s="769">
        <f t="shared" si="23"/>
        <v>0</v>
      </c>
      <c r="U14" s="772">
        <f t="shared" si="24"/>
        <v>0</v>
      </c>
      <c r="V14" s="771">
        <v>0</v>
      </c>
      <c r="W14" s="772">
        <f t="shared" si="25"/>
        <v>0</v>
      </c>
      <c r="X14" s="773"/>
      <c r="Y14" s="773"/>
      <c r="Z14" s="772">
        <f t="shared" si="26"/>
        <v>0</v>
      </c>
      <c r="AA14" s="772">
        <f t="shared" si="27"/>
        <v>0</v>
      </c>
      <c r="AB14" s="772">
        <f t="shared" si="28"/>
        <v>0</v>
      </c>
      <c r="AC14" s="772">
        <f t="shared" si="29"/>
        <v>0</v>
      </c>
      <c r="AD14" s="772">
        <f t="shared" si="30"/>
        <v>0</v>
      </c>
      <c r="AE14" s="772">
        <f t="shared" si="31"/>
        <v>0</v>
      </c>
      <c r="AF14" s="774">
        <f t="shared" si="32"/>
        <v>0</v>
      </c>
      <c r="AG14" s="772">
        <f t="shared" si="33"/>
        <v>0</v>
      </c>
      <c r="AH14" s="772">
        <f t="shared" si="34"/>
        <v>0</v>
      </c>
      <c r="AI14" s="769">
        <f t="shared" si="35"/>
        <v>0</v>
      </c>
      <c r="AJ14" s="772">
        <f t="shared" si="36"/>
        <v>0</v>
      </c>
      <c r="AK14" s="769">
        <f t="shared" si="37"/>
        <v>0</v>
      </c>
      <c r="AL14" s="769">
        <f t="shared" si="38"/>
        <v>0</v>
      </c>
      <c r="AM14" s="769">
        <f t="shared" si="39"/>
        <v>0</v>
      </c>
      <c r="AN14" s="769">
        <f t="shared" si="40"/>
        <v>0</v>
      </c>
      <c r="AO14" s="769">
        <f t="shared" si="41"/>
        <v>0</v>
      </c>
      <c r="AP14" s="769">
        <f t="shared" si="42"/>
        <v>0</v>
      </c>
      <c r="AQ14" s="769">
        <f t="shared" si="43"/>
        <v>0</v>
      </c>
      <c r="AR14" s="769">
        <f t="shared" si="44"/>
        <v>0</v>
      </c>
      <c r="AS14" s="769">
        <v>0</v>
      </c>
      <c r="AT14" s="769">
        <f t="shared" si="45"/>
        <v>0</v>
      </c>
      <c r="AU14" s="769">
        <f t="shared" si="46"/>
        <v>0</v>
      </c>
      <c r="AV14" s="769">
        <f t="shared" si="47"/>
        <v>0</v>
      </c>
      <c r="AW14" s="769">
        <f t="shared" si="48"/>
        <v>0</v>
      </c>
      <c r="AX14" s="769">
        <f t="shared" si="49"/>
        <v>0</v>
      </c>
      <c r="AY14" s="769">
        <f t="shared" si="50"/>
        <v>0</v>
      </c>
      <c r="AZ14" s="769">
        <f t="shared" si="51"/>
        <v>0</v>
      </c>
      <c r="BA14" s="769">
        <f t="shared" si="52"/>
        <v>0</v>
      </c>
      <c r="BB14" s="769">
        <f t="shared" si="53"/>
        <v>0</v>
      </c>
      <c r="BC14" s="769">
        <f t="shared" si="54"/>
        <v>0</v>
      </c>
      <c r="BD14" s="661"/>
      <c r="BF14" s="480"/>
      <c r="BG14" s="480"/>
      <c r="BH14" s="480"/>
      <c r="BI14" s="480"/>
      <c r="BJ14" s="480"/>
      <c r="BK14" s="769">
        <f t="shared" si="17"/>
        <v>0</v>
      </c>
      <c r="BL14" s="769">
        <f t="shared" ref="BL14" si="57">IF(BL$7=$Y14,(+BK14*$V14),(0))</f>
        <v>0</v>
      </c>
      <c r="BM14" s="769">
        <f t="shared" si="19"/>
        <v>0</v>
      </c>
      <c r="BN14" s="769">
        <f t="shared" ref="BN14" si="58">IF(BN$7=$Y14,(+BM14*$V14),(0))</f>
        <v>0</v>
      </c>
      <c r="BO14" s="769">
        <f t="shared" si="21"/>
        <v>0</v>
      </c>
      <c r="BP14" s="769">
        <f t="shared" ref="BP14" si="59">IF(BP$7=$X14,(+BO14*$V14),(0))</f>
        <v>0</v>
      </c>
    </row>
    <row r="15" spans="1:68" s="775" customFormat="1" ht="15.6">
      <c r="A15" s="762"/>
      <c r="B15" s="763" t="e">
        <v>#N/A</v>
      </c>
      <c r="C15" s="763" t="e">
        <v>#N/A</v>
      </c>
      <c r="D15" s="763" t="e">
        <v>#N/A</v>
      </c>
      <c r="E15" s="763" t="e">
        <v>#N/A</v>
      </c>
      <c r="F15" s="763" t="e">
        <v>#N/A</v>
      </c>
      <c r="G15" s="763" t="e">
        <v>#N/A</v>
      </c>
      <c r="H15" s="764">
        <f t="shared" si="0"/>
        <v>0</v>
      </c>
      <c r="I15" s="764">
        <v>0</v>
      </c>
      <c r="J15" s="778">
        <f t="shared" si="1"/>
        <v>0</v>
      </c>
      <c r="K15" s="764">
        <f t="shared" si="2"/>
        <v>0</v>
      </c>
      <c r="L15" s="763" t="e">
        <v>#N/A</v>
      </c>
      <c r="M15" s="763" t="e">
        <v>#N/A</v>
      </c>
      <c r="N15" s="765"/>
      <c r="O15" s="776"/>
      <c r="P15" s="776"/>
      <c r="Q15" s="777" t="s">
        <v>291</v>
      </c>
      <c r="R15" s="762" t="s">
        <v>211</v>
      </c>
      <c r="S15" s="768">
        <v>1</v>
      </c>
      <c r="T15" s="769">
        <f t="shared" si="23"/>
        <v>0</v>
      </c>
      <c r="U15" s="772">
        <f t="shared" si="24"/>
        <v>0</v>
      </c>
      <c r="V15" s="771">
        <v>0</v>
      </c>
      <c r="W15" s="772">
        <f t="shared" si="25"/>
        <v>0</v>
      </c>
      <c r="X15" s="773"/>
      <c r="Y15" s="773"/>
      <c r="Z15" s="772">
        <f t="shared" si="26"/>
        <v>0</v>
      </c>
      <c r="AA15" s="772">
        <f t="shared" si="27"/>
        <v>0</v>
      </c>
      <c r="AB15" s="772">
        <f t="shared" si="28"/>
        <v>0</v>
      </c>
      <c r="AC15" s="772">
        <f t="shared" si="29"/>
        <v>0</v>
      </c>
      <c r="AD15" s="772">
        <f t="shared" si="30"/>
        <v>0</v>
      </c>
      <c r="AE15" s="772">
        <f t="shared" si="31"/>
        <v>0</v>
      </c>
      <c r="AF15" s="774">
        <f t="shared" si="32"/>
        <v>0</v>
      </c>
      <c r="AG15" s="772">
        <f t="shared" si="33"/>
        <v>0</v>
      </c>
      <c r="AH15" s="772">
        <f t="shared" si="34"/>
        <v>0</v>
      </c>
      <c r="AI15" s="769">
        <f t="shared" si="35"/>
        <v>0</v>
      </c>
      <c r="AJ15" s="772">
        <f t="shared" si="36"/>
        <v>0</v>
      </c>
      <c r="AK15" s="769">
        <f t="shared" si="37"/>
        <v>0</v>
      </c>
      <c r="AL15" s="769">
        <f t="shared" si="38"/>
        <v>0</v>
      </c>
      <c r="AM15" s="769">
        <f t="shared" si="39"/>
        <v>0</v>
      </c>
      <c r="AN15" s="769">
        <f t="shared" si="40"/>
        <v>0</v>
      </c>
      <c r="AO15" s="769">
        <f t="shared" si="41"/>
        <v>0</v>
      </c>
      <c r="AP15" s="769">
        <f t="shared" si="42"/>
        <v>0</v>
      </c>
      <c r="AQ15" s="769">
        <f t="shared" si="43"/>
        <v>0</v>
      </c>
      <c r="AR15" s="769">
        <f t="shared" si="44"/>
        <v>0</v>
      </c>
      <c r="AS15" s="769">
        <v>0</v>
      </c>
      <c r="AT15" s="769">
        <f t="shared" si="45"/>
        <v>0</v>
      </c>
      <c r="AU15" s="769">
        <f t="shared" si="46"/>
        <v>0</v>
      </c>
      <c r="AV15" s="769">
        <f t="shared" si="47"/>
        <v>0</v>
      </c>
      <c r="AW15" s="769">
        <f t="shared" si="48"/>
        <v>0</v>
      </c>
      <c r="AX15" s="769">
        <f t="shared" si="49"/>
        <v>0</v>
      </c>
      <c r="AY15" s="769">
        <f t="shared" si="50"/>
        <v>0</v>
      </c>
      <c r="AZ15" s="769">
        <f t="shared" si="51"/>
        <v>0</v>
      </c>
      <c r="BA15" s="769">
        <f t="shared" si="52"/>
        <v>0</v>
      </c>
      <c r="BB15" s="769">
        <f t="shared" si="53"/>
        <v>0</v>
      </c>
      <c r="BC15" s="769">
        <f t="shared" si="54"/>
        <v>0</v>
      </c>
      <c r="BD15" s="661"/>
      <c r="BF15" s="480"/>
      <c r="BG15" s="480"/>
      <c r="BH15" s="480"/>
      <c r="BI15" s="480"/>
      <c r="BJ15" s="480"/>
      <c r="BK15" s="769">
        <f t="shared" si="17"/>
        <v>0</v>
      </c>
      <c r="BL15" s="769">
        <f t="shared" si="18"/>
        <v>0</v>
      </c>
      <c r="BM15" s="769">
        <f t="shared" si="19"/>
        <v>0</v>
      </c>
      <c r="BN15" s="769">
        <f t="shared" si="20"/>
        <v>0</v>
      </c>
      <c r="BO15" s="769">
        <f t="shared" si="21"/>
        <v>0</v>
      </c>
      <c r="BP15" s="769">
        <f t="shared" si="22"/>
        <v>0</v>
      </c>
    </row>
    <row r="16" spans="1:68" s="775" customFormat="1" ht="15.6">
      <c r="A16" s="762"/>
      <c r="B16" s="763" t="e">
        <v>#N/A</v>
      </c>
      <c r="C16" s="763" t="e">
        <v>#N/A</v>
      </c>
      <c r="D16" s="763" t="e">
        <v>#N/A</v>
      </c>
      <c r="E16" s="763" t="e">
        <v>#N/A</v>
      </c>
      <c r="F16" s="763" t="e">
        <v>#N/A</v>
      </c>
      <c r="G16" s="763" t="e">
        <v>#N/A</v>
      </c>
      <c r="H16" s="764">
        <f t="shared" si="0"/>
        <v>0</v>
      </c>
      <c r="I16" s="764">
        <v>0</v>
      </c>
      <c r="J16" s="778">
        <f t="shared" si="1"/>
        <v>0</v>
      </c>
      <c r="K16" s="764">
        <f t="shared" si="2"/>
        <v>0</v>
      </c>
      <c r="L16" s="763" t="e">
        <v>#N/A</v>
      </c>
      <c r="M16" s="763" t="e">
        <v>#N/A</v>
      </c>
      <c r="N16" s="765"/>
      <c r="O16" s="776"/>
      <c r="P16" s="776"/>
      <c r="Q16" s="777" t="s">
        <v>292</v>
      </c>
      <c r="R16" s="762" t="s">
        <v>231</v>
      </c>
      <c r="S16" s="768">
        <v>1</v>
      </c>
      <c r="T16" s="769">
        <f t="shared" si="23"/>
        <v>0</v>
      </c>
      <c r="U16" s="772">
        <f t="shared" si="24"/>
        <v>0</v>
      </c>
      <c r="V16" s="771">
        <v>0</v>
      </c>
      <c r="W16" s="772">
        <f t="shared" si="25"/>
        <v>0</v>
      </c>
      <c r="X16" s="773"/>
      <c r="Y16" s="773"/>
      <c r="Z16" s="772">
        <f t="shared" si="26"/>
        <v>0</v>
      </c>
      <c r="AA16" s="772">
        <f t="shared" si="27"/>
        <v>0</v>
      </c>
      <c r="AB16" s="772">
        <f t="shared" si="28"/>
        <v>0</v>
      </c>
      <c r="AC16" s="772">
        <f t="shared" si="29"/>
        <v>0</v>
      </c>
      <c r="AD16" s="772">
        <f t="shared" si="30"/>
        <v>0</v>
      </c>
      <c r="AE16" s="772">
        <f t="shared" si="31"/>
        <v>0</v>
      </c>
      <c r="AF16" s="774">
        <f t="shared" si="32"/>
        <v>0</v>
      </c>
      <c r="AG16" s="772">
        <f t="shared" si="33"/>
        <v>0</v>
      </c>
      <c r="AH16" s="772">
        <f t="shared" si="34"/>
        <v>0</v>
      </c>
      <c r="AI16" s="769">
        <f t="shared" si="35"/>
        <v>0</v>
      </c>
      <c r="AJ16" s="772">
        <f t="shared" si="36"/>
        <v>0</v>
      </c>
      <c r="AK16" s="769">
        <f t="shared" si="37"/>
        <v>0</v>
      </c>
      <c r="AL16" s="769">
        <f t="shared" si="38"/>
        <v>0</v>
      </c>
      <c r="AM16" s="769">
        <f t="shared" si="39"/>
        <v>0</v>
      </c>
      <c r="AN16" s="769">
        <f t="shared" si="40"/>
        <v>0</v>
      </c>
      <c r="AO16" s="769">
        <f t="shared" si="41"/>
        <v>0</v>
      </c>
      <c r="AP16" s="769">
        <f t="shared" si="42"/>
        <v>0</v>
      </c>
      <c r="AQ16" s="769">
        <f t="shared" si="43"/>
        <v>0</v>
      </c>
      <c r="AR16" s="769">
        <f t="shared" si="44"/>
        <v>0</v>
      </c>
      <c r="AS16" s="769">
        <v>0</v>
      </c>
      <c r="AT16" s="769">
        <f t="shared" si="45"/>
        <v>0</v>
      </c>
      <c r="AU16" s="769">
        <f t="shared" si="46"/>
        <v>0</v>
      </c>
      <c r="AV16" s="769">
        <f t="shared" si="47"/>
        <v>0</v>
      </c>
      <c r="AW16" s="769">
        <f t="shared" si="48"/>
        <v>0</v>
      </c>
      <c r="AX16" s="769">
        <f t="shared" si="49"/>
        <v>0</v>
      </c>
      <c r="AY16" s="769">
        <f t="shared" si="50"/>
        <v>0</v>
      </c>
      <c r="AZ16" s="769">
        <f t="shared" si="51"/>
        <v>0</v>
      </c>
      <c r="BA16" s="769">
        <f t="shared" si="52"/>
        <v>0</v>
      </c>
      <c r="BB16" s="769">
        <f t="shared" si="53"/>
        <v>0</v>
      </c>
      <c r="BC16" s="769">
        <f t="shared" si="54"/>
        <v>0</v>
      </c>
      <c r="BD16" s="661"/>
      <c r="BF16" s="480"/>
      <c r="BG16" s="480"/>
      <c r="BH16" s="480"/>
      <c r="BI16" s="480"/>
      <c r="BJ16" s="480"/>
      <c r="BK16" s="769">
        <f t="shared" si="17"/>
        <v>0</v>
      </c>
      <c r="BL16" s="769">
        <f t="shared" si="18"/>
        <v>0</v>
      </c>
      <c r="BM16" s="769">
        <f t="shared" si="19"/>
        <v>0</v>
      </c>
      <c r="BN16" s="769">
        <f t="shared" si="20"/>
        <v>0</v>
      </c>
      <c r="BO16" s="769">
        <f t="shared" si="21"/>
        <v>0</v>
      </c>
      <c r="BP16" s="769">
        <f t="shared" si="22"/>
        <v>0</v>
      </c>
    </row>
    <row r="17" spans="1:68" s="775" customFormat="1" ht="15.6">
      <c r="A17" s="762"/>
      <c r="B17" s="763" t="e">
        <v>#N/A</v>
      </c>
      <c r="C17" s="763" t="e">
        <v>#N/A</v>
      </c>
      <c r="D17" s="763" t="e">
        <v>#N/A</v>
      </c>
      <c r="E17" s="763" t="e">
        <v>#N/A</v>
      </c>
      <c r="F17" s="763" t="e">
        <v>#N/A</v>
      </c>
      <c r="G17" s="763" t="e">
        <v>#N/A</v>
      </c>
      <c r="H17" s="764">
        <f t="shared" si="0"/>
        <v>0</v>
      </c>
      <c r="I17" s="764">
        <v>0</v>
      </c>
      <c r="J17" s="778">
        <f t="shared" si="1"/>
        <v>0</v>
      </c>
      <c r="K17" s="764">
        <f t="shared" si="2"/>
        <v>0</v>
      </c>
      <c r="L17" s="763" t="e">
        <v>#N/A</v>
      </c>
      <c r="M17" s="763" t="e">
        <v>#N/A</v>
      </c>
      <c r="N17" s="765"/>
      <c r="O17" s="776"/>
      <c r="P17" s="776"/>
      <c r="Q17" s="777" t="s">
        <v>293</v>
      </c>
      <c r="R17" s="762" t="s">
        <v>231</v>
      </c>
      <c r="S17" s="768">
        <v>1</v>
      </c>
      <c r="T17" s="769">
        <f t="shared" si="23"/>
        <v>0</v>
      </c>
      <c r="U17" s="772">
        <f t="shared" si="24"/>
        <v>0</v>
      </c>
      <c r="V17" s="771">
        <v>0</v>
      </c>
      <c r="W17" s="772">
        <f t="shared" si="25"/>
        <v>0</v>
      </c>
      <c r="X17" s="773"/>
      <c r="Y17" s="773"/>
      <c r="Z17" s="772">
        <f t="shared" si="26"/>
        <v>0</v>
      </c>
      <c r="AA17" s="772">
        <f t="shared" si="27"/>
        <v>0</v>
      </c>
      <c r="AB17" s="772">
        <f t="shared" si="28"/>
        <v>0</v>
      </c>
      <c r="AC17" s="772">
        <f t="shared" si="29"/>
        <v>0</v>
      </c>
      <c r="AD17" s="772">
        <f t="shared" si="30"/>
        <v>0</v>
      </c>
      <c r="AE17" s="772">
        <f t="shared" si="31"/>
        <v>0</v>
      </c>
      <c r="AF17" s="774">
        <f t="shared" si="32"/>
        <v>0</v>
      </c>
      <c r="AG17" s="772">
        <f t="shared" si="33"/>
        <v>0</v>
      </c>
      <c r="AH17" s="772">
        <f t="shared" si="34"/>
        <v>0</v>
      </c>
      <c r="AI17" s="769">
        <f t="shared" si="35"/>
        <v>0</v>
      </c>
      <c r="AJ17" s="772">
        <f t="shared" si="36"/>
        <v>0</v>
      </c>
      <c r="AK17" s="769">
        <f t="shared" si="37"/>
        <v>0</v>
      </c>
      <c r="AL17" s="769">
        <f t="shared" si="38"/>
        <v>0</v>
      </c>
      <c r="AM17" s="769">
        <f t="shared" si="39"/>
        <v>0</v>
      </c>
      <c r="AN17" s="769">
        <f t="shared" si="40"/>
        <v>0</v>
      </c>
      <c r="AO17" s="769">
        <f t="shared" si="41"/>
        <v>0</v>
      </c>
      <c r="AP17" s="769">
        <f t="shared" si="42"/>
        <v>0</v>
      </c>
      <c r="AQ17" s="769">
        <f t="shared" si="43"/>
        <v>0</v>
      </c>
      <c r="AR17" s="769">
        <f t="shared" si="44"/>
        <v>0</v>
      </c>
      <c r="AS17" s="769">
        <v>0</v>
      </c>
      <c r="AT17" s="769">
        <f t="shared" si="45"/>
        <v>0</v>
      </c>
      <c r="AU17" s="769">
        <f t="shared" si="46"/>
        <v>0</v>
      </c>
      <c r="AV17" s="769">
        <f t="shared" si="47"/>
        <v>0</v>
      </c>
      <c r="AW17" s="769">
        <f t="shared" si="48"/>
        <v>0</v>
      </c>
      <c r="AX17" s="769">
        <f t="shared" si="49"/>
        <v>0</v>
      </c>
      <c r="AY17" s="769">
        <f t="shared" si="50"/>
        <v>0</v>
      </c>
      <c r="AZ17" s="769">
        <f t="shared" si="51"/>
        <v>0</v>
      </c>
      <c r="BA17" s="769">
        <f t="shared" si="52"/>
        <v>0</v>
      </c>
      <c r="BB17" s="769">
        <f t="shared" si="53"/>
        <v>0</v>
      </c>
      <c r="BC17" s="769">
        <f t="shared" si="54"/>
        <v>0</v>
      </c>
      <c r="BD17" s="661"/>
      <c r="BF17" s="480"/>
      <c r="BG17" s="480"/>
      <c r="BH17" s="480"/>
      <c r="BI17" s="480"/>
      <c r="BJ17" s="480"/>
      <c r="BK17" s="769">
        <f t="shared" si="17"/>
        <v>0</v>
      </c>
      <c r="BL17" s="769">
        <f t="shared" si="18"/>
        <v>0</v>
      </c>
      <c r="BM17" s="769">
        <f t="shared" si="19"/>
        <v>0</v>
      </c>
      <c r="BN17" s="769">
        <f t="shared" si="20"/>
        <v>0</v>
      </c>
      <c r="BO17" s="769">
        <f t="shared" si="21"/>
        <v>0</v>
      </c>
      <c r="BP17" s="769">
        <f t="shared" si="22"/>
        <v>0</v>
      </c>
    </row>
    <row r="18" spans="1:68" s="775" customFormat="1" ht="15.6">
      <c r="A18" s="762"/>
      <c r="B18" s="763" t="e">
        <v>#N/A</v>
      </c>
      <c r="C18" s="763" t="e">
        <v>#N/A</v>
      </c>
      <c r="D18" s="763" t="e">
        <v>#N/A</v>
      </c>
      <c r="E18" s="763" t="e">
        <v>#N/A</v>
      </c>
      <c r="F18" s="763" t="e">
        <v>#N/A</v>
      </c>
      <c r="G18" s="763" t="e">
        <v>#N/A</v>
      </c>
      <c r="H18" s="764">
        <f t="shared" si="0"/>
        <v>0</v>
      </c>
      <c r="I18" s="764">
        <v>0</v>
      </c>
      <c r="J18" s="778">
        <f t="shared" si="1"/>
        <v>0</v>
      </c>
      <c r="K18" s="764">
        <f t="shared" si="2"/>
        <v>0</v>
      </c>
      <c r="L18" s="763" t="e">
        <v>#N/A</v>
      </c>
      <c r="M18" s="763" t="e">
        <v>#N/A</v>
      </c>
      <c r="N18" s="765"/>
      <c r="O18" s="776"/>
      <c r="P18" s="776"/>
      <c r="Q18" s="777" t="s">
        <v>294</v>
      </c>
      <c r="R18" s="762" t="s">
        <v>231</v>
      </c>
      <c r="S18" s="768">
        <v>1</v>
      </c>
      <c r="T18" s="769">
        <f t="shared" si="23"/>
        <v>0</v>
      </c>
      <c r="U18" s="772">
        <f t="shared" si="24"/>
        <v>0</v>
      </c>
      <c r="V18" s="771">
        <v>0</v>
      </c>
      <c r="W18" s="772">
        <f t="shared" si="25"/>
        <v>0</v>
      </c>
      <c r="X18" s="773"/>
      <c r="Y18" s="773"/>
      <c r="Z18" s="772">
        <f t="shared" si="26"/>
        <v>0</v>
      </c>
      <c r="AA18" s="772">
        <f t="shared" si="27"/>
        <v>0</v>
      </c>
      <c r="AB18" s="772">
        <f t="shared" si="28"/>
        <v>0</v>
      </c>
      <c r="AC18" s="772">
        <f t="shared" si="29"/>
        <v>0</v>
      </c>
      <c r="AD18" s="772">
        <f t="shared" si="30"/>
        <v>0</v>
      </c>
      <c r="AE18" s="772">
        <f t="shared" si="31"/>
        <v>0</v>
      </c>
      <c r="AF18" s="774">
        <f t="shared" si="32"/>
        <v>0</v>
      </c>
      <c r="AG18" s="772">
        <f t="shared" si="33"/>
        <v>0</v>
      </c>
      <c r="AH18" s="772">
        <f t="shared" si="34"/>
        <v>0</v>
      </c>
      <c r="AI18" s="769">
        <f t="shared" si="35"/>
        <v>0</v>
      </c>
      <c r="AJ18" s="772">
        <f t="shared" si="36"/>
        <v>0</v>
      </c>
      <c r="AK18" s="769">
        <f t="shared" si="37"/>
        <v>0</v>
      </c>
      <c r="AL18" s="769">
        <f t="shared" si="38"/>
        <v>0</v>
      </c>
      <c r="AM18" s="769">
        <f t="shared" si="39"/>
        <v>0</v>
      </c>
      <c r="AN18" s="769">
        <f t="shared" si="40"/>
        <v>0</v>
      </c>
      <c r="AO18" s="769">
        <f t="shared" si="41"/>
        <v>0</v>
      </c>
      <c r="AP18" s="769">
        <f t="shared" si="42"/>
        <v>0</v>
      </c>
      <c r="AQ18" s="769">
        <f t="shared" si="43"/>
        <v>0</v>
      </c>
      <c r="AR18" s="769">
        <f t="shared" si="44"/>
        <v>0</v>
      </c>
      <c r="AS18" s="769">
        <v>0</v>
      </c>
      <c r="AT18" s="769">
        <f t="shared" si="45"/>
        <v>0</v>
      </c>
      <c r="AU18" s="769">
        <f t="shared" si="46"/>
        <v>0</v>
      </c>
      <c r="AV18" s="769">
        <f t="shared" si="47"/>
        <v>0</v>
      </c>
      <c r="AW18" s="769">
        <f t="shared" si="48"/>
        <v>0</v>
      </c>
      <c r="AX18" s="769">
        <f t="shared" si="49"/>
        <v>0</v>
      </c>
      <c r="AY18" s="769">
        <f t="shared" si="50"/>
        <v>0</v>
      </c>
      <c r="AZ18" s="769">
        <f t="shared" si="51"/>
        <v>0</v>
      </c>
      <c r="BA18" s="769">
        <f t="shared" si="52"/>
        <v>0</v>
      </c>
      <c r="BB18" s="769">
        <f t="shared" si="53"/>
        <v>0</v>
      </c>
      <c r="BC18" s="769">
        <f t="shared" si="54"/>
        <v>0</v>
      </c>
      <c r="BD18" s="661"/>
      <c r="BF18" s="480"/>
      <c r="BG18" s="480"/>
      <c r="BH18" s="480"/>
      <c r="BI18" s="480"/>
      <c r="BJ18" s="480"/>
      <c r="BK18" s="769">
        <f t="shared" si="17"/>
        <v>0</v>
      </c>
      <c r="BL18" s="769">
        <f t="shared" si="18"/>
        <v>0</v>
      </c>
      <c r="BM18" s="769">
        <f t="shared" si="19"/>
        <v>0</v>
      </c>
      <c r="BN18" s="769">
        <f t="shared" si="20"/>
        <v>0</v>
      </c>
      <c r="BO18" s="769">
        <f t="shared" si="21"/>
        <v>0</v>
      </c>
      <c r="BP18" s="769">
        <f t="shared" si="22"/>
        <v>0</v>
      </c>
    </row>
    <row r="19" spans="1:68" s="775" customFormat="1" ht="15.6">
      <c r="A19" s="762"/>
      <c r="B19" s="763" t="e">
        <v>#N/A</v>
      </c>
      <c r="C19" s="763" t="e">
        <v>#N/A</v>
      </c>
      <c r="D19" s="763" t="e">
        <v>#N/A</v>
      </c>
      <c r="E19" s="763" t="e">
        <v>#N/A</v>
      </c>
      <c r="F19" s="763" t="e">
        <v>#N/A</v>
      </c>
      <c r="G19" s="763" t="e">
        <v>#N/A</v>
      </c>
      <c r="H19" s="764">
        <f t="shared" si="0"/>
        <v>0</v>
      </c>
      <c r="I19" s="764">
        <v>0</v>
      </c>
      <c r="J19" s="778">
        <f t="shared" si="1"/>
        <v>0</v>
      </c>
      <c r="K19" s="764">
        <f t="shared" si="2"/>
        <v>0</v>
      </c>
      <c r="L19" s="763" t="e">
        <v>#N/A</v>
      </c>
      <c r="M19" s="763" t="e">
        <v>#N/A</v>
      </c>
      <c r="N19" s="765"/>
      <c r="O19" s="776"/>
      <c r="P19" s="776"/>
      <c r="Q19" s="777" t="s">
        <v>295</v>
      </c>
      <c r="R19" s="762" t="s">
        <v>211</v>
      </c>
      <c r="S19" s="768">
        <v>1</v>
      </c>
      <c r="T19" s="769">
        <f t="shared" si="23"/>
        <v>0</v>
      </c>
      <c r="U19" s="772">
        <f t="shared" si="24"/>
        <v>0</v>
      </c>
      <c r="V19" s="771">
        <v>0</v>
      </c>
      <c r="W19" s="772">
        <f t="shared" si="25"/>
        <v>0</v>
      </c>
      <c r="X19" s="773"/>
      <c r="Y19" s="773"/>
      <c r="Z19" s="772">
        <f t="shared" si="26"/>
        <v>0</v>
      </c>
      <c r="AA19" s="772">
        <f t="shared" si="27"/>
        <v>0</v>
      </c>
      <c r="AB19" s="772">
        <f t="shared" si="28"/>
        <v>0</v>
      </c>
      <c r="AC19" s="772">
        <f t="shared" si="29"/>
        <v>0</v>
      </c>
      <c r="AD19" s="772">
        <f t="shared" si="30"/>
        <v>0</v>
      </c>
      <c r="AE19" s="772">
        <f t="shared" si="31"/>
        <v>0</v>
      </c>
      <c r="AF19" s="774">
        <f t="shared" si="32"/>
        <v>0</v>
      </c>
      <c r="AG19" s="772">
        <f t="shared" si="33"/>
        <v>0</v>
      </c>
      <c r="AH19" s="772">
        <f t="shared" si="34"/>
        <v>0</v>
      </c>
      <c r="AI19" s="769">
        <f t="shared" si="35"/>
        <v>0</v>
      </c>
      <c r="AJ19" s="772">
        <f t="shared" si="36"/>
        <v>0</v>
      </c>
      <c r="AK19" s="769">
        <f t="shared" si="37"/>
        <v>0</v>
      </c>
      <c r="AL19" s="769">
        <f t="shared" si="38"/>
        <v>0</v>
      </c>
      <c r="AM19" s="769">
        <f t="shared" si="39"/>
        <v>0</v>
      </c>
      <c r="AN19" s="769">
        <f t="shared" si="40"/>
        <v>0</v>
      </c>
      <c r="AO19" s="769">
        <f t="shared" si="41"/>
        <v>0</v>
      </c>
      <c r="AP19" s="769">
        <f t="shared" si="42"/>
        <v>0</v>
      </c>
      <c r="AQ19" s="769">
        <f t="shared" si="43"/>
        <v>0</v>
      </c>
      <c r="AR19" s="769">
        <f t="shared" si="44"/>
        <v>0</v>
      </c>
      <c r="AS19" s="769">
        <v>0</v>
      </c>
      <c r="AT19" s="769">
        <f t="shared" si="45"/>
        <v>0</v>
      </c>
      <c r="AU19" s="769">
        <f t="shared" si="46"/>
        <v>0</v>
      </c>
      <c r="AV19" s="769">
        <f t="shared" si="47"/>
        <v>0</v>
      </c>
      <c r="AW19" s="769">
        <f t="shared" si="48"/>
        <v>0</v>
      </c>
      <c r="AX19" s="769">
        <f t="shared" si="49"/>
        <v>0</v>
      </c>
      <c r="AY19" s="769">
        <f t="shared" si="50"/>
        <v>0</v>
      </c>
      <c r="AZ19" s="769">
        <f t="shared" si="51"/>
        <v>0</v>
      </c>
      <c r="BA19" s="769">
        <f t="shared" si="52"/>
        <v>0</v>
      </c>
      <c r="BB19" s="769">
        <f t="shared" si="53"/>
        <v>0</v>
      </c>
      <c r="BC19" s="769">
        <f t="shared" si="54"/>
        <v>0</v>
      </c>
      <c r="BD19" s="661"/>
      <c r="BF19" s="480"/>
      <c r="BG19" s="480"/>
      <c r="BH19" s="480"/>
      <c r="BI19" s="480"/>
      <c r="BJ19" s="480"/>
      <c r="BK19" s="769">
        <f t="shared" si="17"/>
        <v>0</v>
      </c>
      <c r="BL19" s="769">
        <f t="shared" si="18"/>
        <v>0</v>
      </c>
      <c r="BM19" s="769">
        <f t="shared" si="19"/>
        <v>0</v>
      </c>
      <c r="BN19" s="769">
        <f t="shared" si="20"/>
        <v>0</v>
      </c>
      <c r="BO19" s="769">
        <f t="shared" si="21"/>
        <v>0</v>
      </c>
      <c r="BP19" s="769">
        <f t="shared" si="22"/>
        <v>0</v>
      </c>
    </row>
    <row r="20" spans="1:68" s="775" customFormat="1" ht="15.6">
      <c r="A20" s="762"/>
      <c r="B20" s="763" t="e">
        <v>#N/A</v>
      </c>
      <c r="C20" s="763" t="e">
        <v>#N/A</v>
      </c>
      <c r="D20" s="763" t="e">
        <v>#N/A</v>
      </c>
      <c r="E20" s="763" t="e">
        <v>#N/A</v>
      </c>
      <c r="F20" s="763" t="e">
        <v>#N/A</v>
      </c>
      <c r="G20" s="763" t="e">
        <v>#N/A</v>
      </c>
      <c r="H20" s="764">
        <f t="shared" si="0"/>
        <v>0</v>
      </c>
      <c r="I20" s="764">
        <v>0</v>
      </c>
      <c r="J20" s="778">
        <f t="shared" si="1"/>
        <v>0</v>
      </c>
      <c r="K20" s="764">
        <f t="shared" si="2"/>
        <v>0</v>
      </c>
      <c r="L20" s="763" t="e">
        <v>#N/A</v>
      </c>
      <c r="M20" s="763" t="e">
        <v>#N/A</v>
      </c>
      <c r="N20" s="765"/>
      <c r="O20" s="776"/>
      <c r="P20" s="776"/>
      <c r="Q20" s="777" t="s">
        <v>296</v>
      </c>
      <c r="R20" s="762" t="s">
        <v>231</v>
      </c>
      <c r="S20" s="768">
        <v>1</v>
      </c>
      <c r="T20" s="769">
        <f t="shared" si="23"/>
        <v>0</v>
      </c>
      <c r="U20" s="772">
        <f t="shared" si="24"/>
        <v>0</v>
      </c>
      <c r="V20" s="771">
        <v>0</v>
      </c>
      <c r="W20" s="772">
        <f t="shared" si="25"/>
        <v>0</v>
      </c>
      <c r="X20" s="773"/>
      <c r="Y20" s="773"/>
      <c r="Z20" s="772">
        <f t="shared" si="26"/>
        <v>0</v>
      </c>
      <c r="AA20" s="772">
        <f t="shared" si="27"/>
        <v>0</v>
      </c>
      <c r="AB20" s="772">
        <f t="shared" si="28"/>
        <v>0</v>
      </c>
      <c r="AC20" s="772">
        <f t="shared" si="29"/>
        <v>0</v>
      </c>
      <c r="AD20" s="772">
        <f t="shared" si="30"/>
        <v>0</v>
      </c>
      <c r="AE20" s="772">
        <f t="shared" si="31"/>
        <v>0</v>
      </c>
      <c r="AF20" s="774">
        <f t="shared" si="32"/>
        <v>0</v>
      </c>
      <c r="AG20" s="772">
        <f t="shared" si="33"/>
        <v>0</v>
      </c>
      <c r="AH20" s="772">
        <f t="shared" si="34"/>
        <v>0</v>
      </c>
      <c r="AI20" s="769">
        <f t="shared" si="35"/>
        <v>0</v>
      </c>
      <c r="AJ20" s="772">
        <f t="shared" si="36"/>
        <v>0</v>
      </c>
      <c r="AK20" s="769">
        <f t="shared" si="37"/>
        <v>0</v>
      </c>
      <c r="AL20" s="769">
        <f t="shared" si="38"/>
        <v>0</v>
      </c>
      <c r="AM20" s="769">
        <f t="shared" si="39"/>
        <v>0</v>
      </c>
      <c r="AN20" s="769">
        <f t="shared" si="40"/>
        <v>0</v>
      </c>
      <c r="AO20" s="769">
        <f t="shared" si="41"/>
        <v>0</v>
      </c>
      <c r="AP20" s="769">
        <f t="shared" si="42"/>
        <v>0</v>
      </c>
      <c r="AQ20" s="769">
        <f t="shared" si="43"/>
        <v>0</v>
      </c>
      <c r="AR20" s="769">
        <f t="shared" si="44"/>
        <v>0</v>
      </c>
      <c r="AS20" s="769">
        <v>0</v>
      </c>
      <c r="AT20" s="769">
        <f t="shared" si="45"/>
        <v>0</v>
      </c>
      <c r="AU20" s="769">
        <f t="shared" si="46"/>
        <v>0</v>
      </c>
      <c r="AV20" s="769">
        <f t="shared" si="47"/>
        <v>0</v>
      </c>
      <c r="AW20" s="769">
        <f t="shared" si="48"/>
        <v>0</v>
      </c>
      <c r="AX20" s="769">
        <f t="shared" si="49"/>
        <v>0</v>
      </c>
      <c r="AY20" s="769">
        <f t="shared" si="50"/>
        <v>0</v>
      </c>
      <c r="AZ20" s="769">
        <f t="shared" si="51"/>
        <v>0</v>
      </c>
      <c r="BA20" s="769">
        <f t="shared" si="52"/>
        <v>0</v>
      </c>
      <c r="BB20" s="769">
        <f t="shared" si="53"/>
        <v>0</v>
      </c>
      <c r="BC20" s="769">
        <f t="shared" si="54"/>
        <v>0</v>
      </c>
      <c r="BD20" s="661"/>
      <c r="BF20" s="480"/>
      <c r="BG20" s="480"/>
      <c r="BH20" s="480"/>
      <c r="BI20" s="480"/>
      <c r="BJ20" s="480"/>
      <c r="BK20" s="769">
        <f t="shared" si="17"/>
        <v>0</v>
      </c>
      <c r="BL20" s="769">
        <f t="shared" si="18"/>
        <v>0</v>
      </c>
      <c r="BM20" s="769">
        <f t="shared" si="19"/>
        <v>0</v>
      </c>
      <c r="BN20" s="769">
        <f t="shared" si="20"/>
        <v>0</v>
      </c>
      <c r="BO20" s="769">
        <f t="shared" si="21"/>
        <v>0</v>
      </c>
      <c r="BP20" s="769">
        <f t="shared" si="22"/>
        <v>0</v>
      </c>
    </row>
    <row r="21" spans="1:68" s="775" customFormat="1" ht="15.6">
      <c r="A21" s="762"/>
      <c r="B21" s="763" t="e">
        <v>#N/A</v>
      </c>
      <c r="C21" s="763" t="e">
        <v>#N/A</v>
      </c>
      <c r="D21" s="763" t="e">
        <v>#N/A</v>
      </c>
      <c r="E21" s="763" t="e">
        <v>#N/A</v>
      </c>
      <c r="F21" s="763" t="e">
        <v>#N/A</v>
      </c>
      <c r="G21" s="763" t="e">
        <v>#N/A</v>
      </c>
      <c r="H21" s="764">
        <f t="shared" si="0"/>
        <v>0</v>
      </c>
      <c r="I21" s="764">
        <v>0</v>
      </c>
      <c r="J21" s="778">
        <f t="shared" si="1"/>
        <v>0</v>
      </c>
      <c r="K21" s="764">
        <f t="shared" si="2"/>
        <v>0</v>
      </c>
      <c r="L21" s="763" t="e">
        <v>#N/A</v>
      </c>
      <c r="M21" s="763" t="e">
        <v>#N/A</v>
      </c>
      <c r="N21" s="765"/>
      <c r="O21" s="776"/>
      <c r="P21" s="776"/>
      <c r="Q21" s="777" t="s">
        <v>297</v>
      </c>
      <c r="R21" s="762" t="s">
        <v>211</v>
      </c>
      <c r="S21" s="768">
        <v>1</v>
      </c>
      <c r="T21" s="769">
        <f t="shared" si="23"/>
        <v>0</v>
      </c>
      <c r="U21" s="772">
        <f t="shared" si="24"/>
        <v>0</v>
      </c>
      <c r="V21" s="771">
        <v>0</v>
      </c>
      <c r="W21" s="772">
        <f t="shared" si="25"/>
        <v>0</v>
      </c>
      <c r="X21" s="773"/>
      <c r="Y21" s="773"/>
      <c r="Z21" s="772">
        <f t="shared" si="26"/>
        <v>0</v>
      </c>
      <c r="AA21" s="772">
        <f t="shared" si="27"/>
        <v>0</v>
      </c>
      <c r="AB21" s="772">
        <f t="shared" si="28"/>
        <v>0</v>
      </c>
      <c r="AC21" s="772">
        <f t="shared" si="29"/>
        <v>0</v>
      </c>
      <c r="AD21" s="772">
        <f t="shared" si="30"/>
        <v>0</v>
      </c>
      <c r="AE21" s="772">
        <f t="shared" si="31"/>
        <v>0</v>
      </c>
      <c r="AF21" s="774">
        <f t="shared" si="32"/>
        <v>0</v>
      </c>
      <c r="AG21" s="772">
        <f t="shared" si="33"/>
        <v>0</v>
      </c>
      <c r="AH21" s="772">
        <f t="shared" si="34"/>
        <v>0</v>
      </c>
      <c r="AI21" s="769">
        <f t="shared" si="35"/>
        <v>0</v>
      </c>
      <c r="AJ21" s="772">
        <f t="shared" si="36"/>
        <v>0</v>
      </c>
      <c r="AK21" s="769">
        <f t="shared" si="37"/>
        <v>0</v>
      </c>
      <c r="AL21" s="769">
        <f t="shared" si="38"/>
        <v>0</v>
      </c>
      <c r="AM21" s="769">
        <f t="shared" si="39"/>
        <v>0</v>
      </c>
      <c r="AN21" s="769">
        <f t="shared" si="40"/>
        <v>0</v>
      </c>
      <c r="AO21" s="769">
        <f t="shared" si="41"/>
        <v>0</v>
      </c>
      <c r="AP21" s="769">
        <f t="shared" si="42"/>
        <v>0</v>
      </c>
      <c r="AQ21" s="769">
        <f t="shared" si="43"/>
        <v>0</v>
      </c>
      <c r="AR21" s="769">
        <f t="shared" si="44"/>
        <v>0</v>
      </c>
      <c r="AS21" s="769">
        <v>0</v>
      </c>
      <c r="AT21" s="769">
        <f t="shared" si="45"/>
        <v>0</v>
      </c>
      <c r="AU21" s="769">
        <f t="shared" si="46"/>
        <v>0</v>
      </c>
      <c r="AV21" s="769">
        <f t="shared" si="47"/>
        <v>0</v>
      </c>
      <c r="AW21" s="769">
        <f t="shared" si="48"/>
        <v>0</v>
      </c>
      <c r="AX21" s="769">
        <f t="shared" si="49"/>
        <v>0</v>
      </c>
      <c r="AY21" s="769">
        <f t="shared" si="50"/>
        <v>0</v>
      </c>
      <c r="AZ21" s="769">
        <f t="shared" si="51"/>
        <v>0</v>
      </c>
      <c r="BA21" s="769">
        <f t="shared" si="52"/>
        <v>0</v>
      </c>
      <c r="BB21" s="769">
        <f t="shared" si="53"/>
        <v>0</v>
      </c>
      <c r="BC21" s="769">
        <f t="shared" si="54"/>
        <v>0</v>
      </c>
      <c r="BD21" s="661"/>
      <c r="BF21" s="480"/>
      <c r="BG21" s="480"/>
      <c r="BH21" s="480"/>
      <c r="BI21" s="480"/>
      <c r="BJ21" s="480"/>
      <c r="BK21" s="769">
        <f t="shared" si="17"/>
        <v>0</v>
      </c>
      <c r="BL21" s="769">
        <f t="shared" si="18"/>
        <v>0</v>
      </c>
      <c r="BM21" s="769">
        <f t="shared" si="19"/>
        <v>0</v>
      </c>
      <c r="BN21" s="769">
        <f t="shared" si="20"/>
        <v>0</v>
      </c>
      <c r="BO21" s="769">
        <f t="shared" si="21"/>
        <v>0</v>
      </c>
      <c r="BP21" s="769">
        <f t="shared" si="22"/>
        <v>0</v>
      </c>
    </row>
    <row r="22" spans="1:68" s="775" customFormat="1" ht="15.6">
      <c r="A22" s="762"/>
      <c r="B22" s="763" t="e">
        <v>#N/A</v>
      </c>
      <c r="C22" s="763" t="e">
        <v>#N/A</v>
      </c>
      <c r="D22" s="763" t="e">
        <v>#N/A</v>
      </c>
      <c r="E22" s="763" t="e">
        <v>#N/A</v>
      </c>
      <c r="F22" s="763" t="e">
        <v>#N/A</v>
      </c>
      <c r="G22" s="763" t="e">
        <v>#N/A</v>
      </c>
      <c r="H22" s="764">
        <f t="shared" si="0"/>
        <v>0</v>
      </c>
      <c r="I22" s="764">
        <v>0</v>
      </c>
      <c r="J22" s="778">
        <f t="shared" si="1"/>
        <v>0</v>
      </c>
      <c r="K22" s="764">
        <f t="shared" si="2"/>
        <v>0</v>
      </c>
      <c r="L22" s="763" t="e">
        <v>#N/A</v>
      </c>
      <c r="M22" s="763" t="e">
        <v>#N/A</v>
      </c>
      <c r="N22" s="765"/>
      <c r="O22" s="776"/>
      <c r="P22" s="776"/>
      <c r="Q22" s="777" t="s">
        <v>298</v>
      </c>
      <c r="R22" s="762" t="s">
        <v>211</v>
      </c>
      <c r="S22" s="768">
        <v>1</v>
      </c>
      <c r="T22" s="769">
        <f t="shared" si="23"/>
        <v>0</v>
      </c>
      <c r="U22" s="772">
        <f t="shared" si="24"/>
        <v>0</v>
      </c>
      <c r="V22" s="771">
        <v>0</v>
      </c>
      <c r="W22" s="772">
        <f t="shared" si="25"/>
        <v>0</v>
      </c>
      <c r="X22" s="773"/>
      <c r="Y22" s="773"/>
      <c r="Z22" s="772">
        <f t="shared" si="26"/>
        <v>0</v>
      </c>
      <c r="AA22" s="772">
        <f t="shared" si="27"/>
        <v>0</v>
      </c>
      <c r="AB22" s="772">
        <f t="shared" si="28"/>
        <v>0</v>
      </c>
      <c r="AC22" s="772">
        <f t="shared" si="29"/>
        <v>0</v>
      </c>
      <c r="AD22" s="772">
        <f t="shared" si="30"/>
        <v>0</v>
      </c>
      <c r="AE22" s="772">
        <f t="shared" si="31"/>
        <v>0</v>
      </c>
      <c r="AF22" s="774">
        <f t="shared" si="32"/>
        <v>0</v>
      </c>
      <c r="AG22" s="772">
        <f t="shared" si="33"/>
        <v>0</v>
      </c>
      <c r="AH22" s="772">
        <f t="shared" si="34"/>
        <v>0</v>
      </c>
      <c r="AI22" s="769">
        <f t="shared" si="35"/>
        <v>0</v>
      </c>
      <c r="AJ22" s="772">
        <f t="shared" si="36"/>
        <v>0</v>
      </c>
      <c r="AK22" s="769">
        <f t="shared" si="37"/>
        <v>0</v>
      </c>
      <c r="AL22" s="769">
        <f t="shared" si="38"/>
        <v>0</v>
      </c>
      <c r="AM22" s="769">
        <f t="shared" si="39"/>
        <v>0</v>
      </c>
      <c r="AN22" s="769">
        <f t="shared" si="40"/>
        <v>0</v>
      </c>
      <c r="AO22" s="769">
        <f t="shared" si="41"/>
        <v>0</v>
      </c>
      <c r="AP22" s="769">
        <f t="shared" si="42"/>
        <v>0</v>
      </c>
      <c r="AQ22" s="769">
        <f t="shared" si="43"/>
        <v>0</v>
      </c>
      <c r="AR22" s="769">
        <f t="shared" si="44"/>
        <v>0</v>
      </c>
      <c r="AS22" s="769">
        <v>0</v>
      </c>
      <c r="AT22" s="769">
        <f t="shared" si="45"/>
        <v>0</v>
      </c>
      <c r="AU22" s="769">
        <f t="shared" si="46"/>
        <v>0</v>
      </c>
      <c r="AV22" s="769">
        <f t="shared" si="47"/>
        <v>0</v>
      </c>
      <c r="AW22" s="769">
        <f t="shared" si="48"/>
        <v>0</v>
      </c>
      <c r="AX22" s="769">
        <f t="shared" si="49"/>
        <v>0</v>
      </c>
      <c r="AY22" s="769">
        <f t="shared" si="50"/>
        <v>0</v>
      </c>
      <c r="AZ22" s="769">
        <f t="shared" si="51"/>
        <v>0</v>
      </c>
      <c r="BA22" s="769">
        <f t="shared" si="52"/>
        <v>0</v>
      </c>
      <c r="BB22" s="769">
        <f t="shared" si="53"/>
        <v>0</v>
      </c>
      <c r="BC22" s="769">
        <f t="shared" si="54"/>
        <v>0</v>
      </c>
      <c r="BD22" s="661"/>
      <c r="BF22" s="480"/>
      <c r="BG22" s="480"/>
      <c r="BH22" s="480"/>
      <c r="BI22" s="480"/>
      <c r="BJ22" s="480"/>
      <c r="BK22" s="769">
        <f t="shared" si="17"/>
        <v>0</v>
      </c>
      <c r="BL22" s="769">
        <f t="shared" si="18"/>
        <v>0</v>
      </c>
      <c r="BM22" s="769">
        <f t="shared" si="19"/>
        <v>0</v>
      </c>
      <c r="BN22" s="769">
        <f t="shared" si="20"/>
        <v>0</v>
      </c>
      <c r="BO22" s="769">
        <f t="shared" si="21"/>
        <v>0</v>
      </c>
      <c r="BP22" s="769">
        <f t="shared" si="22"/>
        <v>0</v>
      </c>
    </row>
    <row r="23" spans="1:68" s="775" customFormat="1" ht="15.6">
      <c r="A23" s="762"/>
      <c r="B23" s="779" t="e">
        <f>SUM(B11:B22)</f>
        <v>#N/A</v>
      </c>
      <c r="C23" s="780" t="e">
        <f>SUM(C11:C22)</f>
        <v>#N/A</v>
      </c>
      <c r="D23" s="779" t="e">
        <f>SUM(D11:D22)</f>
        <v>#N/A</v>
      </c>
      <c r="E23" s="781" t="e">
        <f>SUM(E11:E22)</f>
        <v>#N/A</v>
      </c>
      <c r="F23" s="782" t="e">
        <f>SUM(F11:F22)</f>
        <v>#N/A</v>
      </c>
      <c r="G23" s="710"/>
      <c r="H23" s="783">
        <f>SUM(H11:H22)</f>
        <v>0</v>
      </c>
      <c r="I23" s="712"/>
      <c r="J23" s="712"/>
      <c r="K23" s="784">
        <f>SUM(K11:K22)</f>
        <v>0</v>
      </c>
      <c r="L23" s="714"/>
      <c r="M23" s="714"/>
      <c r="N23" s="765"/>
      <c r="O23" s="785"/>
      <c r="P23" s="785"/>
      <c r="Q23" s="786"/>
      <c r="R23" s="787"/>
      <c r="S23" s="788"/>
      <c r="T23" s="789"/>
      <c r="U23" s="790"/>
      <c r="V23" s="791"/>
      <c r="W23" s="790"/>
      <c r="X23" s="792"/>
      <c r="Y23" s="792"/>
      <c r="Z23" s="793">
        <f t="shared" ref="Z23:AE23" si="60">SUM(Z11:Z22)</f>
        <v>0</v>
      </c>
      <c r="AA23" s="794">
        <f t="shared" si="60"/>
        <v>0</v>
      </c>
      <c r="AB23" s="795">
        <f t="shared" si="60"/>
        <v>0</v>
      </c>
      <c r="AC23" s="796">
        <f t="shared" si="60"/>
        <v>0</v>
      </c>
      <c r="AD23" s="797">
        <f t="shared" si="60"/>
        <v>0</v>
      </c>
      <c r="AE23" s="798">
        <f t="shared" si="60"/>
        <v>0</v>
      </c>
      <c r="AF23" s="798"/>
      <c r="AG23" s="798">
        <f>SUM(AG11:AG22)</f>
        <v>0</v>
      </c>
      <c r="AH23" s="799"/>
      <c r="AI23" s="793">
        <f>SUM(AI11:AI22)</f>
        <v>0</v>
      </c>
      <c r="AJ23" s="800"/>
      <c r="AK23" s="794">
        <f>SUM(AK11:AK22)</f>
        <v>0</v>
      </c>
      <c r="AL23" s="795">
        <f>SUM(AL11:AL22)</f>
        <v>0</v>
      </c>
      <c r="AM23" s="801">
        <f>SUM(AM11:AM22)</f>
        <v>0</v>
      </c>
      <c r="AN23" s="801">
        <f>SUM(AN11:AN22)</f>
        <v>0</v>
      </c>
      <c r="AO23" s="801"/>
      <c r="AP23" s="801">
        <f>SUM(AP11:AP22)</f>
        <v>0</v>
      </c>
      <c r="AQ23" s="801"/>
      <c r="AR23" s="796">
        <f>SUM(AR11:AR22)</f>
        <v>0</v>
      </c>
      <c r="AS23" s="802"/>
      <c r="AT23" s="802">
        <f>SUM(AT11:AT22)</f>
        <v>0</v>
      </c>
      <c r="AU23" s="802"/>
      <c r="AV23" s="802">
        <f>SUM(AV11:AV22)</f>
        <v>0</v>
      </c>
      <c r="AW23" s="803"/>
      <c r="AX23" s="803">
        <f>SUM(AX11:AX22)</f>
        <v>0</v>
      </c>
      <c r="AY23" s="797">
        <f>SUM(AY11:AY22)</f>
        <v>0</v>
      </c>
      <c r="AZ23" s="804"/>
      <c r="BA23" s="804">
        <f>SUM(BA11:BA22)</f>
        <v>0</v>
      </c>
      <c r="BB23" s="803"/>
      <c r="BC23" s="803">
        <f>SUM(BC11:BC22)</f>
        <v>0</v>
      </c>
      <c r="BD23" s="661"/>
      <c r="BF23" s="480"/>
      <c r="BG23" s="480"/>
      <c r="BH23" s="480"/>
      <c r="BI23" s="480"/>
      <c r="BJ23" s="480"/>
      <c r="BK23" s="769"/>
      <c r="BL23" s="769"/>
      <c r="BM23" s="769"/>
      <c r="BN23" s="769"/>
      <c r="BO23" s="769"/>
      <c r="BP23" s="769"/>
    </row>
    <row r="24" spans="1:68" s="775" customFormat="1" ht="15.6">
      <c r="A24" s="762"/>
      <c r="B24" s="763"/>
      <c r="C24" s="763"/>
      <c r="D24" s="763"/>
      <c r="E24" s="763"/>
      <c r="F24" s="763"/>
      <c r="G24" s="689"/>
      <c r="H24" s="764"/>
      <c r="I24" s="763"/>
      <c r="J24" s="689"/>
      <c r="K24" s="764"/>
      <c r="L24" s="763"/>
      <c r="M24" s="689"/>
      <c r="N24" s="765"/>
      <c r="O24" s="776"/>
      <c r="P24" s="776"/>
      <c r="Q24" s="777"/>
      <c r="R24" s="762"/>
      <c r="S24" s="768"/>
      <c r="T24" s="769"/>
      <c r="U24" s="772"/>
      <c r="V24" s="771"/>
      <c r="W24" s="772"/>
      <c r="X24" s="773"/>
      <c r="Y24" s="773"/>
      <c r="Z24" s="772"/>
      <c r="AA24" s="772"/>
      <c r="AB24" s="772"/>
      <c r="AC24" s="772"/>
      <c r="AD24" s="772"/>
      <c r="AE24" s="772"/>
      <c r="AF24" s="772"/>
      <c r="AG24" s="772"/>
      <c r="AH24" s="772"/>
      <c r="AI24" s="769"/>
      <c r="AJ24" s="772"/>
      <c r="AK24" s="769"/>
      <c r="AL24" s="769"/>
      <c r="AM24" s="769"/>
      <c r="AN24" s="769"/>
      <c r="AO24" s="769"/>
      <c r="AP24" s="769"/>
      <c r="AQ24" s="769"/>
      <c r="AR24" s="769"/>
      <c r="AS24" s="769"/>
      <c r="AT24" s="769"/>
      <c r="AU24" s="769"/>
      <c r="AV24" s="769"/>
      <c r="AW24" s="769"/>
      <c r="AX24" s="769"/>
      <c r="AY24" s="769"/>
      <c r="AZ24" s="769"/>
      <c r="BA24" s="769"/>
      <c r="BB24" s="769"/>
      <c r="BC24" s="769"/>
      <c r="BD24" s="661"/>
      <c r="BF24" s="480"/>
      <c r="BG24" s="480"/>
      <c r="BH24" s="480"/>
      <c r="BI24" s="480"/>
      <c r="BJ24" s="480"/>
      <c r="BK24" s="769"/>
      <c r="BL24" s="769"/>
      <c r="BM24" s="769"/>
      <c r="BN24" s="769"/>
      <c r="BO24" s="769"/>
      <c r="BP24" s="769"/>
    </row>
    <row r="25" spans="1:68" s="775" customFormat="1" ht="15.6">
      <c r="A25" s="762"/>
      <c r="B25" s="763"/>
      <c r="C25" s="763"/>
      <c r="D25" s="763"/>
      <c r="E25" s="763"/>
      <c r="F25" s="763"/>
      <c r="G25" s="689"/>
      <c r="H25" s="764"/>
      <c r="I25" s="763"/>
      <c r="J25" s="689"/>
      <c r="K25" s="764"/>
      <c r="L25" s="763"/>
      <c r="M25" s="689"/>
      <c r="N25" s="765"/>
      <c r="O25" s="766">
        <v>2</v>
      </c>
      <c r="P25" s="766" t="s">
        <v>209</v>
      </c>
      <c r="Q25" s="767"/>
      <c r="R25" s="762"/>
      <c r="S25" s="768"/>
      <c r="T25" s="769"/>
      <c r="U25" s="770" t="s">
        <v>437</v>
      </c>
      <c r="V25" s="771"/>
      <c r="W25" s="772"/>
      <c r="X25" s="805"/>
      <c r="Y25" s="805"/>
      <c r="Z25" s="772"/>
      <c r="AA25" s="772"/>
      <c r="AB25" s="772"/>
      <c r="AC25" s="772"/>
      <c r="AD25" s="772"/>
      <c r="AE25" s="772"/>
      <c r="AF25" s="772"/>
      <c r="AG25" s="772"/>
      <c r="AH25" s="772"/>
      <c r="AI25" s="769"/>
      <c r="AJ25" s="772"/>
      <c r="AK25" s="769"/>
      <c r="AL25" s="769"/>
      <c r="AM25" s="769"/>
      <c r="AN25" s="769"/>
      <c r="AO25" s="769"/>
      <c r="AP25" s="769"/>
      <c r="AQ25" s="769"/>
      <c r="AR25" s="769"/>
      <c r="AS25" s="769"/>
      <c r="AT25" s="769"/>
      <c r="AU25" s="769"/>
      <c r="AV25" s="769"/>
      <c r="AW25" s="769"/>
      <c r="AX25" s="769"/>
      <c r="AY25" s="769"/>
      <c r="AZ25" s="769"/>
      <c r="BA25" s="769"/>
      <c r="BB25" s="769"/>
      <c r="BC25" s="769"/>
      <c r="BD25" s="806"/>
      <c r="BE25" s="807"/>
      <c r="BF25" s="807"/>
      <c r="BG25" s="807"/>
      <c r="BH25" s="807"/>
      <c r="BI25" s="807"/>
      <c r="BJ25" s="807"/>
      <c r="BK25" s="769"/>
      <c r="BL25" s="769"/>
      <c r="BM25" s="769"/>
      <c r="BN25" s="769"/>
      <c r="BO25" s="769"/>
      <c r="BP25" s="769"/>
    </row>
    <row r="26" spans="1:68" s="775" customFormat="1" ht="15.6">
      <c r="A26" s="762"/>
      <c r="B26" s="763"/>
      <c r="C26" s="763"/>
      <c r="D26" s="763"/>
      <c r="E26" s="763"/>
      <c r="F26" s="763"/>
      <c r="G26" s="689"/>
      <c r="H26" s="764"/>
      <c r="I26" s="763"/>
      <c r="J26" s="689"/>
      <c r="K26" s="764"/>
      <c r="L26" s="763"/>
      <c r="M26" s="689"/>
      <c r="N26" s="765"/>
      <c r="O26" s="776"/>
      <c r="P26" s="776"/>
      <c r="Q26" s="777"/>
      <c r="R26" s="762"/>
      <c r="S26" s="768"/>
      <c r="T26" s="769"/>
      <c r="U26" s="772"/>
      <c r="V26" s="771"/>
      <c r="W26" s="772"/>
      <c r="X26" s="805"/>
      <c r="Y26" s="805"/>
      <c r="Z26" s="772"/>
      <c r="AA26" s="772"/>
      <c r="AB26" s="772"/>
      <c r="AC26" s="772"/>
      <c r="AD26" s="772"/>
      <c r="AE26" s="772"/>
      <c r="AF26" s="772"/>
      <c r="AG26" s="772"/>
      <c r="AH26" s="772"/>
      <c r="AI26" s="769"/>
      <c r="AJ26" s="772"/>
      <c r="AK26" s="769"/>
      <c r="AL26" s="769"/>
      <c r="AM26" s="769"/>
      <c r="AN26" s="769"/>
      <c r="AO26" s="769"/>
      <c r="AP26" s="769"/>
      <c r="AQ26" s="769"/>
      <c r="AR26" s="769"/>
      <c r="AS26" s="769"/>
      <c r="AT26" s="769"/>
      <c r="AU26" s="769"/>
      <c r="AV26" s="769"/>
      <c r="AW26" s="769"/>
      <c r="AX26" s="769"/>
      <c r="AY26" s="769"/>
      <c r="AZ26" s="769"/>
      <c r="BA26" s="769"/>
      <c r="BB26" s="769"/>
      <c r="BC26" s="769"/>
      <c r="BD26" s="808"/>
      <c r="BE26" s="808"/>
      <c r="BF26" s="808"/>
      <c r="BG26" s="808"/>
      <c r="BH26" s="808"/>
      <c r="BI26" s="808"/>
      <c r="BJ26" s="808"/>
      <c r="BK26" s="769"/>
      <c r="BL26" s="769"/>
      <c r="BM26" s="769"/>
      <c r="BN26" s="769"/>
      <c r="BO26" s="769"/>
      <c r="BP26" s="769"/>
    </row>
    <row r="27" spans="1:68" s="775" customFormat="1" ht="15.6">
      <c r="A27" s="762"/>
      <c r="B27" s="763">
        <v>0</v>
      </c>
      <c r="C27" s="763">
        <v>0</v>
      </c>
      <c r="D27" s="763">
        <v>0</v>
      </c>
      <c r="E27" s="763">
        <v>0</v>
      </c>
      <c r="F27" s="763">
        <v>0</v>
      </c>
      <c r="G27" s="689">
        <f t="shared" ref="G27:G86" si="61">+G$4</f>
        <v>0</v>
      </c>
      <c r="H27" s="764">
        <f t="shared" ref="H27:H86" si="62">AM27+AN27</f>
        <v>0</v>
      </c>
      <c r="I27" s="763">
        <v>0</v>
      </c>
      <c r="J27" s="689">
        <f t="shared" ref="J27:J86" si="63">+J$4</f>
        <v>0</v>
      </c>
      <c r="K27" s="764">
        <f t="shared" ref="K27:K86" si="64">+AR27+AT27+AV27+AX27</f>
        <v>0</v>
      </c>
      <c r="L27" s="763">
        <v>0</v>
      </c>
      <c r="M27" s="689">
        <f t="shared" ref="M27:M64" si="65">+M$4</f>
        <v>0</v>
      </c>
      <c r="N27" s="765"/>
      <c r="O27" s="776"/>
      <c r="P27" s="776"/>
      <c r="Q27" s="777" t="s">
        <v>210</v>
      </c>
      <c r="R27" s="762" t="s">
        <v>211</v>
      </c>
      <c r="S27" s="768">
        <v>1</v>
      </c>
      <c r="T27" s="769">
        <f t="shared" ref="T27:T33" si="66">_xlfn.IFNA(ROUNDUP(AF27+AJ27+AO27+AQ27+L27+AS27+AU27+AW27+F27+AZ27+BB27,2),0)</f>
        <v>0</v>
      </c>
      <c r="U27" s="772">
        <f t="shared" ref="U27:U33" si="67">ROUND(T27*ROUNDUP(S27,1),2)</f>
        <v>0</v>
      </c>
      <c r="V27" s="771">
        <v>0</v>
      </c>
      <c r="W27" s="772">
        <f t="shared" ref="W27:W33" si="68">ROUND(+U27*V27,2)</f>
        <v>0</v>
      </c>
      <c r="X27" s="773"/>
      <c r="Y27" s="773"/>
      <c r="Z27" s="772">
        <f t="shared" ref="Z27:Z33" si="69">_xlfn.IFNA(ROUNDUP(AJ27*U27,2),0)</f>
        <v>0</v>
      </c>
      <c r="AA27" s="772">
        <f t="shared" ref="AA27:AA33" si="70">_xlfn.IFNA(ROUNDUP(AK27*V27,2),0)</f>
        <v>0</v>
      </c>
      <c r="AB27" s="772">
        <f t="shared" ref="AB27:AB33" si="71">ROUNDUP((AP27+AL27)*V27,2)</f>
        <v>0</v>
      </c>
      <c r="AC27" s="772">
        <f t="shared" ref="AC27:AC33" si="72">_xlfn.IFNA(ROUNDUP((AT27+AV27+AR27)*V27,2),0)</f>
        <v>0</v>
      </c>
      <c r="AD27" s="772">
        <f t="shared" ref="AD27:AD33" si="73">_xlfn.IFNA(ROUNDUP((BA27+AY27)*V27,2),0)</f>
        <v>0</v>
      </c>
      <c r="AE27" s="772">
        <f t="shared" ref="AE27:AE33" si="74">_xlfn.IFNA((BC27+AX27+AG27)*V27,0)</f>
        <v>0</v>
      </c>
      <c r="AF27" s="774">
        <f t="shared" ref="AF27:AF33" si="75">+_xlfn.IFNA(D27,0)</f>
        <v>0</v>
      </c>
      <c r="AG27" s="772">
        <f t="shared" ref="AG27:AG33" si="76">_xlfn.IFNA(ROUNDUP(D27*S27,2),0)</f>
        <v>0</v>
      </c>
      <c r="AH27" s="772">
        <f t="shared" ref="AH27:AH33" si="77">+_xlfn.IFNA(C27,0)</f>
        <v>0</v>
      </c>
      <c r="AI27" s="769">
        <f t="shared" ref="AI27:AI33" si="78">_xlfn.IFNA(C27*S27,0)</f>
        <v>0</v>
      </c>
      <c r="AJ27" s="772">
        <f t="shared" ref="AJ27:AJ33" si="79">+_xlfn.IFNA(E27,0)</f>
        <v>0</v>
      </c>
      <c r="AK27" s="769">
        <f t="shared" ref="AK27:AK33" si="80">_xlfn.IFNA(E27*S27,0)</f>
        <v>0</v>
      </c>
      <c r="AL27" s="769">
        <f t="shared" ref="AL27:AL33" si="81">ROUNDUP(S27*AQ27,2)</f>
        <v>0</v>
      </c>
      <c r="AM27" s="769">
        <f t="shared" ref="AM27:AM33" si="82">ROUNDUP(+I27*S27,2)</f>
        <v>0</v>
      </c>
      <c r="AN27" s="769">
        <f t="shared" ref="AN27:AN33" si="83">J27*I27*S27</f>
        <v>0</v>
      </c>
      <c r="AO27" s="769">
        <f t="shared" ref="AO27:AO33" si="84">ROUNDUP(I27*I$4*J27,2)</f>
        <v>0</v>
      </c>
      <c r="AP27" s="769">
        <f t="shared" ref="AP27:AP33" si="85">AO27*S27</f>
        <v>0</v>
      </c>
      <c r="AQ27" s="769">
        <f t="shared" ref="AQ27:AQ33" si="86">IF(I27=0,0,ROUNDUP(I$4*I27,2))</f>
        <v>0</v>
      </c>
      <c r="AR27" s="769">
        <f t="shared" ref="AR27:AR33" si="87">+_xlfn.IFNA(ROUNDUP(L27*ROUNDUP(S27,1),2),0)</f>
        <v>0</v>
      </c>
      <c r="AS27" s="769">
        <v>0</v>
      </c>
      <c r="AT27" s="769">
        <f t="shared" ref="AT27:AT33" si="88">+ROUNDUP(AS27*S27,2)</f>
        <v>0</v>
      </c>
      <c r="AU27" s="769">
        <f t="shared" ref="AU27:AU33" si="89">_xlfn.IFNA(ROUNDUP((L27+AS27)*M27,2),0)</f>
        <v>0</v>
      </c>
      <c r="AV27" s="769">
        <f t="shared" ref="AV27:AV33" si="90">ROUNDUP(AU27*S27,2)</f>
        <v>0</v>
      </c>
      <c r="AW27" s="769">
        <f t="shared" ref="AW27:AW33" si="91">_xlfn.IFNA(ROUNDUP((L27+AS27+AU27)*(L$4)*L$3,2),0)</f>
        <v>0</v>
      </c>
      <c r="AX27" s="769">
        <f t="shared" ref="AX27:AX33" si="92">ROUNDUP(+AW27*ROUNDUP(S27,1),2)</f>
        <v>0</v>
      </c>
      <c r="AY27" s="769">
        <f t="shared" ref="AY27:AY33" si="93">_xlfn.IFNA(ROUNDUP(F27*S27,2),0)</f>
        <v>0</v>
      </c>
      <c r="AZ27" s="769">
        <f t="shared" ref="AZ27:AZ33" si="94">_xlfn.IFNA(ROUNDUP(F27*G27,2),0)</f>
        <v>0</v>
      </c>
      <c r="BA27" s="769">
        <f t="shared" ref="BA27:BA33" si="95">ROUNDUP(AZ27*S27,2)</f>
        <v>0</v>
      </c>
      <c r="BB27" s="769">
        <f t="shared" ref="BB27:BB33" si="96">_xlfn.IFNA(ROUNDUP((ROUNDUP(F27+AZ27,2)*F$4)*F$3,2),0)</f>
        <v>0</v>
      </c>
      <c r="BC27" s="769">
        <f t="shared" ref="BC27:BC33" si="97">BB27*S27</f>
        <v>0</v>
      </c>
      <c r="BD27" s="808"/>
      <c r="BE27" s="808"/>
      <c r="BF27" s="808"/>
      <c r="BG27" s="808"/>
      <c r="BH27" s="808"/>
      <c r="BI27" s="808"/>
      <c r="BJ27" s="808"/>
      <c r="BK27" s="769">
        <f t="shared" ref="BK27:BK86" si="98">IF(BK$7=$Y27,(+$AL27+$AP27),(0))</f>
        <v>0</v>
      </c>
      <c r="BL27" s="769">
        <f t="shared" ref="BL27:BL86" si="99">IF(BL$7=$Y27,(+BK27*$V27),(0))</f>
        <v>0</v>
      </c>
      <c r="BM27" s="769">
        <f t="shared" ref="BM27:BM86" si="100">IF(BM$7=$Y27,(+$AR27+$AT27+$AV27),(0))</f>
        <v>0</v>
      </c>
      <c r="BN27" s="769">
        <f t="shared" ref="BN27:BN86" si="101">IF(BN$7=$Y27,(+BM27*$V27),(0))</f>
        <v>0</v>
      </c>
      <c r="BO27" s="769">
        <f t="shared" ref="BO27:BO86" si="102">IF(BO$7=$X27,($AY27+$BA27),(0))</f>
        <v>0</v>
      </c>
      <c r="BP27" s="769">
        <f t="shared" ref="BP27:BP86" si="103">IF(BP$7=$X27,(+BO27*$V27),(0))</f>
        <v>0</v>
      </c>
    </row>
    <row r="28" spans="1:68" s="775" customFormat="1" ht="15.6">
      <c r="A28" s="762"/>
      <c r="B28" s="763">
        <v>0</v>
      </c>
      <c r="C28" s="763">
        <v>0</v>
      </c>
      <c r="D28" s="763">
        <v>0</v>
      </c>
      <c r="E28" s="763">
        <v>0</v>
      </c>
      <c r="F28" s="763">
        <v>0</v>
      </c>
      <c r="G28" s="689">
        <f t="shared" si="61"/>
        <v>0</v>
      </c>
      <c r="H28" s="764">
        <f t="shared" si="62"/>
        <v>0</v>
      </c>
      <c r="I28" s="763">
        <v>0</v>
      </c>
      <c r="J28" s="689">
        <f t="shared" si="63"/>
        <v>0</v>
      </c>
      <c r="K28" s="764">
        <f t="shared" si="64"/>
        <v>0</v>
      </c>
      <c r="L28" s="763">
        <v>0</v>
      </c>
      <c r="M28" s="689">
        <f t="shared" si="65"/>
        <v>0</v>
      </c>
      <c r="N28" s="765"/>
      <c r="O28" s="776"/>
      <c r="P28" s="776"/>
      <c r="Q28" s="777" t="s">
        <v>212</v>
      </c>
      <c r="R28" s="762" t="s">
        <v>211</v>
      </c>
      <c r="S28" s="768">
        <v>1</v>
      </c>
      <c r="T28" s="769">
        <f t="shared" si="66"/>
        <v>0</v>
      </c>
      <c r="U28" s="772">
        <f t="shared" si="67"/>
        <v>0</v>
      </c>
      <c r="V28" s="771">
        <v>0</v>
      </c>
      <c r="W28" s="772">
        <f t="shared" si="68"/>
        <v>0</v>
      </c>
      <c r="X28" s="773"/>
      <c r="Y28" s="773"/>
      <c r="Z28" s="772">
        <f t="shared" si="69"/>
        <v>0</v>
      </c>
      <c r="AA28" s="772">
        <f t="shared" si="70"/>
        <v>0</v>
      </c>
      <c r="AB28" s="772">
        <f t="shared" si="71"/>
        <v>0</v>
      </c>
      <c r="AC28" s="772">
        <f t="shared" si="72"/>
        <v>0</v>
      </c>
      <c r="AD28" s="772">
        <f t="shared" si="73"/>
        <v>0</v>
      </c>
      <c r="AE28" s="772">
        <f t="shared" si="74"/>
        <v>0</v>
      </c>
      <c r="AF28" s="774">
        <f t="shared" si="75"/>
        <v>0</v>
      </c>
      <c r="AG28" s="772">
        <f t="shared" si="76"/>
        <v>0</v>
      </c>
      <c r="AH28" s="772">
        <f t="shared" si="77"/>
        <v>0</v>
      </c>
      <c r="AI28" s="769">
        <f t="shared" si="78"/>
        <v>0</v>
      </c>
      <c r="AJ28" s="772">
        <f t="shared" si="79"/>
        <v>0</v>
      </c>
      <c r="AK28" s="769">
        <f t="shared" si="80"/>
        <v>0</v>
      </c>
      <c r="AL28" s="769">
        <f t="shared" si="81"/>
        <v>0</v>
      </c>
      <c r="AM28" s="769">
        <f t="shared" si="82"/>
        <v>0</v>
      </c>
      <c r="AN28" s="769">
        <f t="shared" si="83"/>
        <v>0</v>
      </c>
      <c r="AO28" s="769">
        <f t="shared" si="84"/>
        <v>0</v>
      </c>
      <c r="AP28" s="769">
        <f t="shared" si="85"/>
        <v>0</v>
      </c>
      <c r="AQ28" s="769">
        <f t="shared" si="86"/>
        <v>0</v>
      </c>
      <c r="AR28" s="769">
        <f t="shared" si="87"/>
        <v>0</v>
      </c>
      <c r="AS28" s="769">
        <v>0</v>
      </c>
      <c r="AT28" s="769">
        <f t="shared" si="88"/>
        <v>0</v>
      </c>
      <c r="AU28" s="769">
        <f t="shared" si="89"/>
        <v>0</v>
      </c>
      <c r="AV28" s="769">
        <f t="shared" si="90"/>
        <v>0</v>
      </c>
      <c r="AW28" s="769">
        <f t="shared" si="91"/>
        <v>0</v>
      </c>
      <c r="AX28" s="769">
        <f t="shared" si="92"/>
        <v>0</v>
      </c>
      <c r="AY28" s="769">
        <f t="shared" si="93"/>
        <v>0</v>
      </c>
      <c r="AZ28" s="769">
        <f t="shared" si="94"/>
        <v>0</v>
      </c>
      <c r="BA28" s="769">
        <f t="shared" si="95"/>
        <v>0</v>
      </c>
      <c r="BB28" s="769">
        <f t="shared" si="96"/>
        <v>0</v>
      </c>
      <c r="BC28" s="769">
        <f t="shared" si="97"/>
        <v>0</v>
      </c>
      <c r="BD28" s="808"/>
      <c r="BE28" s="808"/>
      <c r="BF28" s="808"/>
      <c r="BG28" s="808"/>
      <c r="BH28" s="808"/>
      <c r="BI28" s="808"/>
      <c r="BJ28" s="808"/>
      <c r="BK28" s="769">
        <f t="shared" si="98"/>
        <v>0</v>
      </c>
      <c r="BL28" s="769">
        <f t="shared" si="99"/>
        <v>0</v>
      </c>
      <c r="BM28" s="769">
        <f t="shared" si="100"/>
        <v>0</v>
      </c>
      <c r="BN28" s="769">
        <f t="shared" si="101"/>
        <v>0</v>
      </c>
      <c r="BO28" s="769">
        <f t="shared" si="102"/>
        <v>0</v>
      </c>
      <c r="BP28" s="769">
        <f t="shared" si="103"/>
        <v>0</v>
      </c>
    </row>
    <row r="29" spans="1:68" s="775" customFormat="1" ht="15.6">
      <c r="A29" s="762"/>
      <c r="B29" s="763">
        <v>0</v>
      </c>
      <c r="C29" s="763">
        <v>0</v>
      </c>
      <c r="D29" s="763">
        <v>0</v>
      </c>
      <c r="E29" s="763">
        <v>0</v>
      </c>
      <c r="F29" s="763">
        <v>0</v>
      </c>
      <c r="G29" s="689">
        <f t="shared" si="61"/>
        <v>0</v>
      </c>
      <c r="H29" s="764">
        <f t="shared" si="62"/>
        <v>0</v>
      </c>
      <c r="I29" s="763">
        <v>0</v>
      </c>
      <c r="J29" s="689">
        <f t="shared" si="63"/>
        <v>0</v>
      </c>
      <c r="K29" s="764">
        <f t="shared" si="64"/>
        <v>0</v>
      </c>
      <c r="L29" s="763">
        <v>0</v>
      </c>
      <c r="M29" s="689">
        <f t="shared" si="65"/>
        <v>0</v>
      </c>
      <c r="N29" s="765"/>
      <c r="O29" s="776"/>
      <c r="P29" s="776"/>
      <c r="Q29" s="777" t="s">
        <v>213</v>
      </c>
      <c r="R29" s="762" t="s">
        <v>211</v>
      </c>
      <c r="S29" s="768">
        <v>1</v>
      </c>
      <c r="T29" s="769">
        <f t="shared" si="66"/>
        <v>0</v>
      </c>
      <c r="U29" s="772">
        <f t="shared" si="67"/>
        <v>0</v>
      </c>
      <c r="V29" s="771">
        <v>0</v>
      </c>
      <c r="W29" s="772">
        <f t="shared" si="68"/>
        <v>0</v>
      </c>
      <c r="X29" s="773"/>
      <c r="Y29" s="773"/>
      <c r="Z29" s="772">
        <f t="shared" si="69"/>
        <v>0</v>
      </c>
      <c r="AA29" s="772">
        <f t="shared" si="70"/>
        <v>0</v>
      </c>
      <c r="AB29" s="772">
        <f t="shared" si="71"/>
        <v>0</v>
      </c>
      <c r="AC29" s="772">
        <f t="shared" si="72"/>
        <v>0</v>
      </c>
      <c r="AD29" s="772">
        <f t="shared" si="73"/>
        <v>0</v>
      </c>
      <c r="AE29" s="772">
        <f t="shared" si="74"/>
        <v>0</v>
      </c>
      <c r="AF29" s="774">
        <f t="shared" si="75"/>
        <v>0</v>
      </c>
      <c r="AG29" s="772">
        <f t="shared" si="76"/>
        <v>0</v>
      </c>
      <c r="AH29" s="772">
        <f t="shared" si="77"/>
        <v>0</v>
      </c>
      <c r="AI29" s="769">
        <f t="shared" si="78"/>
        <v>0</v>
      </c>
      <c r="AJ29" s="772">
        <f t="shared" si="79"/>
        <v>0</v>
      </c>
      <c r="AK29" s="769">
        <f t="shared" si="80"/>
        <v>0</v>
      </c>
      <c r="AL29" s="769">
        <f t="shared" si="81"/>
        <v>0</v>
      </c>
      <c r="AM29" s="769">
        <f t="shared" si="82"/>
        <v>0</v>
      </c>
      <c r="AN29" s="769">
        <f t="shared" si="83"/>
        <v>0</v>
      </c>
      <c r="AO29" s="769">
        <f t="shared" si="84"/>
        <v>0</v>
      </c>
      <c r="AP29" s="769">
        <f t="shared" si="85"/>
        <v>0</v>
      </c>
      <c r="AQ29" s="769">
        <f t="shared" si="86"/>
        <v>0</v>
      </c>
      <c r="AR29" s="769">
        <f t="shared" si="87"/>
        <v>0</v>
      </c>
      <c r="AS29" s="769">
        <v>0</v>
      </c>
      <c r="AT29" s="769">
        <f t="shared" si="88"/>
        <v>0</v>
      </c>
      <c r="AU29" s="769">
        <f t="shared" si="89"/>
        <v>0</v>
      </c>
      <c r="AV29" s="769">
        <f t="shared" si="90"/>
        <v>0</v>
      </c>
      <c r="AW29" s="769">
        <f t="shared" si="91"/>
        <v>0</v>
      </c>
      <c r="AX29" s="769">
        <f t="shared" si="92"/>
        <v>0</v>
      </c>
      <c r="AY29" s="769">
        <f t="shared" si="93"/>
        <v>0</v>
      </c>
      <c r="AZ29" s="769">
        <f t="shared" si="94"/>
        <v>0</v>
      </c>
      <c r="BA29" s="769">
        <f t="shared" si="95"/>
        <v>0</v>
      </c>
      <c r="BB29" s="769">
        <f t="shared" si="96"/>
        <v>0</v>
      </c>
      <c r="BC29" s="769">
        <f t="shared" si="97"/>
        <v>0</v>
      </c>
      <c r="BD29" s="808"/>
      <c r="BE29" s="808"/>
      <c r="BF29" s="808"/>
      <c r="BG29" s="808"/>
      <c r="BH29" s="808"/>
      <c r="BI29" s="808"/>
      <c r="BJ29" s="808"/>
      <c r="BK29" s="769">
        <f t="shared" si="98"/>
        <v>0</v>
      </c>
      <c r="BL29" s="769">
        <f t="shared" si="99"/>
        <v>0</v>
      </c>
      <c r="BM29" s="769">
        <f t="shared" si="100"/>
        <v>0</v>
      </c>
      <c r="BN29" s="769">
        <f t="shared" si="101"/>
        <v>0</v>
      </c>
      <c r="BO29" s="769">
        <f t="shared" si="102"/>
        <v>0</v>
      </c>
      <c r="BP29" s="769">
        <f t="shared" si="103"/>
        <v>0</v>
      </c>
    </row>
    <row r="30" spans="1:68" s="775" customFormat="1" ht="15.6">
      <c r="A30" s="762"/>
      <c r="B30" s="763">
        <v>0</v>
      </c>
      <c r="C30" s="763">
        <v>0</v>
      </c>
      <c r="D30" s="763">
        <v>0</v>
      </c>
      <c r="E30" s="763">
        <v>0</v>
      </c>
      <c r="F30" s="763">
        <v>0</v>
      </c>
      <c r="G30" s="689">
        <f t="shared" si="61"/>
        <v>0</v>
      </c>
      <c r="H30" s="764">
        <f t="shared" si="62"/>
        <v>0</v>
      </c>
      <c r="I30" s="763">
        <v>0</v>
      </c>
      <c r="J30" s="689">
        <f t="shared" si="63"/>
        <v>0</v>
      </c>
      <c r="K30" s="764">
        <f t="shared" si="64"/>
        <v>0</v>
      </c>
      <c r="L30" s="763">
        <v>0</v>
      </c>
      <c r="M30" s="689">
        <f t="shared" si="65"/>
        <v>0</v>
      </c>
      <c r="N30" s="765"/>
      <c r="O30" s="776"/>
      <c r="P30" s="776"/>
      <c r="Q30" s="777" t="s">
        <v>214</v>
      </c>
      <c r="R30" s="762" t="s">
        <v>211</v>
      </c>
      <c r="S30" s="768">
        <v>1</v>
      </c>
      <c r="T30" s="769">
        <f t="shared" si="66"/>
        <v>0</v>
      </c>
      <c r="U30" s="772">
        <f t="shared" si="67"/>
        <v>0</v>
      </c>
      <c r="V30" s="771">
        <v>0</v>
      </c>
      <c r="W30" s="772">
        <f t="shared" si="68"/>
        <v>0</v>
      </c>
      <c r="X30" s="773"/>
      <c r="Y30" s="773"/>
      <c r="Z30" s="772">
        <f t="shared" si="69"/>
        <v>0</v>
      </c>
      <c r="AA30" s="772">
        <f t="shared" si="70"/>
        <v>0</v>
      </c>
      <c r="AB30" s="772">
        <f t="shared" si="71"/>
        <v>0</v>
      </c>
      <c r="AC30" s="772">
        <f t="shared" si="72"/>
        <v>0</v>
      </c>
      <c r="AD30" s="772">
        <f t="shared" si="73"/>
        <v>0</v>
      </c>
      <c r="AE30" s="772">
        <f t="shared" si="74"/>
        <v>0</v>
      </c>
      <c r="AF30" s="774">
        <f t="shared" si="75"/>
        <v>0</v>
      </c>
      <c r="AG30" s="772">
        <f t="shared" si="76"/>
        <v>0</v>
      </c>
      <c r="AH30" s="772">
        <f t="shared" si="77"/>
        <v>0</v>
      </c>
      <c r="AI30" s="769">
        <f t="shared" si="78"/>
        <v>0</v>
      </c>
      <c r="AJ30" s="772">
        <f t="shared" si="79"/>
        <v>0</v>
      </c>
      <c r="AK30" s="769">
        <f t="shared" si="80"/>
        <v>0</v>
      </c>
      <c r="AL30" s="769">
        <f t="shared" si="81"/>
        <v>0</v>
      </c>
      <c r="AM30" s="769">
        <f t="shared" si="82"/>
        <v>0</v>
      </c>
      <c r="AN30" s="769">
        <f t="shared" si="83"/>
        <v>0</v>
      </c>
      <c r="AO30" s="769">
        <f t="shared" si="84"/>
        <v>0</v>
      </c>
      <c r="AP30" s="769">
        <f t="shared" si="85"/>
        <v>0</v>
      </c>
      <c r="AQ30" s="769">
        <f t="shared" si="86"/>
        <v>0</v>
      </c>
      <c r="AR30" s="769">
        <f t="shared" si="87"/>
        <v>0</v>
      </c>
      <c r="AS30" s="769">
        <v>0</v>
      </c>
      <c r="AT30" s="769">
        <f t="shared" si="88"/>
        <v>0</v>
      </c>
      <c r="AU30" s="769">
        <f t="shared" si="89"/>
        <v>0</v>
      </c>
      <c r="AV30" s="769">
        <f t="shared" si="90"/>
        <v>0</v>
      </c>
      <c r="AW30" s="769">
        <f t="shared" si="91"/>
        <v>0</v>
      </c>
      <c r="AX30" s="769">
        <f t="shared" si="92"/>
        <v>0</v>
      </c>
      <c r="AY30" s="769">
        <f t="shared" si="93"/>
        <v>0</v>
      </c>
      <c r="AZ30" s="769">
        <f t="shared" si="94"/>
        <v>0</v>
      </c>
      <c r="BA30" s="769">
        <f t="shared" si="95"/>
        <v>0</v>
      </c>
      <c r="BB30" s="769">
        <f t="shared" si="96"/>
        <v>0</v>
      </c>
      <c r="BC30" s="769">
        <f t="shared" si="97"/>
        <v>0</v>
      </c>
      <c r="BD30" s="808"/>
      <c r="BE30" s="808"/>
      <c r="BF30" s="808"/>
      <c r="BG30" s="808"/>
      <c r="BH30" s="808"/>
      <c r="BI30" s="808"/>
      <c r="BJ30" s="808"/>
      <c r="BK30" s="769">
        <f t="shared" si="98"/>
        <v>0</v>
      </c>
      <c r="BL30" s="769">
        <f t="shared" si="99"/>
        <v>0</v>
      </c>
      <c r="BM30" s="769">
        <f t="shared" si="100"/>
        <v>0</v>
      </c>
      <c r="BN30" s="769">
        <f t="shared" si="101"/>
        <v>0</v>
      </c>
      <c r="BO30" s="769">
        <f t="shared" si="102"/>
        <v>0</v>
      </c>
      <c r="BP30" s="769">
        <f t="shared" si="103"/>
        <v>0</v>
      </c>
    </row>
    <row r="31" spans="1:68" s="775" customFormat="1" ht="15.6">
      <c r="A31" s="762"/>
      <c r="B31" s="763">
        <v>0</v>
      </c>
      <c r="C31" s="763">
        <v>0</v>
      </c>
      <c r="D31" s="763">
        <v>0</v>
      </c>
      <c r="E31" s="763">
        <v>0</v>
      </c>
      <c r="F31" s="763">
        <v>0</v>
      </c>
      <c r="G31" s="689">
        <f t="shared" si="61"/>
        <v>0</v>
      </c>
      <c r="H31" s="764">
        <f t="shared" si="62"/>
        <v>0</v>
      </c>
      <c r="I31" s="763">
        <v>0</v>
      </c>
      <c r="J31" s="689">
        <f t="shared" si="63"/>
        <v>0</v>
      </c>
      <c r="K31" s="764">
        <f t="shared" si="64"/>
        <v>0</v>
      </c>
      <c r="L31" s="763">
        <v>0</v>
      </c>
      <c r="M31" s="689">
        <f t="shared" si="65"/>
        <v>0</v>
      </c>
      <c r="N31" s="765"/>
      <c r="O31" s="776"/>
      <c r="P31" s="776"/>
      <c r="Q31" s="777" t="s">
        <v>215</v>
      </c>
      <c r="R31" s="762" t="s">
        <v>211</v>
      </c>
      <c r="S31" s="768">
        <v>1</v>
      </c>
      <c r="T31" s="769">
        <f t="shared" si="66"/>
        <v>0</v>
      </c>
      <c r="U31" s="772">
        <f t="shared" si="67"/>
        <v>0</v>
      </c>
      <c r="V31" s="771">
        <v>0</v>
      </c>
      <c r="W31" s="772">
        <f t="shared" si="68"/>
        <v>0</v>
      </c>
      <c r="X31" s="773"/>
      <c r="Y31" s="773"/>
      <c r="Z31" s="772">
        <f t="shared" si="69"/>
        <v>0</v>
      </c>
      <c r="AA31" s="772">
        <f t="shared" si="70"/>
        <v>0</v>
      </c>
      <c r="AB31" s="772">
        <f t="shared" si="71"/>
        <v>0</v>
      </c>
      <c r="AC31" s="772">
        <f t="shared" si="72"/>
        <v>0</v>
      </c>
      <c r="AD31" s="772">
        <f t="shared" si="73"/>
        <v>0</v>
      </c>
      <c r="AE31" s="772">
        <f t="shared" si="74"/>
        <v>0</v>
      </c>
      <c r="AF31" s="774">
        <f t="shared" si="75"/>
        <v>0</v>
      </c>
      <c r="AG31" s="772">
        <f t="shared" si="76"/>
        <v>0</v>
      </c>
      <c r="AH31" s="772">
        <f t="shared" si="77"/>
        <v>0</v>
      </c>
      <c r="AI31" s="769">
        <f t="shared" si="78"/>
        <v>0</v>
      </c>
      <c r="AJ31" s="772">
        <f t="shared" si="79"/>
        <v>0</v>
      </c>
      <c r="AK31" s="769">
        <f t="shared" si="80"/>
        <v>0</v>
      </c>
      <c r="AL31" s="769">
        <f t="shared" si="81"/>
        <v>0</v>
      </c>
      <c r="AM31" s="769">
        <f t="shared" si="82"/>
        <v>0</v>
      </c>
      <c r="AN31" s="769">
        <f t="shared" si="83"/>
        <v>0</v>
      </c>
      <c r="AO31" s="769">
        <f t="shared" si="84"/>
        <v>0</v>
      </c>
      <c r="AP31" s="769">
        <f t="shared" si="85"/>
        <v>0</v>
      </c>
      <c r="AQ31" s="769">
        <f t="shared" si="86"/>
        <v>0</v>
      </c>
      <c r="AR31" s="769">
        <f t="shared" si="87"/>
        <v>0</v>
      </c>
      <c r="AS31" s="769">
        <v>0</v>
      </c>
      <c r="AT31" s="769">
        <f t="shared" si="88"/>
        <v>0</v>
      </c>
      <c r="AU31" s="769">
        <f t="shared" si="89"/>
        <v>0</v>
      </c>
      <c r="AV31" s="769">
        <f t="shared" si="90"/>
        <v>0</v>
      </c>
      <c r="AW31" s="769">
        <f t="shared" si="91"/>
        <v>0</v>
      </c>
      <c r="AX31" s="769">
        <f t="shared" si="92"/>
        <v>0</v>
      </c>
      <c r="AY31" s="769">
        <f t="shared" si="93"/>
        <v>0</v>
      </c>
      <c r="AZ31" s="769">
        <f t="shared" si="94"/>
        <v>0</v>
      </c>
      <c r="BA31" s="769">
        <f t="shared" si="95"/>
        <v>0</v>
      </c>
      <c r="BB31" s="769">
        <f t="shared" si="96"/>
        <v>0</v>
      </c>
      <c r="BC31" s="769">
        <f t="shared" si="97"/>
        <v>0</v>
      </c>
      <c r="BD31" s="808"/>
      <c r="BE31" s="808"/>
      <c r="BF31" s="808"/>
      <c r="BG31" s="808"/>
      <c r="BH31" s="808"/>
      <c r="BI31" s="808"/>
      <c r="BJ31" s="808"/>
      <c r="BK31" s="769">
        <f t="shared" si="98"/>
        <v>0</v>
      </c>
      <c r="BL31" s="769">
        <f t="shared" si="99"/>
        <v>0</v>
      </c>
      <c r="BM31" s="769">
        <f t="shared" si="100"/>
        <v>0</v>
      </c>
      <c r="BN31" s="769">
        <f t="shared" si="101"/>
        <v>0</v>
      </c>
      <c r="BO31" s="769">
        <f t="shared" si="102"/>
        <v>0</v>
      </c>
      <c r="BP31" s="769">
        <f t="shared" si="103"/>
        <v>0</v>
      </c>
    </row>
    <row r="32" spans="1:68" ht="15.6">
      <c r="A32" s="762"/>
      <c r="B32" s="763">
        <v>0</v>
      </c>
      <c r="C32" s="763">
        <v>0</v>
      </c>
      <c r="D32" s="763">
        <v>0</v>
      </c>
      <c r="E32" s="763">
        <v>0</v>
      </c>
      <c r="F32" s="763">
        <v>0</v>
      </c>
      <c r="G32" s="689">
        <f t="shared" si="61"/>
        <v>0</v>
      </c>
      <c r="H32" s="764">
        <f t="shared" si="62"/>
        <v>0</v>
      </c>
      <c r="I32" s="763">
        <v>0</v>
      </c>
      <c r="J32" s="689">
        <f t="shared" si="63"/>
        <v>0</v>
      </c>
      <c r="K32" s="764">
        <f t="shared" si="64"/>
        <v>0</v>
      </c>
      <c r="L32" s="763">
        <v>0</v>
      </c>
      <c r="M32" s="689">
        <f t="shared" si="65"/>
        <v>0</v>
      </c>
      <c r="N32" s="765"/>
      <c r="O32" s="776"/>
      <c r="P32" s="776"/>
      <c r="Q32" s="777" t="s">
        <v>216</v>
      </c>
      <c r="R32" s="762" t="s">
        <v>211</v>
      </c>
      <c r="S32" s="768">
        <v>1</v>
      </c>
      <c r="T32" s="769">
        <f t="shared" si="66"/>
        <v>0</v>
      </c>
      <c r="U32" s="772">
        <f t="shared" si="67"/>
        <v>0</v>
      </c>
      <c r="V32" s="771">
        <v>0</v>
      </c>
      <c r="W32" s="772">
        <f t="shared" si="68"/>
        <v>0</v>
      </c>
      <c r="X32" s="773"/>
      <c r="Y32" s="773"/>
      <c r="Z32" s="772">
        <f t="shared" si="69"/>
        <v>0</v>
      </c>
      <c r="AA32" s="772">
        <f t="shared" si="70"/>
        <v>0</v>
      </c>
      <c r="AB32" s="772">
        <f t="shared" si="71"/>
        <v>0</v>
      </c>
      <c r="AC32" s="772">
        <f t="shared" si="72"/>
        <v>0</v>
      </c>
      <c r="AD32" s="772">
        <f t="shared" si="73"/>
        <v>0</v>
      </c>
      <c r="AE32" s="772">
        <f t="shared" si="74"/>
        <v>0</v>
      </c>
      <c r="AF32" s="774">
        <f t="shared" si="75"/>
        <v>0</v>
      </c>
      <c r="AG32" s="772">
        <f t="shared" si="76"/>
        <v>0</v>
      </c>
      <c r="AH32" s="772">
        <f t="shared" si="77"/>
        <v>0</v>
      </c>
      <c r="AI32" s="769">
        <f t="shared" si="78"/>
        <v>0</v>
      </c>
      <c r="AJ32" s="772">
        <f t="shared" si="79"/>
        <v>0</v>
      </c>
      <c r="AK32" s="769">
        <f t="shared" si="80"/>
        <v>0</v>
      </c>
      <c r="AL32" s="769">
        <f t="shared" si="81"/>
        <v>0</v>
      </c>
      <c r="AM32" s="769">
        <f t="shared" si="82"/>
        <v>0</v>
      </c>
      <c r="AN32" s="769">
        <f t="shared" si="83"/>
        <v>0</v>
      </c>
      <c r="AO32" s="769">
        <f t="shared" si="84"/>
        <v>0</v>
      </c>
      <c r="AP32" s="769">
        <f t="shared" si="85"/>
        <v>0</v>
      </c>
      <c r="AQ32" s="769">
        <f t="shared" si="86"/>
        <v>0</v>
      </c>
      <c r="AR32" s="769">
        <f t="shared" si="87"/>
        <v>0</v>
      </c>
      <c r="AS32" s="769">
        <v>0</v>
      </c>
      <c r="AT32" s="769">
        <f t="shared" si="88"/>
        <v>0</v>
      </c>
      <c r="AU32" s="769">
        <f t="shared" si="89"/>
        <v>0</v>
      </c>
      <c r="AV32" s="769">
        <f t="shared" si="90"/>
        <v>0</v>
      </c>
      <c r="AW32" s="769">
        <f t="shared" si="91"/>
        <v>0</v>
      </c>
      <c r="AX32" s="769">
        <f t="shared" si="92"/>
        <v>0</v>
      </c>
      <c r="AY32" s="769">
        <f t="shared" si="93"/>
        <v>0</v>
      </c>
      <c r="AZ32" s="769">
        <f t="shared" si="94"/>
        <v>0</v>
      </c>
      <c r="BA32" s="769">
        <f t="shared" si="95"/>
        <v>0</v>
      </c>
      <c r="BB32" s="769">
        <f t="shared" si="96"/>
        <v>0</v>
      </c>
      <c r="BC32" s="769">
        <f t="shared" si="97"/>
        <v>0</v>
      </c>
      <c r="BD32" s="808"/>
      <c r="BE32" s="808"/>
      <c r="BF32" s="808"/>
      <c r="BG32" s="808"/>
      <c r="BH32" s="808"/>
      <c r="BI32" s="808"/>
      <c r="BJ32" s="808"/>
      <c r="BK32" s="769">
        <f t="shared" si="98"/>
        <v>0</v>
      </c>
      <c r="BL32" s="769">
        <f t="shared" si="99"/>
        <v>0</v>
      </c>
      <c r="BM32" s="769">
        <f t="shared" si="100"/>
        <v>0</v>
      </c>
      <c r="BN32" s="769">
        <f t="shared" si="101"/>
        <v>0</v>
      </c>
      <c r="BO32" s="769">
        <f t="shared" si="102"/>
        <v>0</v>
      </c>
      <c r="BP32" s="769">
        <f t="shared" si="103"/>
        <v>0</v>
      </c>
    </row>
    <row r="33" spans="1:68" ht="15.6">
      <c r="A33" s="762"/>
      <c r="B33" s="763">
        <v>0</v>
      </c>
      <c r="C33" s="763">
        <v>0</v>
      </c>
      <c r="D33" s="763">
        <v>0</v>
      </c>
      <c r="E33" s="763">
        <v>0</v>
      </c>
      <c r="F33" s="763">
        <v>0</v>
      </c>
      <c r="G33" s="689">
        <f t="shared" si="61"/>
        <v>0</v>
      </c>
      <c r="H33" s="764">
        <f t="shared" si="62"/>
        <v>0</v>
      </c>
      <c r="I33" s="763">
        <v>0</v>
      </c>
      <c r="J33" s="689">
        <f t="shared" si="63"/>
        <v>0</v>
      </c>
      <c r="K33" s="764">
        <f t="shared" si="64"/>
        <v>0</v>
      </c>
      <c r="L33" s="763">
        <v>0</v>
      </c>
      <c r="M33" s="689">
        <f t="shared" si="65"/>
        <v>0</v>
      </c>
      <c r="N33" s="765"/>
      <c r="O33" s="776"/>
      <c r="P33" s="776"/>
      <c r="Q33" s="777" t="s">
        <v>217</v>
      </c>
      <c r="R33" s="762" t="s">
        <v>211</v>
      </c>
      <c r="S33" s="768">
        <v>1</v>
      </c>
      <c r="T33" s="769">
        <f t="shared" si="66"/>
        <v>0</v>
      </c>
      <c r="U33" s="772">
        <f t="shared" si="67"/>
        <v>0</v>
      </c>
      <c r="V33" s="771">
        <v>0</v>
      </c>
      <c r="W33" s="772">
        <f t="shared" si="68"/>
        <v>0</v>
      </c>
      <c r="X33" s="773"/>
      <c r="Y33" s="773"/>
      <c r="Z33" s="772">
        <f t="shared" si="69"/>
        <v>0</v>
      </c>
      <c r="AA33" s="772">
        <f t="shared" si="70"/>
        <v>0</v>
      </c>
      <c r="AB33" s="772">
        <f t="shared" si="71"/>
        <v>0</v>
      </c>
      <c r="AC33" s="772">
        <f t="shared" si="72"/>
        <v>0</v>
      </c>
      <c r="AD33" s="772">
        <f t="shared" si="73"/>
        <v>0</v>
      </c>
      <c r="AE33" s="772">
        <f t="shared" si="74"/>
        <v>0</v>
      </c>
      <c r="AF33" s="774">
        <f t="shared" si="75"/>
        <v>0</v>
      </c>
      <c r="AG33" s="772">
        <f t="shared" si="76"/>
        <v>0</v>
      </c>
      <c r="AH33" s="772">
        <f t="shared" si="77"/>
        <v>0</v>
      </c>
      <c r="AI33" s="769">
        <f t="shared" si="78"/>
        <v>0</v>
      </c>
      <c r="AJ33" s="772">
        <f t="shared" si="79"/>
        <v>0</v>
      </c>
      <c r="AK33" s="769">
        <f t="shared" si="80"/>
        <v>0</v>
      </c>
      <c r="AL33" s="769">
        <f t="shared" si="81"/>
        <v>0</v>
      </c>
      <c r="AM33" s="769">
        <f t="shared" si="82"/>
        <v>0</v>
      </c>
      <c r="AN33" s="769">
        <f t="shared" si="83"/>
        <v>0</v>
      </c>
      <c r="AO33" s="769">
        <f t="shared" si="84"/>
        <v>0</v>
      </c>
      <c r="AP33" s="769">
        <f t="shared" si="85"/>
        <v>0</v>
      </c>
      <c r="AQ33" s="769">
        <f t="shared" si="86"/>
        <v>0</v>
      </c>
      <c r="AR33" s="769">
        <f t="shared" si="87"/>
        <v>0</v>
      </c>
      <c r="AS33" s="769">
        <v>0</v>
      </c>
      <c r="AT33" s="769">
        <f t="shared" si="88"/>
        <v>0</v>
      </c>
      <c r="AU33" s="769">
        <f t="shared" si="89"/>
        <v>0</v>
      </c>
      <c r="AV33" s="769">
        <f t="shared" si="90"/>
        <v>0</v>
      </c>
      <c r="AW33" s="769">
        <f t="shared" si="91"/>
        <v>0</v>
      </c>
      <c r="AX33" s="769">
        <f t="shared" si="92"/>
        <v>0</v>
      </c>
      <c r="AY33" s="769">
        <f t="shared" si="93"/>
        <v>0</v>
      </c>
      <c r="AZ33" s="769">
        <f t="shared" si="94"/>
        <v>0</v>
      </c>
      <c r="BA33" s="769">
        <f t="shared" si="95"/>
        <v>0</v>
      </c>
      <c r="BB33" s="769">
        <f t="shared" si="96"/>
        <v>0</v>
      </c>
      <c r="BC33" s="769">
        <f t="shared" si="97"/>
        <v>0</v>
      </c>
      <c r="BD33" s="808"/>
      <c r="BE33" s="808"/>
      <c r="BF33" s="808"/>
      <c r="BG33" s="808"/>
      <c r="BH33" s="808"/>
      <c r="BI33" s="808"/>
      <c r="BJ33" s="808"/>
      <c r="BK33" s="769">
        <f t="shared" si="98"/>
        <v>0</v>
      </c>
      <c r="BL33" s="769">
        <f t="shared" si="99"/>
        <v>0</v>
      </c>
      <c r="BM33" s="769">
        <f t="shared" si="100"/>
        <v>0</v>
      </c>
      <c r="BN33" s="769">
        <f t="shared" si="101"/>
        <v>0</v>
      </c>
      <c r="BO33" s="769">
        <f t="shared" si="102"/>
        <v>0</v>
      </c>
      <c r="BP33" s="769">
        <f t="shared" si="103"/>
        <v>0</v>
      </c>
    </row>
    <row r="34" spans="1:68" ht="15.6">
      <c r="A34" s="762"/>
      <c r="B34" s="763"/>
      <c r="C34" s="763"/>
      <c r="D34" s="763"/>
      <c r="E34" s="763"/>
      <c r="F34" s="763"/>
      <c r="G34" s="689"/>
      <c r="H34" s="764"/>
      <c r="I34" s="763"/>
      <c r="J34" s="689"/>
      <c r="K34" s="764"/>
      <c r="L34" s="763"/>
      <c r="M34" s="689"/>
      <c r="N34" s="765"/>
      <c r="O34" s="776"/>
      <c r="P34" s="776"/>
      <c r="Q34" s="777"/>
      <c r="R34" s="762"/>
      <c r="S34" s="768"/>
      <c r="T34" s="769"/>
      <c r="U34" s="772"/>
      <c r="V34" s="771"/>
      <c r="W34" s="772"/>
      <c r="X34" s="805"/>
      <c r="Y34" s="805"/>
      <c r="Z34" s="772"/>
      <c r="AA34" s="772"/>
      <c r="AB34" s="772"/>
      <c r="AC34" s="772"/>
      <c r="AD34" s="772"/>
      <c r="AE34" s="772"/>
      <c r="AF34" s="772"/>
      <c r="AG34" s="772"/>
      <c r="AH34" s="772"/>
      <c r="AI34" s="769"/>
      <c r="AJ34" s="772"/>
      <c r="AK34" s="769"/>
      <c r="AL34" s="769"/>
      <c r="AM34" s="769"/>
      <c r="AN34" s="769"/>
      <c r="AO34" s="769"/>
      <c r="AP34" s="769"/>
      <c r="AQ34" s="769"/>
      <c r="AR34" s="769"/>
      <c r="AS34" s="769"/>
      <c r="AT34" s="769"/>
      <c r="AU34" s="769"/>
      <c r="AV34" s="769"/>
      <c r="AW34" s="769"/>
      <c r="AX34" s="769"/>
      <c r="AY34" s="769"/>
      <c r="AZ34" s="769"/>
      <c r="BA34" s="769"/>
      <c r="BB34" s="769"/>
      <c r="BC34" s="769"/>
      <c r="BD34" s="808"/>
      <c r="BE34" s="808"/>
      <c r="BF34" s="808"/>
      <c r="BG34" s="808"/>
      <c r="BH34" s="808"/>
      <c r="BI34" s="808"/>
      <c r="BJ34" s="808"/>
      <c r="BK34" s="769"/>
      <c r="BL34" s="769"/>
      <c r="BM34" s="769"/>
      <c r="BN34" s="769"/>
      <c r="BO34" s="769"/>
      <c r="BP34" s="769"/>
    </row>
    <row r="35" spans="1:68" ht="15.6">
      <c r="A35" s="762"/>
      <c r="B35" s="763"/>
      <c r="C35" s="763"/>
      <c r="D35" s="763"/>
      <c r="E35" s="763"/>
      <c r="F35" s="763"/>
      <c r="G35" s="689"/>
      <c r="H35" s="764"/>
      <c r="I35" s="763"/>
      <c r="J35" s="689"/>
      <c r="K35" s="764"/>
      <c r="L35" s="763"/>
      <c r="M35" s="689"/>
      <c r="N35" s="765"/>
      <c r="O35" s="766">
        <v>3</v>
      </c>
      <c r="P35" s="766" t="s">
        <v>218</v>
      </c>
      <c r="Q35" s="767"/>
      <c r="R35" s="762"/>
      <c r="S35" s="768"/>
      <c r="T35" s="769"/>
      <c r="U35" s="770" t="s">
        <v>437</v>
      </c>
      <c r="V35" s="771"/>
      <c r="W35" s="772"/>
      <c r="X35" s="805"/>
      <c r="Y35" s="805"/>
      <c r="Z35" s="772"/>
      <c r="AA35" s="772"/>
      <c r="AB35" s="772"/>
      <c r="AC35" s="772"/>
      <c r="AD35" s="772"/>
      <c r="AE35" s="772"/>
      <c r="AF35" s="772"/>
      <c r="AG35" s="772"/>
      <c r="AH35" s="772"/>
      <c r="AI35" s="769"/>
      <c r="AJ35" s="772"/>
      <c r="AK35" s="769"/>
      <c r="AL35" s="769"/>
      <c r="AM35" s="769"/>
      <c r="AN35" s="769"/>
      <c r="AO35" s="769"/>
      <c r="AP35" s="769"/>
      <c r="AQ35" s="769"/>
      <c r="AR35" s="769"/>
      <c r="AS35" s="769"/>
      <c r="AT35" s="769"/>
      <c r="AU35" s="769"/>
      <c r="AV35" s="769"/>
      <c r="AW35" s="769"/>
      <c r="AX35" s="769"/>
      <c r="AY35" s="769"/>
      <c r="AZ35" s="769"/>
      <c r="BA35" s="769"/>
      <c r="BB35" s="769"/>
      <c r="BC35" s="769"/>
      <c r="BD35" s="808"/>
      <c r="BE35" s="808"/>
      <c r="BF35" s="808"/>
      <c r="BG35" s="808"/>
      <c r="BH35" s="808"/>
      <c r="BI35" s="808"/>
      <c r="BJ35" s="808"/>
      <c r="BK35" s="769"/>
      <c r="BL35" s="769"/>
      <c r="BM35" s="769"/>
      <c r="BN35" s="769"/>
      <c r="BO35" s="769"/>
      <c r="BP35" s="769"/>
    </row>
    <row r="36" spans="1:68" ht="15.6">
      <c r="A36" s="762"/>
      <c r="B36" s="763"/>
      <c r="C36" s="763"/>
      <c r="D36" s="763"/>
      <c r="E36" s="763"/>
      <c r="F36" s="763"/>
      <c r="G36" s="689"/>
      <c r="H36" s="764"/>
      <c r="I36" s="763"/>
      <c r="J36" s="689"/>
      <c r="K36" s="764"/>
      <c r="L36" s="763"/>
      <c r="M36" s="689"/>
      <c r="N36" s="765"/>
      <c r="O36" s="776"/>
      <c r="P36" s="776"/>
      <c r="Q36" s="777"/>
      <c r="R36" s="762"/>
      <c r="S36" s="768"/>
      <c r="T36" s="769"/>
      <c r="U36" s="772"/>
      <c r="V36" s="771"/>
      <c r="W36" s="772"/>
      <c r="X36" s="805"/>
      <c r="Y36" s="805"/>
      <c r="Z36" s="772"/>
      <c r="AA36" s="772"/>
      <c r="AB36" s="772"/>
      <c r="AC36" s="772"/>
      <c r="AD36" s="772"/>
      <c r="AE36" s="772"/>
      <c r="AF36" s="772"/>
      <c r="AG36" s="772"/>
      <c r="AH36" s="772"/>
      <c r="AI36" s="769"/>
      <c r="AJ36" s="772"/>
      <c r="AK36" s="769"/>
      <c r="AL36" s="769"/>
      <c r="AM36" s="769"/>
      <c r="AN36" s="769"/>
      <c r="AO36" s="769"/>
      <c r="AP36" s="769"/>
      <c r="AQ36" s="769"/>
      <c r="AR36" s="769"/>
      <c r="AS36" s="769"/>
      <c r="AT36" s="769"/>
      <c r="AU36" s="769"/>
      <c r="AV36" s="769"/>
      <c r="AW36" s="769"/>
      <c r="AX36" s="769"/>
      <c r="AY36" s="769"/>
      <c r="AZ36" s="769"/>
      <c r="BA36" s="769"/>
      <c r="BB36" s="769"/>
      <c r="BC36" s="769"/>
      <c r="BD36" s="808"/>
      <c r="BE36" s="808"/>
      <c r="BF36" s="808"/>
      <c r="BG36" s="808"/>
      <c r="BH36" s="808"/>
      <c r="BI36" s="808"/>
      <c r="BJ36" s="808"/>
      <c r="BK36" s="769"/>
      <c r="BL36" s="769"/>
      <c r="BM36" s="769"/>
      <c r="BN36" s="769"/>
      <c r="BO36" s="769"/>
      <c r="BP36" s="769"/>
    </row>
    <row r="37" spans="1:68" ht="15.6">
      <c r="A37" s="762"/>
      <c r="B37" s="763">
        <v>0</v>
      </c>
      <c r="C37" s="763">
        <v>0</v>
      </c>
      <c r="D37" s="763">
        <v>0</v>
      </c>
      <c r="E37" s="763">
        <v>0</v>
      </c>
      <c r="F37" s="763">
        <v>0</v>
      </c>
      <c r="G37" s="689">
        <f t="shared" si="61"/>
        <v>0</v>
      </c>
      <c r="H37" s="764">
        <f t="shared" si="62"/>
        <v>0</v>
      </c>
      <c r="I37" s="763">
        <v>0</v>
      </c>
      <c r="J37" s="689">
        <f t="shared" si="63"/>
        <v>0</v>
      </c>
      <c r="K37" s="764">
        <f t="shared" si="64"/>
        <v>0</v>
      </c>
      <c r="L37" s="763">
        <v>0</v>
      </c>
      <c r="M37" s="689">
        <f t="shared" si="65"/>
        <v>0</v>
      </c>
      <c r="N37" s="765"/>
      <c r="O37" s="776"/>
      <c r="P37" s="776"/>
      <c r="Q37" s="777" t="s">
        <v>219</v>
      </c>
      <c r="R37" s="762" t="s">
        <v>211</v>
      </c>
      <c r="S37" s="768">
        <v>1</v>
      </c>
      <c r="T37" s="769">
        <f>_xlfn.IFNA(ROUNDUP(AF37+AJ37+AO37+AQ37+L37+AS37+AU37+AW37+F37+AZ37+BB37,2),0)</f>
        <v>0</v>
      </c>
      <c r="U37" s="772">
        <f t="shared" ref="U37" si="104">ROUND(T37*ROUNDUP(S37,1),2)</f>
        <v>0</v>
      </c>
      <c r="V37" s="771">
        <v>0</v>
      </c>
      <c r="W37" s="772">
        <f t="shared" ref="W37" si="105">ROUND(+U37*V37,2)</f>
        <v>0</v>
      </c>
      <c r="X37" s="773"/>
      <c r="Y37" s="773"/>
      <c r="Z37" s="772">
        <f>_xlfn.IFNA(ROUNDUP(AJ37*U37,2),0)</f>
        <v>0</v>
      </c>
      <c r="AA37" s="772">
        <f>_xlfn.IFNA(ROUNDUP(AK37*V37,2),0)</f>
        <v>0</v>
      </c>
      <c r="AB37" s="772">
        <f t="shared" ref="AB37" si="106">ROUNDUP((AP37+AL37)*V37,2)</f>
        <v>0</v>
      </c>
      <c r="AC37" s="772">
        <f>_xlfn.IFNA(ROUNDUP((AT37+AV37+AR37)*V37,2),0)</f>
        <v>0</v>
      </c>
      <c r="AD37" s="772">
        <f>_xlfn.IFNA(ROUNDUP((BA37+AY37)*V37,2),0)</f>
        <v>0</v>
      </c>
      <c r="AE37" s="772">
        <f>_xlfn.IFNA((BC37+AX37+AG37)*V37,0)</f>
        <v>0</v>
      </c>
      <c r="AF37" s="774">
        <f>+_xlfn.IFNA(D37,0)</f>
        <v>0</v>
      </c>
      <c r="AG37" s="772">
        <f>_xlfn.IFNA(ROUNDUP(D37*S37,2),0)</f>
        <v>0</v>
      </c>
      <c r="AH37" s="772">
        <f>+_xlfn.IFNA(C37,0)</f>
        <v>0</v>
      </c>
      <c r="AI37" s="769">
        <f>_xlfn.IFNA(C37*S37,0)</f>
        <v>0</v>
      </c>
      <c r="AJ37" s="772">
        <f>+_xlfn.IFNA(E37,0)</f>
        <v>0</v>
      </c>
      <c r="AK37" s="769">
        <f>_xlfn.IFNA(E37*S37,0)</f>
        <v>0</v>
      </c>
      <c r="AL37" s="769">
        <f t="shared" ref="AL37" si="107">ROUNDUP(S37*AQ37,2)</f>
        <v>0</v>
      </c>
      <c r="AM37" s="769">
        <f t="shared" ref="AM37" si="108">ROUNDUP(+I37*S37,2)</f>
        <v>0</v>
      </c>
      <c r="AN37" s="769">
        <f t="shared" ref="AN37" si="109">J37*I37*S37</f>
        <v>0</v>
      </c>
      <c r="AO37" s="769">
        <f t="shared" ref="AO37" si="110">ROUNDUP(I37*I$4*J37,2)</f>
        <v>0</v>
      </c>
      <c r="AP37" s="769">
        <f t="shared" ref="AP37" si="111">AO37*S37</f>
        <v>0</v>
      </c>
      <c r="AQ37" s="769">
        <f t="shared" ref="AQ37" si="112">IF(I37=0,0,ROUNDUP(I$4*I37,2))</f>
        <v>0</v>
      </c>
      <c r="AR37" s="769">
        <f>+_xlfn.IFNA(ROUNDUP(L37*ROUNDUP(S37,1),2),0)</f>
        <v>0</v>
      </c>
      <c r="AS37" s="769">
        <v>0</v>
      </c>
      <c r="AT37" s="769">
        <f t="shared" ref="AT37" si="113">+ROUNDUP(AS37*S37,2)</f>
        <v>0</v>
      </c>
      <c r="AU37" s="769">
        <f>_xlfn.IFNA(ROUNDUP((L37+AS37)*M37,2),0)</f>
        <v>0</v>
      </c>
      <c r="AV37" s="769">
        <f t="shared" ref="AV37" si="114">ROUNDUP(AU37*S37,2)</f>
        <v>0</v>
      </c>
      <c r="AW37" s="769">
        <f>_xlfn.IFNA(ROUNDUP((L37+AS37+AU37)*(L$4)*L$3,2),0)</f>
        <v>0</v>
      </c>
      <c r="AX37" s="769">
        <f t="shared" ref="AX37" si="115">ROUNDUP(+AW37*ROUNDUP(S37,1),2)</f>
        <v>0</v>
      </c>
      <c r="AY37" s="769">
        <f>_xlfn.IFNA(ROUNDUP(F37*S37,2),0)</f>
        <v>0</v>
      </c>
      <c r="AZ37" s="769">
        <f>_xlfn.IFNA(ROUNDUP(F37*G37,2),0)</f>
        <v>0</v>
      </c>
      <c r="BA37" s="769">
        <f t="shared" ref="BA37" si="116">ROUNDUP(AZ37*S37,2)</f>
        <v>0</v>
      </c>
      <c r="BB37" s="769">
        <f>_xlfn.IFNA(ROUNDUP((ROUNDUP(F37+AZ37,2)*F$4)*F$3,2),0)</f>
        <v>0</v>
      </c>
      <c r="BC37" s="769">
        <f t="shared" ref="BC37" si="117">BB37*S37</f>
        <v>0</v>
      </c>
      <c r="BD37" s="808"/>
      <c r="BE37" s="808"/>
      <c r="BF37" s="808"/>
      <c r="BG37" s="808"/>
      <c r="BH37" s="808"/>
      <c r="BI37" s="808"/>
      <c r="BJ37" s="808"/>
      <c r="BK37" s="769">
        <f t="shared" si="98"/>
        <v>0</v>
      </c>
      <c r="BL37" s="769">
        <f t="shared" si="99"/>
        <v>0</v>
      </c>
      <c r="BM37" s="769">
        <f t="shared" si="100"/>
        <v>0</v>
      </c>
      <c r="BN37" s="769">
        <f t="shared" si="101"/>
        <v>0</v>
      </c>
      <c r="BO37" s="769">
        <f t="shared" si="102"/>
        <v>0</v>
      </c>
      <c r="BP37" s="769">
        <f t="shared" si="103"/>
        <v>0</v>
      </c>
    </row>
    <row r="38" spans="1:68" ht="15.6">
      <c r="A38" s="762"/>
      <c r="B38" s="763"/>
      <c r="C38" s="763"/>
      <c r="D38" s="763"/>
      <c r="E38" s="763"/>
      <c r="F38" s="763"/>
      <c r="G38" s="689"/>
      <c r="H38" s="764"/>
      <c r="I38" s="763"/>
      <c r="J38" s="689"/>
      <c r="K38" s="764"/>
      <c r="L38" s="763"/>
      <c r="M38" s="689"/>
      <c r="N38" s="765"/>
      <c r="O38" s="776"/>
      <c r="P38" s="776"/>
      <c r="Q38" s="777"/>
      <c r="R38" s="762"/>
      <c r="S38" s="768"/>
      <c r="T38" s="769"/>
      <c r="U38" s="772"/>
      <c r="V38" s="771"/>
      <c r="W38" s="772"/>
      <c r="X38" s="805"/>
      <c r="Y38" s="805"/>
      <c r="Z38" s="772"/>
      <c r="AA38" s="772"/>
      <c r="AB38" s="772"/>
      <c r="AC38" s="772"/>
      <c r="AD38" s="772"/>
      <c r="AE38" s="772"/>
      <c r="AF38" s="772"/>
      <c r="AG38" s="772"/>
      <c r="AH38" s="772"/>
      <c r="AI38" s="769"/>
      <c r="AJ38" s="772"/>
      <c r="AK38" s="769"/>
      <c r="AL38" s="769"/>
      <c r="AM38" s="769"/>
      <c r="AN38" s="769"/>
      <c r="AO38" s="769"/>
      <c r="AP38" s="769"/>
      <c r="AQ38" s="769"/>
      <c r="AR38" s="769"/>
      <c r="AS38" s="769"/>
      <c r="AT38" s="769"/>
      <c r="AU38" s="769"/>
      <c r="AV38" s="769"/>
      <c r="AW38" s="769"/>
      <c r="AX38" s="769"/>
      <c r="AY38" s="769"/>
      <c r="AZ38" s="769"/>
      <c r="BA38" s="769"/>
      <c r="BB38" s="769"/>
      <c r="BC38" s="769"/>
      <c r="BD38" s="808"/>
      <c r="BE38" s="808"/>
      <c r="BF38" s="808"/>
      <c r="BG38" s="808"/>
      <c r="BH38" s="808"/>
      <c r="BI38" s="808"/>
      <c r="BJ38" s="808"/>
      <c r="BK38" s="769"/>
      <c r="BL38" s="769"/>
      <c r="BM38" s="769"/>
      <c r="BN38" s="769"/>
      <c r="BO38" s="769"/>
      <c r="BP38" s="769"/>
    </row>
    <row r="39" spans="1:68" ht="15.6">
      <c r="A39" s="762"/>
      <c r="B39" s="763"/>
      <c r="C39" s="763"/>
      <c r="D39" s="763"/>
      <c r="E39" s="763"/>
      <c r="F39" s="763"/>
      <c r="G39" s="689"/>
      <c r="H39" s="764"/>
      <c r="I39" s="763"/>
      <c r="J39" s="689"/>
      <c r="K39" s="764"/>
      <c r="L39" s="763"/>
      <c r="M39" s="689"/>
      <c r="N39" s="765"/>
      <c r="O39" s="766">
        <v>4</v>
      </c>
      <c r="P39" s="766" t="s">
        <v>220</v>
      </c>
      <c r="Q39" s="767"/>
      <c r="R39" s="762"/>
      <c r="S39" s="768"/>
      <c r="T39" s="769"/>
      <c r="U39" s="770" t="s">
        <v>437</v>
      </c>
      <c r="V39" s="771"/>
      <c r="W39" s="772"/>
      <c r="X39" s="805"/>
      <c r="Y39" s="805"/>
      <c r="Z39" s="772"/>
      <c r="AA39" s="772"/>
      <c r="AB39" s="772"/>
      <c r="AC39" s="772"/>
      <c r="AD39" s="772"/>
      <c r="AE39" s="772"/>
      <c r="AF39" s="772"/>
      <c r="AG39" s="772"/>
      <c r="AH39" s="772"/>
      <c r="AI39" s="769"/>
      <c r="AJ39" s="772"/>
      <c r="AK39" s="769"/>
      <c r="AL39" s="769"/>
      <c r="AM39" s="769"/>
      <c r="AN39" s="769"/>
      <c r="AO39" s="769"/>
      <c r="AP39" s="769"/>
      <c r="AQ39" s="769"/>
      <c r="AR39" s="769"/>
      <c r="AS39" s="769"/>
      <c r="AT39" s="769"/>
      <c r="AU39" s="769"/>
      <c r="AV39" s="769"/>
      <c r="AW39" s="769"/>
      <c r="AX39" s="769"/>
      <c r="AY39" s="769"/>
      <c r="AZ39" s="769"/>
      <c r="BA39" s="769"/>
      <c r="BB39" s="769"/>
      <c r="BC39" s="769"/>
      <c r="BD39" s="808"/>
      <c r="BE39" s="808"/>
      <c r="BF39" s="808"/>
      <c r="BG39" s="808"/>
      <c r="BH39" s="808"/>
      <c r="BI39" s="808"/>
      <c r="BJ39" s="808"/>
      <c r="BK39" s="769"/>
      <c r="BL39" s="769"/>
      <c r="BM39" s="769"/>
      <c r="BN39" s="769"/>
      <c r="BO39" s="769"/>
      <c r="BP39" s="769"/>
    </row>
    <row r="40" spans="1:68" ht="15.6">
      <c r="A40" s="762"/>
      <c r="B40" s="763"/>
      <c r="C40" s="763"/>
      <c r="D40" s="763"/>
      <c r="E40" s="763"/>
      <c r="F40" s="763"/>
      <c r="G40" s="689"/>
      <c r="H40" s="764"/>
      <c r="I40" s="763"/>
      <c r="J40" s="689"/>
      <c r="K40" s="764"/>
      <c r="L40" s="763"/>
      <c r="M40" s="689"/>
      <c r="N40" s="765"/>
      <c r="O40" s="776"/>
      <c r="P40" s="776"/>
      <c r="Q40" s="777"/>
      <c r="R40" s="762"/>
      <c r="S40" s="768"/>
      <c r="T40" s="769"/>
      <c r="U40" s="772"/>
      <c r="V40" s="771"/>
      <c r="W40" s="772"/>
      <c r="X40" s="805"/>
      <c r="Y40" s="805"/>
      <c r="Z40" s="772"/>
      <c r="AA40" s="772"/>
      <c r="AB40" s="772"/>
      <c r="AC40" s="772"/>
      <c r="AD40" s="772"/>
      <c r="AE40" s="772"/>
      <c r="AF40" s="772"/>
      <c r="AG40" s="772"/>
      <c r="AH40" s="772"/>
      <c r="AI40" s="769"/>
      <c r="AJ40" s="772"/>
      <c r="AK40" s="769"/>
      <c r="AL40" s="769"/>
      <c r="AM40" s="769"/>
      <c r="AN40" s="769"/>
      <c r="AO40" s="769"/>
      <c r="AP40" s="769"/>
      <c r="AQ40" s="769"/>
      <c r="AR40" s="769"/>
      <c r="AS40" s="769"/>
      <c r="AT40" s="769"/>
      <c r="AU40" s="769"/>
      <c r="AV40" s="769"/>
      <c r="AW40" s="769"/>
      <c r="AX40" s="769"/>
      <c r="AY40" s="769"/>
      <c r="AZ40" s="769"/>
      <c r="BA40" s="769"/>
      <c r="BB40" s="769"/>
      <c r="BC40" s="769"/>
      <c r="BD40" s="808"/>
      <c r="BE40" s="808"/>
      <c r="BF40" s="808"/>
      <c r="BG40" s="808"/>
      <c r="BH40" s="808"/>
      <c r="BI40" s="808"/>
      <c r="BJ40" s="808"/>
      <c r="BK40" s="769"/>
      <c r="BL40" s="769"/>
      <c r="BM40" s="769"/>
      <c r="BN40" s="769"/>
      <c r="BO40" s="769"/>
      <c r="BP40" s="769"/>
    </row>
    <row r="41" spans="1:68" ht="15.75" customHeight="1">
      <c r="A41" s="762"/>
      <c r="B41" s="763">
        <v>0</v>
      </c>
      <c r="C41" s="763">
        <v>0</v>
      </c>
      <c r="D41" s="763">
        <v>0</v>
      </c>
      <c r="E41" s="763">
        <v>0</v>
      </c>
      <c r="F41" s="763">
        <v>0</v>
      </c>
      <c r="G41" s="689">
        <f t="shared" si="61"/>
        <v>0</v>
      </c>
      <c r="H41" s="764">
        <f t="shared" si="62"/>
        <v>0</v>
      </c>
      <c r="I41" s="763">
        <v>0</v>
      </c>
      <c r="J41" s="689">
        <f t="shared" si="63"/>
        <v>0</v>
      </c>
      <c r="K41" s="764">
        <f t="shared" si="64"/>
        <v>0</v>
      </c>
      <c r="L41" s="763">
        <v>0</v>
      </c>
      <c r="M41" s="689">
        <f t="shared" si="65"/>
        <v>0</v>
      </c>
      <c r="N41" s="765"/>
      <c r="O41" s="776"/>
      <c r="P41" s="776"/>
      <c r="Q41" s="777" t="s">
        <v>221</v>
      </c>
      <c r="R41" s="762" t="s">
        <v>211</v>
      </c>
      <c r="S41" s="768">
        <v>1</v>
      </c>
      <c r="T41" s="769">
        <f>_xlfn.IFNA(ROUNDUP(AF41+AJ41+AO41+AQ41+L41+AS41+AU41+AW41+F41+AZ41+BB41,2),0)</f>
        <v>0</v>
      </c>
      <c r="U41" s="772">
        <f t="shared" ref="U41:U42" si="118">ROUND(T41*ROUNDUP(S41,1),2)</f>
        <v>0</v>
      </c>
      <c r="V41" s="771">
        <v>0</v>
      </c>
      <c r="W41" s="772">
        <f t="shared" ref="W41:W42" si="119">ROUND(+U41*V41,2)</f>
        <v>0</v>
      </c>
      <c r="X41" s="773"/>
      <c r="Y41" s="773"/>
      <c r="Z41" s="772">
        <f>_xlfn.IFNA(ROUNDUP(AJ41*U41,2),0)</f>
        <v>0</v>
      </c>
      <c r="AA41" s="772">
        <f>_xlfn.IFNA(ROUNDUP(AK41*V41,2),0)</f>
        <v>0</v>
      </c>
      <c r="AB41" s="772">
        <f t="shared" ref="AB41:AB42" si="120">ROUNDUP((AP41+AL41)*V41,2)</f>
        <v>0</v>
      </c>
      <c r="AC41" s="772">
        <f>_xlfn.IFNA(ROUNDUP((AT41+AV41+AR41)*V41,2),0)</f>
        <v>0</v>
      </c>
      <c r="AD41" s="772">
        <f>_xlfn.IFNA(ROUNDUP((BA41+AY41)*V41,2),0)</f>
        <v>0</v>
      </c>
      <c r="AE41" s="772">
        <f>_xlfn.IFNA((BC41+AX41+AG41)*V41,0)</f>
        <v>0</v>
      </c>
      <c r="AF41" s="774">
        <f>+_xlfn.IFNA(D41,0)</f>
        <v>0</v>
      </c>
      <c r="AG41" s="772">
        <f>_xlfn.IFNA(ROUNDUP(D41*S41,2),0)</f>
        <v>0</v>
      </c>
      <c r="AH41" s="772">
        <f>+_xlfn.IFNA(C41,0)</f>
        <v>0</v>
      </c>
      <c r="AI41" s="769">
        <f>_xlfn.IFNA(C41*S41,0)</f>
        <v>0</v>
      </c>
      <c r="AJ41" s="772">
        <f>+_xlfn.IFNA(E41,0)</f>
        <v>0</v>
      </c>
      <c r="AK41" s="769">
        <f>_xlfn.IFNA(E41*S41,0)</f>
        <v>0</v>
      </c>
      <c r="AL41" s="769">
        <f t="shared" ref="AL41:AL42" si="121">ROUNDUP(S41*AQ41,2)</f>
        <v>0</v>
      </c>
      <c r="AM41" s="769">
        <f t="shared" ref="AM41:AM42" si="122">ROUNDUP(+I41*S41,2)</f>
        <v>0</v>
      </c>
      <c r="AN41" s="769">
        <f t="shared" ref="AN41:AN42" si="123">J41*I41*S41</f>
        <v>0</v>
      </c>
      <c r="AO41" s="769">
        <f t="shared" ref="AO41:AO42" si="124">ROUNDUP(I41*I$4*J41,2)</f>
        <v>0</v>
      </c>
      <c r="AP41" s="769">
        <f t="shared" ref="AP41:AP42" si="125">AO41*S41</f>
        <v>0</v>
      </c>
      <c r="AQ41" s="769">
        <f t="shared" ref="AQ41:AQ42" si="126">IF(I41=0,0,ROUNDUP(I$4*I41,2))</f>
        <v>0</v>
      </c>
      <c r="AR41" s="769">
        <f>+_xlfn.IFNA(ROUNDUP(L41*ROUNDUP(S41,1),2),0)</f>
        <v>0</v>
      </c>
      <c r="AS41" s="769">
        <v>0</v>
      </c>
      <c r="AT41" s="769">
        <f t="shared" ref="AT41:AT42" si="127">+ROUNDUP(AS41*S41,2)</f>
        <v>0</v>
      </c>
      <c r="AU41" s="769">
        <f>_xlfn.IFNA(ROUNDUP((L41+AS41)*M41,2),0)</f>
        <v>0</v>
      </c>
      <c r="AV41" s="769">
        <f t="shared" ref="AV41:AV42" si="128">ROUNDUP(AU41*S41,2)</f>
        <v>0</v>
      </c>
      <c r="AW41" s="769">
        <f>_xlfn.IFNA(ROUNDUP((L41+AS41+AU41)*(L$4)*L$3,2),0)</f>
        <v>0</v>
      </c>
      <c r="AX41" s="769">
        <f t="shared" ref="AX41:AX42" si="129">ROUNDUP(+AW41*ROUNDUP(S41,1),2)</f>
        <v>0</v>
      </c>
      <c r="AY41" s="769">
        <f>_xlfn.IFNA(ROUNDUP(F41*S41,2),0)</f>
        <v>0</v>
      </c>
      <c r="AZ41" s="769">
        <f>_xlfn.IFNA(ROUNDUP(F41*G41,2),0)</f>
        <v>0</v>
      </c>
      <c r="BA41" s="769">
        <f t="shared" ref="BA41:BA42" si="130">ROUNDUP(AZ41*S41,2)</f>
        <v>0</v>
      </c>
      <c r="BB41" s="769">
        <f>_xlfn.IFNA(ROUNDUP((ROUNDUP(F41+AZ41,2)*F$4)*F$3,2),0)</f>
        <v>0</v>
      </c>
      <c r="BC41" s="769">
        <f t="shared" ref="BC41:BC42" si="131">BB41*S41</f>
        <v>0</v>
      </c>
      <c r="BD41" s="808"/>
      <c r="BE41" s="808"/>
      <c r="BF41" s="808"/>
      <c r="BG41" s="808"/>
      <c r="BH41" s="808"/>
      <c r="BI41" s="808"/>
      <c r="BJ41" s="808"/>
      <c r="BK41" s="769">
        <f t="shared" si="98"/>
        <v>0</v>
      </c>
      <c r="BL41" s="769">
        <f t="shared" si="99"/>
        <v>0</v>
      </c>
      <c r="BM41" s="769">
        <f t="shared" si="100"/>
        <v>0</v>
      </c>
      <c r="BN41" s="769">
        <f t="shared" si="101"/>
        <v>0</v>
      </c>
      <c r="BO41" s="769">
        <f t="shared" si="102"/>
        <v>0</v>
      </c>
      <c r="BP41" s="769">
        <f t="shared" si="103"/>
        <v>0</v>
      </c>
    </row>
    <row r="42" spans="1:68" ht="15.75" customHeight="1">
      <c r="A42" s="762"/>
      <c r="B42" s="763">
        <v>0</v>
      </c>
      <c r="C42" s="763">
        <v>0</v>
      </c>
      <c r="D42" s="763">
        <v>0</v>
      </c>
      <c r="E42" s="763">
        <v>0</v>
      </c>
      <c r="F42" s="763">
        <v>0</v>
      </c>
      <c r="G42" s="689">
        <f t="shared" si="61"/>
        <v>0</v>
      </c>
      <c r="H42" s="764">
        <f t="shared" si="62"/>
        <v>0</v>
      </c>
      <c r="I42" s="763">
        <v>0</v>
      </c>
      <c r="J42" s="689">
        <f t="shared" si="63"/>
        <v>0</v>
      </c>
      <c r="K42" s="764">
        <f t="shared" si="64"/>
        <v>0</v>
      </c>
      <c r="L42" s="763">
        <v>0</v>
      </c>
      <c r="M42" s="689">
        <f t="shared" si="65"/>
        <v>0</v>
      </c>
      <c r="N42" s="765"/>
      <c r="O42" s="776"/>
      <c r="P42" s="776"/>
      <c r="Q42" s="777" t="s">
        <v>222</v>
      </c>
      <c r="R42" s="762" t="s">
        <v>223</v>
      </c>
      <c r="S42" s="768">
        <v>1</v>
      </c>
      <c r="T42" s="769">
        <f>_xlfn.IFNA(ROUNDUP(AF42+AJ42+AO42+AQ42+L42+AS42+AU42+AW42+F42+AZ42+BB42,2),0)</f>
        <v>0</v>
      </c>
      <c r="U42" s="772">
        <f t="shared" si="118"/>
        <v>0</v>
      </c>
      <c r="V42" s="771">
        <v>0</v>
      </c>
      <c r="W42" s="772">
        <f t="shared" si="119"/>
        <v>0</v>
      </c>
      <c r="X42" s="773"/>
      <c r="Y42" s="773"/>
      <c r="Z42" s="772">
        <f>_xlfn.IFNA(ROUNDUP(AJ42*U42,2),0)</f>
        <v>0</v>
      </c>
      <c r="AA42" s="772">
        <f>_xlfn.IFNA(ROUNDUP(AK42*V42,2),0)</f>
        <v>0</v>
      </c>
      <c r="AB42" s="772">
        <f t="shared" si="120"/>
        <v>0</v>
      </c>
      <c r="AC42" s="772">
        <f>_xlfn.IFNA(ROUNDUP((AT42+AV42+AR42)*V42,2),0)</f>
        <v>0</v>
      </c>
      <c r="AD42" s="772">
        <f>_xlfn.IFNA(ROUNDUP((BA42+AY42)*V42,2),0)</f>
        <v>0</v>
      </c>
      <c r="AE42" s="772">
        <f>_xlfn.IFNA((BC42+AX42+AG42)*V42,0)</f>
        <v>0</v>
      </c>
      <c r="AF42" s="774">
        <f>+_xlfn.IFNA(D42,0)</f>
        <v>0</v>
      </c>
      <c r="AG42" s="772">
        <f>_xlfn.IFNA(ROUNDUP(D42*S42,2),0)</f>
        <v>0</v>
      </c>
      <c r="AH42" s="772">
        <f>+_xlfn.IFNA(C42,0)</f>
        <v>0</v>
      </c>
      <c r="AI42" s="769">
        <f>_xlfn.IFNA(C42*S42,0)</f>
        <v>0</v>
      </c>
      <c r="AJ42" s="772">
        <f>+_xlfn.IFNA(E42,0)</f>
        <v>0</v>
      </c>
      <c r="AK42" s="769">
        <f>_xlfn.IFNA(E42*S42,0)</f>
        <v>0</v>
      </c>
      <c r="AL42" s="769">
        <f t="shared" si="121"/>
        <v>0</v>
      </c>
      <c r="AM42" s="769">
        <f t="shared" si="122"/>
        <v>0</v>
      </c>
      <c r="AN42" s="769">
        <f t="shared" si="123"/>
        <v>0</v>
      </c>
      <c r="AO42" s="769">
        <f t="shared" si="124"/>
        <v>0</v>
      </c>
      <c r="AP42" s="769">
        <f t="shared" si="125"/>
        <v>0</v>
      </c>
      <c r="AQ42" s="769">
        <f t="shared" si="126"/>
        <v>0</v>
      </c>
      <c r="AR42" s="769">
        <f>+_xlfn.IFNA(ROUNDUP(L42*ROUNDUP(S42,1),2),0)</f>
        <v>0</v>
      </c>
      <c r="AS42" s="769">
        <v>0</v>
      </c>
      <c r="AT42" s="769">
        <f t="shared" si="127"/>
        <v>0</v>
      </c>
      <c r="AU42" s="769">
        <f>_xlfn.IFNA(ROUNDUP((L42+AS42)*M42,2),0)</f>
        <v>0</v>
      </c>
      <c r="AV42" s="769">
        <f t="shared" si="128"/>
        <v>0</v>
      </c>
      <c r="AW42" s="769">
        <f>_xlfn.IFNA(ROUNDUP((L42+AS42+AU42)*(L$4)*L$3,2),0)</f>
        <v>0</v>
      </c>
      <c r="AX42" s="769">
        <f t="shared" si="129"/>
        <v>0</v>
      </c>
      <c r="AY42" s="769">
        <f>_xlfn.IFNA(ROUNDUP(F42*S42,2),0)</f>
        <v>0</v>
      </c>
      <c r="AZ42" s="769">
        <f>_xlfn.IFNA(ROUNDUP(F42*G42,2),0)</f>
        <v>0</v>
      </c>
      <c r="BA42" s="769">
        <f t="shared" si="130"/>
        <v>0</v>
      </c>
      <c r="BB42" s="769">
        <f>_xlfn.IFNA(ROUNDUP((ROUNDUP(F42+AZ42,2)*F$4)*F$3,2),0)</f>
        <v>0</v>
      </c>
      <c r="BC42" s="769">
        <f t="shared" si="131"/>
        <v>0</v>
      </c>
      <c r="BD42" s="808"/>
      <c r="BE42" s="808"/>
      <c r="BF42" s="808"/>
      <c r="BG42" s="808"/>
      <c r="BH42" s="808"/>
      <c r="BI42" s="808"/>
      <c r="BJ42" s="808"/>
      <c r="BK42" s="769">
        <f t="shared" si="98"/>
        <v>0</v>
      </c>
      <c r="BL42" s="769">
        <f t="shared" si="99"/>
        <v>0</v>
      </c>
      <c r="BM42" s="769">
        <f t="shared" si="100"/>
        <v>0</v>
      </c>
      <c r="BN42" s="769">
        <f t="shared" si="101"/>
        <v>0</v>
      </c>
      <c r="BO42" s="769">
        <f t="shared" si="102"/>
        <v>0</v>
      </c>
      <c r="BP42" s="769">
        <f t="shared" si="103"/>
        <v>0</v>
      </c>
    </row>
    <row r="43" spans="1:68" ht="15.75" customHeight="1">
      <c r="A43" s="762"/>
      <c r="B43" s="763"/>
      <c r="C43" s="763"/>
      <c r="D43" s="763"/>
      <c r="E43" s="763"/>
      <c r="F43" s="763"/>
      <c r="G43" s="689"/>
      <c r="H43" s="764"/>
      <c r="I43" s="763"/>
      <c r="J43" s="689"/>
      <c r="K43" s="764"/>
      <c r="L43" s="763"/>
      <c r="M43" s="689"/>
      <c r="N43" s="765"/>
      <c r="O43" s="776"/>
      <c r="P43" s="776"/>
      <c r="Q43" s="777"/>
      <c r="R43" s="762"/>
      <c r="S43" s="768"/>
      <c r="T43" s="769"/>
      <c r="U43" s="772"/>
      <c r="V43" s="771"/>
      <c r="W43" s="772"/>
      <c r="X43" s="805"/>
      <c r="Y43" s="805"/>
      <c r="Z43" s="772"/>
      <c r="AA43" s="772"/>
      <c r="AB43" s="772"/>
      <c r="AC43" s="772"/>
      <c r="AD43" s="772"/>
      <c r="AE43" s="772"/>
      <c r="AF43" s="772"/>
      <c r="AG43" s="772"/>
      <c r="AH43" s="772"/>
      <c r="AI43" s="769"/>
      <c r="AJ43" s="772"/>
      <c r="AK43" s="769"/>
      <c r="AL43" s="769"/>
      <c r="AM43" s="769"/>
      <c r="AN43" s="769"/>
      <c r="AO43" s="769"/>
      <c r="AP43" s="769"/>
      <c r="AQ43" s="769"/>
      <c r="AR43" s="769"/>
      <c r="AS43" s="769"/>
      <c r="AT43" s="769"/>
      <c r="AU43" s="769"/>
      <c r="AV43" s="769"/>
      <c r="AW43" s="769"/>
      <c r="AX43" s="769"/>
      <c r="AY43" s="769"/>
      <c r="AZ43" s="769"/>
      <c r="BA43" s="769"/>
      <c r="BB43" s="769"/>
      <c r="BC43" s="769"/>
      <c r="BD43" s="808"/>
      <c r="BE43" s="808"/>
      <c r="BF43" s="808"/>
      <c r="BG43" s="808"/>
      <c r="BH43" s="808"/>
      <c r="BI43" s="808"/>
      <c r="BJ43" s="808"/>
      <c r="BK43" s="769"/>
      <c r="BL43" s="769"/>
      <c r="BM43" s="769"/>
      <c r="BN43" s="769"/>
      <c r="BO43" s="769"/>
      <c r="BP43" s="769"/>
    </row>
    <row r="44" spans="1:68" ht="15.75" customHeight="1">
      <c r="A44" s="762"/>
      <c r="B44" s="763"/>
      <c r="C44" s="763"/>
      <c r="D44" s="763"/>
      <c r="E44" s="763"/>
      <c r="F44" s="763"/>
      <c r="G44" s="689"/>
      <c r="H44" s="764"/>
      <c r="I44" s="763"/>
      <c r="J44" s="689"/>
      <c r="K44" s="764"/>
      <c r="L44" s="763"/>
      <c r="M44" s="689"/>
      <c r="N44" s="765"/>
      <c r="O44" s="766">
        <v>5</v>
      </c>
      <c r="P44" s="766" t="s">
        <v>224</v>
      </c>
      <c r="Q44" s="767"/>
      <c r="R44" s="762"/>
      <c r="S44" s="768"/>
      <c r="T44" s="769"/>
      <c r="U44" s="770" t="s">
        <v>437</v>
      </c>
      <c r="V44" s="771"/>
      <c r="W44" s="772"/>
      <c r="X44" s="805"/>
      <c r="Y44" s="805"/>
      <c r="Z44" s="772"/>
      <c r="AA44" s="772"/>
      <c r="AB44" s="772"/>
      <c r="AC44" s="772"/>
      <c r="AD44" s="772"/>
      <c r="AE44" s="772"/>
      <c r="AF44" s="772"/>
      <c r="AG44" s="772"/>
      <c r="AH44" s="772"/>
      <c r="AI44" s="769"/>
      <c r="AJ44" s="772"/>
      <c r="AK44" s="769"/>
      <c r="AL44" s="769"/>
      <c r="AM44" s="769"/>
      <c r="AN44" s="769"/>
      <c r="AO44" s="769"/>
      <c r="AP44" s="769"/>
      <c r="AQ44" s="769"/>
      <c r="AR44" s="769"/>
      <c r="AS44" s="769"/>
      <c r="AT44" s="769"/>
      <c r="AU44" s="769"/>
      <c r="AV44" s="769"/>
      <c r="AW44" s="769"/>
      <c r="AX44" s="769"/>
      <c r="AY44" s="769"/>
      <c r="AZ44" s="769"/>
      <c r="BA44" s="769"/>
      <c r="BB44" s="769"/>
      <c r="BC44" s="769"/>
      <c r="BD44" s="808"/>
      <c r="BE44" s="808"/>
      <c r="BF44" s="808"/>
      <c r="BG44" s="808"/>
      <c r="BH44" s="808"/>
      <c r="BI44" s="808"/>
      <c r="BJ44" s="808"/>
      <c r="BK44" s="769"/>
      <c r="BL44" s="769"/>
      <c r="BM44" s="769"/>
      <c r="BN44" s="769"/>
      <c r="BO44" s="769"/>
      <c r="BP44" s="769"/>
    </row>
    <row r="45" spans="1:68" ht="15.75" customHeight="1">
      <c r="A45" s="762"/>
      <c r="B45" s="763"/>
      <c r="C45" s="763"/>
      <c r="D45" s="763"/>
      <c r="E45" s="763"/>
      <c r="F45" s="763"/>
      <c r="G45" s="689"/>
      <c r="H45" s="764"/>
      <c r="I45" s="763"/>
      <c r="J45" s="689"/>
      <c r="K45" s="764"/>
      <c r="L45" s="763"/>
      <c r="M45" s="689"/>
      <c r="N45" s="765"/>
      <c r="O45" s="776"/>
      <c r="P45" s="776"/>
      <c r="Q45" s="777"/>
      <c r="R45" s="762"/>
      <c r="S45" s="768"/>
      <c r="T45" s="769"/>
      <c r="U45" s="772"/>
      <c r="V45" s="771"/>
      <c r="W45" s="772"/>
      <c r="X45" s="805"/>
      <c r="Y45" s="805"/>
      <c r="Z45" s="772"/>
      <c r="AA45" s="772"/>
      <c r="AB45" s="772"/>
      <c r="AC45" s="772"/>
      <c r="AD45" s="772"/>
      <c r="AE45" s="772"/>
      <c r="AF45" s="772"/>
      <c r="AG45" s="772"/>
      <c r="AH45" s="772"/>
      <c r="AI45" s="769"/>
      <c r="AJ45" s="772"/>
      <c r="AK45" s="769"/>
      <c r="AL45" s="769"/>
      <c r="AM45" s="769"/>
      <c r="AN45" s="769"/>
      <c r="AO45" s="769"/>
      <c r="AP45" s="769"/>
      <c r="AQ45" s="769"/>
      <c r="AR45" s="769"/>
      <c r="AS45" s="769"/>
      <c r="AT45" s="769"/>
      <c r="AU45" s="769"/>
      <c r="AV45" s="769"/>
      <c r="AW45" s="769"/>
      <c r="AX45" s="769"/>
      <c r="AY45" s="769"/>
      <c r="AZ45" s="769"/>
      <c r="BA45" s="769"/>
      <c r="BB45" s="769"/>
      <c r="BC45" s="769"/>
      <c r="BD45" s="808"/>
      <c r="BE45" s="808"/>
      <c r="BF45" s="808"/>
      <c r="BG45" s="808"/>
      <c r="BH45" s="808"/>
      <c r="BI45" s="808"/>
      <c r="BJ45" s="808"/>
      <c r="BK45" s="769"/>
      <c r="BL45" s="769"/>
      <c r="BM45" s="769"/>
      <c r="BN45" s="769"/>
      <c r="BO45" s="769"/>
      <c r="BP45" s="769"/>
    </row>
    <row r="46" spans="1:68" ht="15.6">
      <c r="A46" s="762"/>
      <c r="B46" s="763">
        <v>0</v>
      </c>
      <c r="C46" s="763">
        <v>0</v>
      </c>
      <c r="D46" s="763">
        <v>0</v>
      </c>
      <c r="E46" s="763">
        <v>0</v>
      </c>
      <c r="F46" s="763">
        <v>0</v>
      </c>
      <c r="G46" s="689">
        <f t="shared" si="61"/>
        <v>0</v>
      </c>
      <c r="H46" s="764">
        <f t="shared" si="62"/>
        <v>0</v>
      </c>
      <c r="I46" s="763">
        <v>0</v>
      </c>
      <c r="J46" s="689">
        <f t="shared" si="63"/>
        <v>0</v>
      </c>
      <c r="K46" s="764">
        <f t="shared" si="64"/>
        <v>0</v>
      </c>
      <c r="L46" s="763">
        <v>0</v>
      </c>
      <c r="M46" s="689">
        <f t="shared" si="65"/>
        <v>0</v>
      </c>
      <c r="N46" s="765"/>
      <c r="O46" s="776"/>
      <c r="P46" s="776"/>
      <c r="Q46" s="777" t="s">
        <v>225</v>
      </c>
      <c r="R46" s="762" t="s">
        <v>211</v>
      </c>
      <c r="S46" s="768">
        <v>1</v>
      </c>
      <c r="T46" s="769">
        <f>_xlfn.IFNA(ROUNDUP(AF46+AJ46+AO46+AQ46+L46+AS46+AU46+AW46+F46+AZ46+BB46,2),0)</f>
        <v>0</v>
      </c>
      <c r="U46" s="772">
        <f t="shared" ref="U46" si="132">ROUND(T46*ROUNDUP(S46,1),2)</f>
        <v>0</v>
      </c>
      <c r="V46" s="771">
        <v>0</v>
      </c>
      <c r="W46" s="772">
        <f t="shared" ref="W46" si="133">ROUND(+U46*V46,2)</f>
        <v>0</v>
      </c>
      <c r="X46" s="773"/>
      <c r="Y46" s="773"/>
      <c r="Z46" s="772">
        <f>_xlfn.IFNA(ROUNDUP(AJ46*U46,2),0)</f>
        <v>0</v>
      </c>
      <c r="AA46" s="772">
        <f>_xlfn.IFNA(ROUNDUP(AK46*V46,2),0)</f>
        <v>0</v>
      </c>
      <c r="AB46" s="772">
        <f t="shared" ref="AB46" si="134">ROUNDUP((AP46+AL46)*V46,2)</f>
        <v>0</v>
      </c>
      <c r="AC46" s="772">
        <f>_xlfn.IFNA(ROUNDUP((AT46+AV46+AR46)*V46,2),0)</f>
        <v>0</v>
      </c>
      <c r="AD46" s="772">
        <f>_xlfn.IFNA(ROUNDUP((BA46+AY46)*V46,2),0)</f>
        <v>0</v>
      </c>
      <c r="AE46" s="772">
        <f>_xlfn.IFNA((BC46+AX46+AG46)*V46,0)</f>
        <v>0</v>
      </c>
      <c r="AF46" s="774">
        <f>+_xlfn.IFNA(D46,0)</f>
        <v>0</v>
      </c>
      <c r="AG46" s="772">
        <f>_xlfn.IFNA(ROUNDUP(D46*S46,2),0)</f>
        <v>0</v>
      </c>
      <c r="AH46" s="772">
        <f>+_xlfn.IFNA(C46,0)</f>
        <v>0</v>
      </c>
      <c r="AI46" s="769">
        <f>_xlfn.IFNA(C46*S46,0)</f>
        <v>0</v>
      </c>
      <c r="AJ46" s="772">
        <f>+_xlfn.IFNA(E46,0)</f>
        <v>0</v>
      </c>
      <c r="AK46" s="769">
        <f>_xlfn.IFNA(E46*S46,0)</f>
        <v>0</v>
      </c>
      <c r="AL46" s="769">
        <f t="shared" ref="AL46" si="135">ROUNDUP(S46*AQ46,2)</f>
        <v>0</v>
      </c>
      <c r="AM46" s="769">
        <f t="shared" ref="AM46" si="136">ROUNDUP(+I46*S46,2)</f>
        <v>0</v>
      </c>
      <c r="AN46" s="769">
        <f t="shared" ref="AN46" si="137">J46*I46*S46</f>
        <v>0</v>
      </c>
      <c r="AO46" s="769">
        <f t="shared" ref="AO46" si="138">ROUNDUP(I46*I$4*J46,2)</f>
        <v>0</v>
      </c>
      <c r="AP46" s="769">
        <f t="shared" ref="AP46" si="139">AO46*S46</f>
        <v>0</v>
      </c>
      <c r="AQ46" s="769">
        <f t="shared" ref="AQ46" si="140">IF(I46=0,0,ROUNDUP(I$4*I46,2))</f>
        <v>0</v>
      </c>
      <c r="AR46" s="769">
        <f>+_xlfn.IFNA(ROUNDUP(L46*ROUNDUP(S46,1),2),0)</f>
        <v>0</v>
      </c>
      <c r="AS46" s="769">
        <v>0</v>
      </c>
      <c r="AT46" s="769">
        <f t="shared" ref="AT46" si="141">+ROUNDUP(AS46*S46,2)</f>
        <v>0</v>
      </c>
      <c r="AU46" s="769">
        <f>_xlfn.IFNA(ROUNDUP((L46+AS46)*M46,2),0)</f>
        <v>0</v>
      </c>
      <c r="AV46" s="769">
        <f t="shared" ref="AV46" si="142">ROUNDUP(AU46*S46,2)</f>
        <v>0</v>
      </c>
      <c r="AW46" s="769">
        <f>_xlfn.IFNA(ROUNDUP((L46+AS46+AU46)*(L$4)*L$3,2),0)</f>
        <v>0</v>
      </c>
      <c r="AX46" s="769">
        <f t="shared" ref="AX46" si="143">ROUNDUP(+AW46*ROUNDUP(S46,1),2)</f>
        <v>0</v>
      </c>
      <c r="AY46" s="769">
        <f>_xlfn.IFNA(ROUNDUP(F46*S46,2),0)</f>
        <v>0</v>
      </c>
      <c r="AZ46" s="769">
        <f>_xlfn.IFNA(ROUNDUP(F46*G46,2),0)</f>
        <v>0</v>
      </c>
      <c r="BA46" s="769">
        <f t="shared" ref="BA46" si="144">ROUNDUP(AZ46*S46,2)</f>
        <v>0</v>
      </c>
      <c r="BB46" s="769">
        <f>_xlfn.IFNA(ROUNDUP((ROUNDUP(F46+AZ46,2)*F$4)*F$3,2),0)</f>
        <v>0</v>
      </c>
      <c r="BC46" s="769">
        <f t="shared" ref="BC46" si="145">BB46*S46</f>
        <v>0</v>
      </c>
      <c r="BD46" s="808"/>
      <c r="BE46" s="808"/>
      <c r="BF46" s="808"/>
      <c r="BG46" s="808"/>
      <c r="BH46" s="808"/>
      <c r="BI46" s="808"/>
      <c r="BJ46" s="808"/>
      <c r="BK46" s="769">
        <f t="shared" si="98"/>
        <v>0</v>
      </c>
      <c r="BL46" s="769">
        <f t="shared" si="99"/>
        <v>0</v>
      </c>
      <c r="BM46" s="769">
        <f t="shared" si="100"/>
        <v>0</v>
      </c>
      <c r="BN46" s="769">
        <f t="shared" si="101"/>
        <v>0</v>
      </c>
      <c r="BO46" s="769">
        <f t="shared" si="102"/>
        <v>0</v>
      </c>
      <c r="BP46" s="769">
        <f t="shared" si="103"/>
        <v>0</v>
      </c>
    </row>
    <row r="47" spans="1:68" ht="15.6">
      <c r="A47" s="762"/>
      <c r="B47" s="763"/>
      <c r="C47" s="763"/>
      <c r="D47" s="763"/>
      <c r="E47" s="763"/>
      <c r="F47" s="763"/>
      <c r="G47" s="689"/>
      <c r="H47" s="764"/>
      <c r="I47" s="763"/>
      <c r="J47" s="689"/>
      <c r="K47" s="764"/>
      <c r="L47" s="763"/>
      <c r="M47" s="689"/>
      <c r="N47" s="765"/>
      <c r="O47" s="776"/>
      <c r="P47" s="776"/>
      <c r="Q47" s="777"/>
      <c r="R47" s="762"/>
      <c r="S47" s="768"/>
      <c r="T47" s="769"/>
      <c r="U47" s="772"/>
      <c r="V47" s="771"/>
      <c r="W47" s="772"/>
      <c r="X47" s="805"/>
      <c r="Y47" s="805"/>
      <c r="Z47" s="772"/>
      <c r="AA47" s="772"/>
      <c r="AB47" s="772"/>
      <c r="AC47" s="772"/>
      <c r="AD47" s="772"/>
      <c r="AE47" s="772"/>
      <c r="AF47" s="772"/>
      <c r="AG47" s="772"/>
      <c r="AH47" s="772"/>
      <c r="AI47" s="769"/>
      <c r="AJ47" s="772"/>
      <c r="AK47" s="769"/>
      <c r="AL47" s="769"/>
      <c r="AM47" s="769"/>
      <c r="AN47" s="769"/>
      <c r="AO47" s="769"/>
      <c r="AP47" s="769"/>
      <c r="AQ47" s="769"/>
      <c r="AR47" s="769"/>
      <c r="AS47" s="769"/>
      <c r="AT47" s="769"/>
      <c r="AU47" s="769"/>
      <c r="AV47" s="769"/>
      <c r="AW47" s="769"/>
      <c r="AX47" s="769"/>
      <c r="AY47" s="769"/>
      <c r="AZ47" s="769"/>
      <c r="BA47" s="769"/>
      <c r="BB47" s="769"/>
      <c r="BC47" s="769"/>
      <c r="BD47" s="808"/>
      <c r="BE47" s="808"/>
      <c r="BF47" s="808"/>
      <c r="BG47" s="808"/>
      <c r="BH47" s="808"/>
      <c r="BI47" s="808"/>
      <c r="BJ47" s="808"/>
      <c r="BK47" s="769"/>
      <c r="BL47" s="769"/>
      <c r="BM47" s="769"/>
      <c r="BN47" s="769"/>
      <c r="BO47" s="769"/>
      <c r="BP47" s="769"/>
    </row>
    <row r="48" spans="1:68" ht="15.6">
      <c r="A48" s="762"/>
      <c r="B48" s="763"/>
      <c r="C48" s="763"/>
      <c r="D48" s="763"/>
      <c r="E48" s="763"/>
      <c r="F48" s="763"/>
      <c r="G48" s="689"/>
      <c r="H48" s="764"/>
      <c r="I48" s="763"/>
      <c r="J48" s="689"/>
      <c r="K48" s="764"/>
      <c r="L48" s="763"/>
      <c r="M48" s="689"/>
      <c r="N48" s="765"/>
      <c r="O48" s="766">
        <v>6</v>
      </c>
      <c r="P48" s="766" t="s">
        <v>226</v>
      </c>
      <c r="Q48" s="767"/>
      <c r="R48" s="762"/>
      <c r="S48" s="768"/>
      <c r="T48" s="769"/>
      <c r="U48" s="770" t="s">
        <v>437</v>
      </c>
      <c r="V48" s="771"/>
      <c r="W48" s="772"/>
      <c r="X48" s="805"/>
      <c r="Y48" s="805"/>
      <c r="Z48" s="772"/>
      <c r="AA48" s="772"/>
      <c r="AB48" s="772"/>
      <c r="AC48" s="772"/>
      <c r="AD48" s="772"/>
      <c r="AE48" s="772"/>
      <c r="AF48" s="772"/>
      <c r="AG48" s="772"/>
      <c r="AH48" s="772"/>
      <c r="AI48" s="769"/>
      <c r="AJ48" s="772"/>
      <c r="AK48" s="769"/>
      <c r="AL48" s="769"/>
      <c r="AM48" s="769"/>
      <c r="AN48" s="769"/>
      <c r="AO48" s="769"/>
      <c r="AP48" s="769"/>
      <c r="AQ48" s="769"/>
      <c r="AR48" s="769"/>
      <c r="AS48" s="769"/>
      <c r="AT48" s="769"/>
      <c r="AU48" s="769"/>
      <c r="AV48" s="769"/>
      <c r="AW48" s="769"/>
      <c r="AX48" s="769"/>
      <c r="AY48" s="769"/>
      <c r="AZ48" s="769"/>
      <c r="BA48" s="769"/>
      <c r="BB48" s="769"/>
      <c r="BC48" s="769"/>
      <c r="BD48" s="808"/>
      <c r="BE48" s="808"/>
      <c r="BF48" s="808"/>
      <c r="BG48" s="808"/>
      <c r="BH48" s="808"/>
      <c r="BI48" s="808"/>
      <c r="BJ48" s="808"/>
      <c r="BK48" s="769"/>
      <c r="BL48" s="769"/>
      <c r="BM48" s="769"/>
      <c r="BN48" s="769"/>
      <c r="BO48" s="769"/>
      <c r="BP48" s="769"/>
    </row>
    <row r="49" spans="1:68" ht="15.6">
      <c r="A49" s="762"/>
      <c r="B49" s="763"/>
      <c r="C49" s="763"/>
      <c r="D49" s="763"/>
      <c r="E49" s="763"/>
      <c r="F49" s="763"/>
      <c r="G49" s="689"/>
      <c r="H49" s="764"/>
      <c r="I49" s="763"/>
      <c r="J49" s="689"/>
      <c r="K49" s="764"/>
      <c r="L49" s="763"/>
      <c r="M49" s="689"/>
      <c r="N49" s="765"/>
      <c r="O49" s="776"/>
      <c r="P49" s="776"/>
      <c r="Q49" s="777"/>
      <c r="R49" s="762"/>
      <c r="S49" s="768"/>
      <c r="T49" s="769"/>
      <c r="U49" s="772"/>
      <c r="V49" s="771"/>
      <c r="W49" s="772"/>
      <c r="X49" s="805"/>
      <c r="Y49" s="805"/>
      <c r="Z49" s="772"/>
      <c r="AA49" s="772"/>
      <c r="AB49" s="772"/>
      <c r="AC49" s="772"/>
      <c r="AD49" s="772"/>
      <c r="AE49" s="772"/>
      <c r="AF49" s="772"/>
      <c r="AG49" s="772"/>
      <c r="AH49" s="772"/>
      <c r="AI49" s="769"/>
      <c r="AJ49" s="772"/>
      <c r="AK49" s="769"/>
      <c r="AL49" s="769"/>
      <c r="AM49" s="769"/>
      <c r="AN49" s="769"/>
      <c r="AO49" s="769"/>
      <c r="AP49" s="769"/>
      <c r="AQ49" s="769"/>
      <c r="AR49" s="769"/>
      <c r="AS49" s="769"/>
      <c r="AT49" s="769"/>
      <c r="AU49" s="769"/>
      <c r="AV49" s="769"/>
      <c r="AW49" s="769"/>
      <c r="AX49" s="769"/>
      <c r="AY49" s="769"/>
      <c r="AZ49" s="769"/>
      <c r="BA49" s="769"/>
      <c r="BB49" s="769"/>
      <c r="BC49" s="769"/>
      <c r="BD49" s="808"/>
      <c r="BE49" s="808"/>
      <c r="BF49" s="808"/>
      <c r="BG49" s="808"/>
      <c r="BH49" s="808"/>
      <c r="BI49" s="808"/>
      <c r="BJ49" s="808"/>
      <c r="BK49" s="769"/>
      <c r="BL49" s="769"/>
      <c r="BM49" s="769"/>
      <c r="BN49" s="769"/>
      <c r="BO49" s="769"/>
      <c r="BP49" s="769"/>
    </row>
    <row r="50" spans="1:68" ht="15.6">
      <c r="A50" s="762"/>
      <c r="B50" s="763">
        <v>0</v>
      </c>
      <c r="C50" s="763">
        <v>0</v>
      </c>
      <c r="D50" s="763">
        <v>0</v>
      </c>
      <c r="E50" s="763">
        <v>0</v>
      </c>
      <c r="F50" s="763">
        <v>0</v>
      </c>
      <c r="G50" s="689">
        <f t="shared" si="61"/>
        <v>0</v>
      </c>
      <c r="H50" s="764">
        <f t="shared" si="62"/>
        <v>0</v>
      </c>
      <c r="I50" s="763">
        <v>0</v>
      </c>
      <c r="J50" s="689">
        <f t="shared" si="63"/>
        <v>0</v>
      </c>
      <c r="K50" s="764">
        <f t="shared" si="64"/>
        <v>0</v>
      </c>
      <c r="L50" s="763">
        <v>0</v>
      </c>
      <c r="M50" s="689">
        <f t="shared" si="65"/>
        <v>0</v>
      </c>
      <c r="N50" s="765"/>
      <c r="O50" s="776"/>
      <c r="P50" s="776"/>
      <c r="Q50" s="777" t="s">
        <v>227</v>
      </c>
      <c r="R50" s="762" t="s">
        <v>211</v>
      </c>
      <c r="S50" s="768">
        <v>1</v>
      </c>
      <c r="T50" s="769">
        <f t="shared" ref="T50:T51" si="146">_xlfn.IFNA(ROUNDUP(AF50+AJ50+AO50+AQ50+L50+AS50+AU50+AW50+F50+AZ50+BB50,2),0)</f>
        <v>0</v>
      </c>
      <c r="U50" s="772">
        <f t="shared" ref="U50:U51" si="147">ROUND(T50*ROUNDUP(S50,1),2)</f>
        <v>0</v>
      </c>
      <c r="V50" s="771">
        <v>0</v>
      </c>
      <c r="W50" s="772">
        <f t="shared" ref="W50:W51" si="148">ROUND(+U50*V50,2)</f>
        <v>0</v>
      </c>
      <c r="X50" s="773"/>
      <c r="Y50" s="773"/>
      <c r="Z50" s="772">
        <f t="shared" ref="Z50:Z51" si="149">_xlfn.IFNA(ROUNDUP(AJ50*U50,2),0)</f>
        <v>0</v>
      </c>
      <c r="AA50" s="772">
        <f t="shared" ref="AA50:AA51" si="150">_xlfn.IFNA(ROUNDUP(AK50*V50,2),0)</f>
        <v>0</v>
      </c>
      <c r="AB50" s="772">
        <f t="shared" ref="AB50:AB51" si="151">ROUNDUP((AP50+AL50)*V50,2)</f>
        <v>0</v>
      </c>
      <c r="AC50" s="772">
        <f t="shared" ref="AC50:AC51" si="152">_xlfn.IFNA(ROUNDUP((AT50+AV50+AR50)*V50,2),0)</f>
        <v>0</v>
      </c>
      <c r="AD50" s="772">
        <f t="shared" ref="AD50:AD51" si="153">_xlfn.IFNA(ROUNDUP((BA50+AY50)*V50,2),0)</f>
        <v>0</v>
      </c>
      <c r="AE50" s="772">
        <f t="shared" ref="AE50:AE51" si="154">_xlfn.IFNA((BC50+AX50+AG50)*V50,0)</f>
        <v>0</v>
      </c>
      <c r="AF50" s="774">
        <f t="shared" ref="AF50:AF51" si="155">+_xlfn.IFNA(D50,0)</f>
        <v>0</v>
      </c>
      <c r="AG50" s="772">
        <f t="shared" ref="AG50:AG51" si="156">_xlfn.IFNA(ROUNDUP(D50*S50,2),0)</f>
        <v>0</v>
      </c>
      <c r="AH50" s="772">
        <f t="shared" ref="AH50:AH51" si="157">+_xlfn.IFNA(C50,0)</f>
        <v>0</v>
      </c>
      <c r="AI50" s="769">
        <f t="shared" ref="AI50:AI51" si="158">_xlfn.IFNA(C50*S50,0)</f>
        <v>0</v>
      </c>
      <c r="AJ50" s="772">
        <f t="shared" ref="AJ50:AJ51" si="159">+_xlfn.IFNA(E50,0)</f>
        <v>0</v>
      </c>
      <c r="AK50" s="769">
        <f t="shared" ref="AK50:AK51" si="160">_xlfn.IFNA(E50*S50,0)</f>
        <v>0</v>
      </c>
      <c r="AL50" s="769">
        <f t="shared" ref="AL50:AL51" si="161">ROUNDUP(S50*AQ50,2)</f>
        <v>0</v>
      </c>
      <c r="AM50" s="769">
        <f t="shared" ref="AM50:AM51" si="162">ROUNDUP(+I50*S50,2)</f>
        <v>0</v>
      </c>
      <c r="AN50" s="769">
        <f t="shared" ref="AN50:AN51" si="163">J50*I50*S50</f>
        <v>0</v>
      </c>
      <c r="AO50" s="769">
        <f t="shared" ref="AO50:AO51" si="164">ROUNDUP(I50*I$4*J50,2)</f>
        <v>0</v>
      </c>
      <c r="AP50" s="769">
        <f t="shared" ref="AP50:AP51" si="165">AO50*S50</f>
        <v>0</v>
      </c>
      <c r="AQ50" s="769">
        <f t="shared" ref="AQ50:AQ51" si="166">IF(I50=0,0,ROUNDUP(I$4*I50,2))</f>
        <v>0</v>
      </c>
      <c r="AR50" s="769">
        <f t="shared" ref="AR50:AR51" si="167">+_xlfn.IFNA(ROUNDUP(L50*ROUNDUP(S50,1),2),0)</f>
        <v>0</v>
      </c>
      <c r="AS50" s="769">
        <v>0</v>
      </c>
      <c r="AT50" s="769">
        <f t="shared" ref="AT50:AT51" si="168">+ROUNDUP(AS50*S50,2)</f>
        <v>0</v>
      </c>
      <c r="AU50" s="769">
        <f t="shared" ref="AU50:AU51" si="169">_xlfn.IFNA(ROUNDUP((L50+AS50)*M50,2),0)</f>
        <v>0</v>
      </c>
      <c r="AV50" s="769">
        <f t="shared" ref="AV50:AV51" si="170">ROUNDUP(AU50*S50,2)</f>
        <v>0</v>
      </c>
      <c r="AW50" s="769">
        <f t="shared" ref="AW50:AW51" si="171">_xlfn.IFNA(ROUNDUP((L50+AS50+AU50)*(L$4)*L$3,2),0)</f>
        <v>0</v>
      </c>
      <c r="AX50" s="769">
        <f t="shared" ref="AX50:AX51" si="172">ROUNDUP(+AW50*ROUNDUP(S50,1),2)</f>
        <v>0</v>
      </c>
      <c r="AY50" s="769">
        <f t="shared" ref="AY50:AY51" si="173">_xlfn.IFNA(ROUNDUP(F50*S50,2),0)</f>
        <v>0</v>
      </c>
      <c r="AZ50" s="769">
        <f t="shared" ref="AZ50:AZ51" si="174">_xlfn.IFNA(ROUNDUP(F50*G50,2),0)</f>
        <v>0</v>
      </c>
      <c r="BA50" s="769">
        <f t="shared" ref="BA50:BA51" si="175">ROUNDUP(AZ50*S50,2)</f>
        <v>0</v>
      </c>
      <c r="BB50" s="769">
        <f t="shared" ref="BB50:BB51" si="176">_xlfn.IFNA(ROUNDUP((ROUNDUP(F50+AZ50,2)*F$4)*F$3,2),0)</f>
        <v>0</v>
      </c>
      <c r="BC50" s="769">
        <f t="shared" ref="BC50:BC51" si="177">BB50*S50</f>
        <v>0</v>
      </c>
      <c r="BD50" s="808"/>
      <c r="BE50" s="808"/>
      <c r="BF50" s="808"/>
      <c r="BG50" s="808"/>
      <c r="BH50" s="808"/>
      <c r="BI50" s="808"/>
      <c r="BJ50" s="808"/>
      <c r="BK50" s="769">
        <f t="shared" si="98"/>
        <v>0</v>
      </c>
      <c r="BL50" s="769">
        <f t="shared" si="99"/>
        <v>0</v>
      </c>
      <c r="BM50" s="769">
        <f t="shared" si="100"/>
        <v>0</v>
      </c>
      <c r="BN50" s="769">
        <f t="shared" si="101"/>
        <v>0</v>
      </c>
      <c r="BO50" s="769">
        <f t="shared" si="102"/>
        <v>0</v>
      </c>
      <c r="BP50" s="769">
        <f t="shared" si="103"/>
        <v>0</v>
      </c>
    </row>
    <row r="51" spans="1:68" ht="15.6">
      <c r="A51" s="762"/>
      <c r="B51" s="763">
        <v>0</v>
      </c>
      <c r="C51" s="763">
        <v>0</v>
      </c>
      <c r="D51" s="763">
        <v>0</v>
      </c>
      <c r="E51" s="763">
        <v>0</v>
      </c>
      <c r="F51" s="763">
        <v>0</v>
      </c>
      <c r="G51" s="689">
        <f t="shared" si="61"/>
        <v>0</v>
      </c>
      <c r="H51" s="764">
        <f t="shared" si="62"/>
        <v>0</v>
      </c>
      <c r="I51" s="763">
        <v>0</v>
      </c>
      <c r="J51" s="689">
        <f t="shared" si="63"/>
        <v>0</v>
      </c>
      <c r="K51" s="764">
        <f t="shared" si="64"/>
        <v>0</v>
      </c>
      <c r="L51" s="763">
        <v>0</v>
      </c>
      <c r="M51" s="689">
        <f t="shared" si="65"/>
        <v>0</v>
      </c>
      <c r="N51" s="765"/>
      <c r="O51" s="776"/>
      <c r="P51" s="776"/>
      <c r="Q51" s="777" t="s">
        <v>228</v>
      </c>
      <c r="R51" s="762" t="s">
        <v>211</v>
      </c>
      <c r="S51" s="768">
        <v>1</v>
      </c>
      <c r="T51" s="769">
        <f t="shared" si="146"/>
        <v>0</v>
      </c>
      <c r="U51" s="772">
        <f t="shared" si="147"/>
        <v>0</v>
      </c>
      <c r="V51" s="771">
        <v>0</v>
      </c>
      <c r="W51" s="772">
        <f t="shared" si="148"/>
        <v>0</v>
      </c>
      <c r="X51" s="773"/>
      <c r="Y51" s="773"/>
      <c r="Z51" s="772">
        <f t="shared" si="149"/>
        <v>0</v>
      </c>
      <c r="AA51" s="772">
        <f t="shared" si="150"/>
        <v>0</v>
      </c>
      <c r="AB51" s="772">
        <f t="shared" si="151"/>
        <v>0</v>
      </c>
      <c r="AC51" s="772">
        <f t="shared" si="152"/>
        <v>0</v>
      </c>
      <c r="AD51" s="772">
        <f t="shared" si="153"/>
        <v>0</v>
      </c>
      <c r="AE51" s="772">
        <f t="shared" si="154"/>
        <v>0</v>
      </c>
      <c r="AF51" s="774">
        <f t="shared" si="155"/>
        <v>0</v>
      </c>
      <c r="AG51" s="772">
        <f t="shared" si="156"/>
        <v>0</v>
      </c>
      <c r="AH51" s="772">
        <f t="shared" si="157"/>
        <v>0</v>
      </c>
      <c r="AI51" s="769">
        <f t="shared" si="158"/>
        <v>0</v>
      </c>
      <c r="AJ51" s="772">
        <f t="shared" si="159"/>
        <v>0</v>
      </c>
      <c r="AK51" s="769">
        <f t="shared" si="160"/>
        <v>0</v>
      </c>
      <c r="AL51" s="769">
        <f t="shared" si="161"/>
        <v>0</v>
      </c>
      <c r="AM51" s="769">
        <f t="shared" si="162"/>
        <v>0</v>
      </c>
      <c r="AN51" s="769">
        <f t="shared" si="163"/>
        <v>0</v>
      </c>
      <c r="AO51" s="769">
        <f t="shared" si="164"/>
        <v>0</v>
      </c>
      <c r="AP51" s="769">
        <f t="shared" si="165"/>
        <v>0</v>
      </c>
      <c r="AQ51" s="769">
        <f t="shared" si="166"/>
        <v>0</v>
      </c>
      <c r="AR51" s="769">
        <f t="shared" si="167"/>
        <v>0</v>
      </c>
      <c r="AS51" s="769">
        <v>0</v>
      </c>
      <c r="AT51" s="769">
        <f t="shared" si="168"/>
        <v>0</v>
      </c>
      <c r="AU51" s="769">
        <f t="shared" si="169"/>
        <v>0</v>
      </c>
      <c r="AV51" s="769">
        <f t="shared" si="170"/>
        <v>0</v>
      </c>
      <c r="AW51" s="769">
        <f t="shared" si="171"/>
        <v>0</v>
      </c>
      <c r="AX51" s="769">
        <f t="shared" si="172"/>
        <v>0</v>
      </c>
      <c r="AY51" s="769">
        <f t="shared" si="173"/>
        <v>0</v>
      </c>
      <c r="AZ51" s="769">
        <f t="shared" si="174"/>
        <v>0</v>
      </c>
      <c r="BA51" s="769">
        <f t="shared" si="175"/>
        <v>0</v>
      </c>
      <c r="BB51" s="769">
        <f t="shared" si="176"/>
        <v>0</v>
      </c>
      <c r="BC51" s="769">
        <f t="shared" si="177"/>
        <v>0</v>
      </c>
      <c r="BD51" s="808"/>
      <c r="BE51" s="808"/>
      <c r="BF51" s="808"/>
      <c r="BG51" s="808"/>
      <c r="BH51" s="808"/>
      <c r="BI51" s="808"/>
      <c r="BJ51" s="808"/>
      <c r="BK51" s="769">
        <f t="shared" si="98"/>
        <v>0</v>
      </c>
      <c r="BL51" s="769">
        <f t="shared" si="99"/>
        <v>0</v>
      </c>
      <c r="BM51" s="769">
        <f t="shared" si="100"/>
        <v>0</v>
      </c>
      <c r="BN51" s="769">
        <f t="shared" si="101"/>
        <v>0</v>
      </c>
      <c r="BO51" s="769">
        <f t="shared" si="102"/>
        <v>0</v>
      </c>
      <c r="BP51" s="769">
        <f t="shared" si="103"/>
        <v>0</v>
      </c>
    </row>
    <row r="52" spans="1:68" ht="15.6">
      <c r="A52" s="762"/>
      <c r="B52" s="763"/>
      <c r="C52" s="763"/>
      <c r="D52" s="763"/>
      <c r="E52" s="763"/>
      <c r="F52" s="763"/>
      <c r="G52" s="689"/>
      <c r="H52" s="764"/>
      <c r="I52" s="763"/>
      <c r="J52" s="689"/>
      <c r="K52" s="764"/>
      <c r="L52" s="763"/>
      <c r="M52" s="689"/>
      <c r="N52" s="765"/>
      <c r="O52" s="776"/>
      <c r="P52" s="776"/>
      <c r="Q52" s="777"/>
      <c r="R52" s="762"/>
      <c r="S52" s="768"/>
      <c r="T52" s="769"/>
      <c r="U52" s="772"/>
      <c r="V52" s="771"/>
      <c r="W52" s="772"/>
      <c r="X52" s="805"/>
      <c r="Y52" s="805"/>
      <c r="Z52" s="772"/>
      <c r="AA52" s="772"/>
      <c r="AB52" s="772"/>
      <c r="AC52" s="772"/>
      <c r="AD52" s="772"/>
      <c r="AE52" s="772"/>
      <c r="AF52" s="772"/>
      <c r="AG52" s="772"/>
      <c r="AH52" s="772"/>
      <c r="AI52" s="769"/>
      <c r="AJ52" s="772"/>
      <c r="AK52" s="769"/>
      <c r="AL52" s="769"/>
      <c r="AM52" s="769"/>
      <c r="AN52" s="769"/>
      <c r="AO52" s="769"/>
      <c r="AP52" s="769"/>
      <c r="AQ52" s="769"/>
      <c r="AR52" s="769"/>
      <c r="AS52" s="769"/>
      <c r="AT52" s="769"/>
      <c r="AU52" s="769"/>
      <c r="AV52" s="769"/>
      <c r="AW52" s="769"/>
      <c r="AX52" s="769"/>
      <c r="AY52" s="769"/>
      <c r="AZ52" s="769"/>
      <c r="BA52" s="769"/>
      <c r="BB52" s="769"/>
      <c r="BC52" s="769"/>
      <c r="BD52" s="808"/>
      <c r="BE52" s="808"/>
      <c r="BF52" s="808"/>
      <c r="BG52" s="808"/>
      <c r="BH52" s="808"/>
      <c r="BI52" s="808"/>
      <c r="BJ52" s="808"/>
      <c r="BK52" s="769"/>
      <c r="BL52" s="769"/>
      <c r="BM52" s="769"/>
      <c r="BN52" s="769"/>
      <c r="BO52" s="769"/>
      <c r="BP52" s="769"/>
    </row>
    <row r="53" spans="1:68" ht="15.6">
      <c r="A53" s="762"/>
      <c r="B53" s="763"/>
      <c r="C53" s="763"/>
      <c r="D53" s="763"/>
      <c r="E53" s="763"/>
      <c r="F53" s="763"/>
      <c r="G53" s="689"/>
      <c r="H53" s="764"/>
      <c r="I53" s="763"/>
      <c r="J53" s="689"/>
      <c r="K53" s="764"/>
      <c r="L53" s="763"/>
      <c r="M53" s="689"/>
      <c r="N53" s="765"/>
      <c r="O53" s="766">
        <v>7</v>
      </c>
      <c r="P53" s="766" t="s">
        <v>229</v>
      </c>
      <c r="Q53" s="767"/>
      <c r="R53" s="762"/>
      <c r="S53" s="768"/>
      <c r="T53" s="769"/>
      <c r="U53" s="770" t="s">
        <v>437</v>
      </c>
      <c r="V53" s="771"/>
      <c r="W53" s="772"/>
      <c r="X53" s="805"/>
      <c r="Y53" s="805"/>
      <c r="Z53" s="772"/>
      <c r="AA53" s="772"/>
      <c r="AB53" s="772"/>
      <c r="AC53" s="772"/>
      <c r="AD53" s="772"/>
      <c r="AE53" s="772"/>
      <c r="AF53" s="772"/>
      <c r="AG53" s="772"/>
      <c r="AH53" s="772"/>
      <c r="AI53" s="769"/>
      <c r="AJ53" s="772"/>
      <c r="AK53" s="769"/>
      <c r="AL53" s="769"/>
      <c r="AM53" s="769"/>
      <c r="AN53" s="769"/>
      <c r="AO53" s="769"/>
      <c r="AP53" s="769"/>
      <c r="AQ53" s="769"/>
      <c r="AR53" s="769"/>
      <c r="AS53" s="769"/>
      <c r="AT53" s="769"/>
      <c r="AU53" s="769"/>
      <c r="AV53" s="769"/>
      <c r="AW53" s="769"/>
      <c r="AX53" s="769"/>
      <c r="AY53" s="769"/>
      <c r="AZ53" s="769"/>
      <c r="BA53" s="769"/>
      <c r="BB53" s="769"/>
      <c r="BC53" s="769"/>
      <c r="BD53" s="808"/>
      <c r="BE53" s="808"/>
      <c r="BF53" s="808"/>
      <c r="BG53" s="808"/>
      <c r="BH53" s="808"/>
      <c r="BI53" s="808"/>
      <c r="BJ53" s="808"/>
      <c r="BK53" s="769"/>
      <c r="BL53" s="769"/>
      <c r="BM53" s="769"/>
      <c r="BN53" s="769"/>
      <c r="BO53" s="769"/>
      <c r="BP53" s="769"/>
    </row>
    <row r="54" spans="1:68" ht="15.6">
      <c r="A54" s="762"/>
      <c r="B54" s="763"/>
      <c r="C54" s="763"/>
      <c r="D54" s="763"/>
      <c r="E54" s="763"/>
      <c r="F54" s="763"/>
      <c r="G54" s="689"/>
      <c r="H54" s="764"/>
      <c r="I54" s="763"/>
      <c r="J54" s="689"/>
      <c r="K54" s="764"/>
      <c r="L54" s="763"/>
      <c r="M54" s="689"/>
      <c r="N54" s="765"/>
      <c r="O54" s="776"/>
      <c r="P54" s="776"/>
      <c r="Q54" s="777"/>
      <c r="R54" s="762"/>
      <c r="S54" s="768"/>
      <c r="T54" s="769"/>
      <c r="U54" s="772"/>
      <c r="V54" s="771"/>
      <c r="W54" s="772"/>
      <c r="X54" s="805"/>
      <c r="Y54" s="805"/>
      <c r="Z54" s="772"/>
      <c r="AA54" s="772"/>
      <c r="AB54" s="772"/>
      <c r="AC54" s="772"/>
      <c r="AD54" s="772"/>
      <c r="AE54" s="772"/>
      <c r="AF54" s="772"/>
      <c r="AG54" s="772"/>
      <c r="AH54" s="772"/>
      <c r="AI54" s="769"/>
      <c r="AJ54" s="772"/>
      <c r="AK54" s="769"/>
      <c r="AL54" s="769"/>
      <c r="AM54" s="769"/>
      <c r="AN54" s="769"/>
      <c r="AO54" s="769"/>
      <c r="AP54" s="769"/>
      <c r="AQ54" s="769"/>
      <c r="AR54" s="769"/>
      <c r="AS54" s="769"/>
      <c r="AT54" s="769"/>
      <c r="AU54" s="769"/>
      <c r="AV54" s="769"/>
      <c r="AW54" s="769"/>
      <c r="AX54" s="769"/>
      <c r="AY54" s="769"/>
      <c r="AZ54" s="769"/>
      <c r="BA54" s="769"/>
      <c r="BB54" s="769"/>
      <c r="BC54" s="769"/>
      <c r="BD54" s="808"/>
      <c r="BE54" s="808"/>
      <c r="BF54" s="808"/>
      <c r="BG54" s="808"/>
      <c r="BH54" s="808"/>
      <c r="BI54" s="808"/>
      <c r="BJ54" s="808"/>
      <c r="BK54" s="769"/>
      <c r="BL54" s="769"/>
      <c r="BM54" s="769"/>
      <c r="BN54" s="769"/>
      <c r="BO54" s="769"/>
      <c r="BP54" s="769"/>
    </row>
    <row r="55" spans="1:68" ht="15.6">
      <c r="A55" s="762"/>
      <c r="B55" s="763">
        <v>0</v>
      </c>
      <c r="C55" s="763">
        <v>0</v>
      </c>
      <c r="D55" s="763">
        <v>0</v>
      </c>
      <c r="E55" s="763">
        <v>0</v>
      </c>
      <c r="F55" s="763">
        <v>0</v>
      </c>
      <c r="G55" s="689">
        <f t="shared" si="61"/>
        <v>0</v>
      </c>
      <c r="H55" s="764">
        <f t="shared" si="62"/>
        <v>0</v>
      </c>
      <c r="I55" s="763">
        <v>0</v>
      </c>
      <c r="J55" s="689">
        <f t="shared" si="63"/>
        <v>0</v>
      </c>
      <c r="K55" s="764">
        <f t="shared" si="64"/>
        <v>0</v>
      </c>
      <c r="L55" s="763">
        <v>0</v>
      </c>
      <c r="M55" s="689">
        <f t="shared" si="65"/>
        <v>0</v>
      </c>
      <c r="N55" s="765"/>
      <c r="O55" s="776"/>
      <c r="P55" s="776"/>
      <c r="Q55" s="777" t="s">
        <v>230</v>
      </c>
      <c r="R55" s="762" t="s">
        <v>231</v>
      </c>
      <c r="S55" s="768">
        <v>1</v>
      </c>
      <c r="T55" s="769">
        <f t="shared" ref="T55:T67" si="178">_xlfn.IFNA(ROUNDUP(AF55+AJ55+AO55+AQ55+L55+AS55+AU55+AW55+F55+AZ55+BB55,2),0)</f>
        <v>0</v>
      </c>
      <c r="U55" s="772">
        <f t="shared" ref="U55:U67" si="179">ROUND(T55*ROUNDUP(S55,1),2)</f>
        <v>0</v>
      </c>
      <c r="V55" s="771">
        <v>0</v>
      </c>
      <c r="W55" s="772">
        <f t="shared" ref="W55:W67" si="180">ROUND(+U55*V55,2)</f>
        <v>0</v>
      </c>
      <c r="X55" s="773"/>
      <c r="Y55" s="773"/>
      <c r="Z55" s="772">
        <f t="shared" ref="Z55:Z67" si="181">_xlfn.IFNA(ROUNDUP(AJ55*U55,2),0)</f>
        <v>0</v>
      </c>
      <c r="AA55" s="772">
        <f t="shared" ref="AA55:AA67" si="182">_xlfn.IFNA(ROUNDUP(AK55*V55,2),0)</f>
        <v>0</v>
      </c>
      <c r="AB55" s="772">
        <f t="shared" ref="AB55:AB67" si="183">ROUNDUP((AP55+AL55)*V55,2)</f>
        <v>0</v>
      </c>
      <c r="AC55" s="772">
        <f t="shared" ref="AC55:AC67" si="184">_xlfn.IFNA(ROUNDUP((AT55+AV55+AR55)*V55,2),0)</f>
        <v>0</v>
      </c>
      <c r="AD55" s="772">
        <f t="shared" ref="AD55:AD67" si="185">_xlfn.IFNA(ROUNDUP((BA55+AY55)*V55,2),0)</f>
        <v>0</v>
      </c>
      <c r="AE55" s="772">
        <f t="shared" ref="AE55:AE67" si="186">_xlfn.IFNA((BC55+AX55+AG55)*V55,0)</f>
        <v>0</v>
      </c>
      <c r="AF55" s="774">
        <f t="shared" ref="AF55:AF67" si="187">+_xlfn.IFNA(D55,0)</f>
        <v>0</v>
      </c>
      <c r="AG55" s="772">
        <f t="shared" ref="AG55:AG67" si="188">_xlfn.IFNA(ROUNDUP(D55*S55,2),0)</f>
        <v>0</v>
      </c>
      <c r="AH55" s="772">
        <f t="shared" ref="AH55:AH67" si="189">+_xlfn.IFNA(C55,0)</f>
        <v>0</v>
      </c>
      <c r="AI55" s="769">
        <f t="shared" ref="AI55:AI67" si="190">_xlfn.IFNA(C55*S55,0)</f>
        <v>0</v>
      </c>
      <c r="AJ55" s="772">
        <f t="shared" ref="AJ55:AJ67" si="191">+_xlfn.IFNA(E55,0)</f>
        <v>0</v>
      </c>
      <c r="AK55" s="769">
        <f t="shared" ref="AK55:AK67" si="192">_xlfn.IFNA(E55*S55,0)</f>
        <v>0</v>
      </c>
      <c r="AL55" s="769">
        <f t="shared" ref="AL55:AL67" si="193">ROUNDUP(S55*AQ55,2)</f>
        <v>0</v>
      </c>
      <c r="AM55" s="769">
        <f t="shared" ref="AM55:AM67" si="194">ROUNDUP(+I55*S55,2)</f>
        <v>0</v>
      </c>
      <c r="AN55" s="769">
        <f t="shared" ref="AN55:AN67" si="195">J55*I55*S55</f>
        <v>0</v>
      </c>
      <c r="AO55" s="769">
        <f t="shared" ref="AO55:AO67" si="196">ROUNDUP(I55*I$4*J55,2)</f>
        <v>0</v>
      </c>
      <c r="AP55" s="769">
        <f t="shared" ref="AP55:AP67" si="197">AO55*S55</f>
        <v>0</v>
      </c>
      <c r="AQ55" s="769">
        <f t="shared" ref="AQ55:AQ67" si="198">IF(I55=0,0,ROUNDUP(I$4*I55,2))</f>
        <v>0</v>
      </c>
      <c r="AR55" s="769">
        <f t="shared" ref="AR55:AR67" si="199">+_xlfn.IFNA(ROUNDUP(L55*ROUNDUP(S55,1),2),0)</f>
        <v>0</v>
      </c>
      <c r="AS55" s="769">
        <v>0</v>
      </c>
      <c r="AT55" s="769">
        <f t="shared" ref="AT55:AT67" si="200">+ROUNDUP(AS55*S55,2)</f>
        <v>0</v>
      </c>
      <c r="AU55" s="769">
        <f t="shared" ref="AU55:AU67" si="201">_xlfn.IFNA(ROUNDUP((L55+AS55)*M55,2),0)</f>
        <v>0</v>
      </c>
      <c r="AV55" s="769">
        <f t="shared" ref="AV55:AV67" si="202">ROUNDUP(AU55*S55,2)</f>
        <v>0</v>
      </c>
      <c r="AW55" s="769">
        <f t="shared" ref="AW55:AW67" si="203">_xlfn.IFNA(ROUNDUP((L55+AS55+AU55)*(L$4)*L$3,2),0)</f>
        <v>0</v>
      </c>
      <c r="AX55" s="769">
        <f t="shared" ref="AX55:AX67" si="204">ROUNDUP(+AW55*ROUNDUP(S55,1),2)</f>
        <v>0</v>
      </c>
      <c r="AY55" s="769">
        <f t="shared" ref="AY55:AY67" si="205">_xlfn.IFNA(ROUNDUP(F55*S55,2),0)</f>
        <v>0</v>
      </c>
      <c r="AZ55" s="769">
        <f t="shared" ref="AZ55:AZ67" si="206">_xlfn.IFNA(ROUNDUP(F55*G55,2),0)</f>
        <v>0</v>
      </c>
      <c r="BA55" s="769">
        <f t="shared" ref="BA55:BA67" si="207">ROUNDUP(AZ55*S55,2)</f>
        <v>0</v>
      </c>
      <c r="BB55" s="769">
        <f t="shared" ref="BB55:BB67" si="208">_xlfn.IFNA(ROUNDUP((ROUNDUP(F55+AZ55,2)*F$4)*F$3,2),0)</f>
        <v>0</v>
      </c>
      <c r="BC55" s="769">
        <f t="shared" ref="BC55:BC67" si="209">BB55*S55</f>
        <v>0</v>
      </c>
      <c r="BD55" s="808"/>
      <c r="BE55" s="808"/>
      <c r="BF55" s="808"/>
      <c r="BG55" s="808"/>
      <c r="BH55" s="808"/>
      <c r="BI55" s="808"/>
      <c r="BJ55" s="808"/>
      <c r="BK55" s="769">
        <f t="shared" si="98"/>
        <v>0</v>
      </c>
      <c r="BL55" s="769">
        <f t="shared" si="99"/>
        <v>0</v>
      </c>
      <c r="BM55" s="769">
        <f t="shared" si="100"/>
        <v>0</v>
      </c>
      <c r="BN55" s="769">
        <f t="shared" si="101"/>
        <v>0</v>
      </c>
      <c r="BO55" s="769">
        <f t="shared" si="102"/>
        <v>0</v>
      </c>
      <c r="BP55" s="769">
        <f t="shared" si="103"/>
        <v>0</v>
      </c>
    </row>
    <row r="56" spans="1:68" ht="15.6">
      <c r="A56" s="762"/>
      <c r="B56" s="763">
        <v>0</v>
      </c>
      <c r="C56" s="763">
        <v>0</v>
      </c>
      <c r="D56" s="763">
        <v>0</v>
      </c>
      <c r="E56" s="763">
        <v>0</v>
      </c>
      <c r="F56" s="763">
        <v>0</v>
      </c>
      <c r="G56" s="689">
        <f t="shared" si="61"/>
        <v>0</v>
      </c>
      <c r="H56" s="764">
        <f t="shared" si="62"/>
        <v>0</v>
      </c>
      <c r="I56" s="763">
        <v>0</v>
      </c>
      <c r="J56" s="689">
        <f t="shared" si="63"/>
        <v>0</v>
      </c>
      <c r="K56" s="764">
        <f t="shared" si="64"/>
        <v>0</v>
      </c>
      <c r="L56" s="763">
        <v>0</v>
      </c>
      <c r="M56" s="689">
        <f t="shared" si="65"/>
        <v>0</v>
      </c>
      <c r="N56" s="765"/>
      <c r="O56" s="776"/>
      <c r="P56" s="776"/>
      <c r="Q56" s="777" t="s">
        <v>232</v>
      </c>
      <c r="R56" s="762" t="s">
        <v>231</v>
      </c>
      <c r="S56" s="768">
        <v>1</v>
      </c>
      <c r="T56" s="769">
        <f t="shared" si="178"/>
        <v>0</v>
      </c>
      <c r="U56" s="772">
        <f t="shared" si="179"/>
        <v>0</v>
      </c>
      <c r="V56" s="771">
        <v>0</v>
      </c>
      <c r="W56" s="772">
        <f t="shared" si="180"/>
        <v>0</v>
      </c>
      <c r="X56" s="773"/>
      <c r="Y56" s="773"/>
      <c r="Z56" s="772">
        <f t="shared" si="181"/>
        <v>0</v>
      </c>
      <c r="AA56" s="772">
        <f t="shared" si="182"/>
        <v>0</v>
      </c>
      <c r="AB56" s="772">
        <f t="shared" si="183"/>
        <v>0</v>
      </c>
      <c r="AC56" s="772">
        <f t="shared" si="184"/>
        <v>0</v>
      </c>
      <c r="AD56" s="772">
        <f t="shared" si="185"/>
        <v>0</v>
      </c>
      <c r="AE56" s="772">
        <f t="shared" si="186"/>
        <v>0</v>
      </c>
      <c r="AF56" s="774">
        <f t="shared" si="187"/>
        <v>0</v>
      </c>
      <c r="AG56" s="772">
        <f t="shared" si="188"/>
        <v>0</v>
      </c>
      <c r="AH56" s="772">
        <f t="shared" si="189"/>
        <v>0</v>
      </c>
      <c r="AI56" s="769">
        <f t="shared" si="190"/>
        <v>0</v>
      </c>
      <c r="AJ56" s="772">
        <f t="shared" si="191"/>
        <v>0</v>
      </c>
      <c r="AK56" s="769">
        <f t="shared" si="192"/>
        <v>0</v>
      </c>
      <c r="AL56" s="769">
        <f t="shared" si="193"/>
        <v>0</v>
      </c>
      <c r="AM56" s="769">
        <f t="shared" si="194"/>
        <v>0</v>
      </c>
      <c r="AN56" s="769">
        <f t="shared" si="195"/>
        <v>0</v>
      </c>
      <c r="AO56" s="769">
        <f t="shared" si="196"/>
        <v>0</v>
      </c>
      <c r="AP56" s="769">
        <f t="shared" si="197"/>
        <v>0</v>
      </c>
      <c r="AQ56" s="769">
        <f t="shared" si="198"/>
        <v>0</v>
      </c>
      <c r="AR56" s="769">
        <f t="shared" si="199"/>
        <v>0</v>
      </c>
      <c r="AS56" s="769">
        <v>0</v>
      </c>
      <c r="AT56" s="769">
        <f t="shared" si="200"/>
        <v>0</v>
      </c>
      <c r="AU56" s="769">
        <f t="shared" si="201"/>
        <v>0</v>
      </c>
      <c r="AV56" s="769">
        <f t="shared" si="202"/>
        <v>0</v>
      </c>
      <c r="AW56" s="769">
        <f t="shared" si="203"/>
        <v>0</v>
      </c>
      <c r="AX56" s="769">
        <f t="shared" si="204"/>
        <v>0</v>
      </c>
      <c r="AY56" s="769">
        <f t="shared" si="205"/>
        <v>0</v>
      </c>
      <c r="AZ56" s="769">
        <f t="shared" si="206"/>
        <v>0</v>
      </c>
      <c r="BA56" s="769">
        <f t="shared" si="207"/>
        <v>0</v>
      </c>
      <c r="BB56" s="769">
        <f t="shared" si="208"/>
        <v>0</v>
      </c>
      <c r="BC56" s="769">
        <f t="shared" si="209"/>
        <v>0</v>
      </c>
      <c r="BD56" s="808"/>
      <c r="BE56" s="808"/>
      <c r="BF56" s="808"/>
      <c r="BG56" s="808"/>
      <c r="BH56" s="808"/>
      <c r="BI56" s="808"/>
      <c r="BJ56" s="808"/>
      <c r="BK56" s="769">
        <f t="shared" si="98"/>
        <v>0</v>
      </c>
      <c r="BL56" s="769">
        <f t="shared" si="99"/>
        <v>0</v>
      </c>
      <c r="BM56" s="769">
        <f t="shared" si="100"/>
        <v>0</v>
      </c>
      <c r="BN56" s="769">
        <f t="shared" si="101"/>
        <v>0</v>
      </c>
      <c r="BO56" s="769">
        <f t="shared" si="102"/>
        <v>0</v>
      </c>
      <c r="BP56" s="769">
        <f t="shared" si="103"/>
        <v>0</v>
      </c>
    </row>
    <row r="57" spans="1:68" ht="15.6">
      <c r="A57" s="762"/>
      <c r="B57" s="763">
        <v>0</v>
      </c>
      <c r="C57" s="763">
        <v>0</v>
      </c>
      <c r="D57" s="763">
        <v>0</v>
      </c>
      <c r="E57" s="763">
        <v>0</v>
      </c>
      <c r="F57" s="763">
        <v>0</v>
      </c>
      <c r="G57" s="689">
        <f t="shared" si="61"/>
        <v>0</v>
      </c>
      <c r="H57" s="764">
        <f t="shared" si="62"/>
        <v>0</v>
      </c>
      <c r="I57" s="763">
        <v>0</v>
      </c>
      <c r="J57" s="689">
        <f t="shared" si="63"/>
        <v>0</v>
      </c>
      <c r="K57" s="764">
        <f t="shared" si="64"/>
        <v>0</v>
      </c>
      <c r="L57" s="763">
        <v>0</v>
      </c>
      <c r="M57" s="689">
        <f t="shared" si="65"/>
        <v>0</v>
      </c>
      <c r="N57" s="765"/>
      <c r="O57" s="776"/>
      <c r="P57" s="776"/>
      <c r="Q57" s="777" t="s">
        <v>233</v>
      </c>
      <c r="R57" s="762" t="s">
        <v>231</v>
      </c>
      <c r="S57" s="768">
        <v>1</v>
      </c>
      <c r="T57" s="769">
        <f t="shared" si="178"/>
        <v>0</v>
      </c>
      <c r="U57" s="772">
        <f t="shared" si="179"/>
        <v>0</v>
      </c>
      <c r="V57" s="771">
        <v>0</v>
      </c>
      <c r="W57" s="772">
        <f t="shared" si="180"/>
        <v>0</v>
      </c>
      <c r="X57" s="773"/>
      <c r="Y57" s="773"/>
      <c r="Z57" s="772">
        <f t="shared" si="181"/>
        <v>0</v>
      </c>
      <c r="AA57" s="772">
        <f t="shared" si="182"/>
        <v>0</v>
      </c>
      <c r="AB57" s="772">
        <f t="shared" si="183"/>
        <v>0</v>
      </c>
      <c r="AC57" s="772">
        <f t="shared" si="184"/>
        <v>0</v>
      </c>
      <c r="AD57" s="772">
        <f t="shared" si="185"/>
        <v>0</v>
      </c>
      <c r="AE57" s="772">
        <f t="shared" si="186"/>
        <v>0</v>
      </c>
      <c r="AF57" s="774">
        <f t="shared" si="187"/>
        <v>0</v>
      </c>
      <c r="AG57" s="772">
        <f t="shared" si="188"/>
        <v>0</v>
      </c>
      <c r="AH57" s="772">
        <f t="shared" si="189"/>
        <v>0</v>
      </c>
      <c r="AI57" s="769">
        <f t="shared" si="190"/>
        <v>0</v>
      </c>
      <c r="AJ57" s="772">
        <f t="shared" si="191"/>
        <v>0</v>
      </c>
      <c r="AK57" s="769">
        <f t="shared" si="192"/>
        <v>0</v>
      </c>
      <c r="AL57" s="769">
        <f t="shared" si="193"/>
        <v>0</v>
      </c>
      <c r="AM57" s="769">
        <f t="shared" si="194"/>
        <v>0</v>
      </c>
      <c r="AN57" s="769">
        <f t="shared" si="195"/>
        <v>0</v>
      </c>
      <c r="AO57" s="769">
        <f t="shared" si="196"/>
        <v>0</v>
      </c>
      <c r="AP57" s="769">
        <f t="shared" si="197"/>
        <v>0</v>
      </c>
      <c r="AQ57" s="769">
        <f t="shared" si="198"/>
        <v>0</v>
      </c>
      <c r="AR57" s="769">
        <f t="shared" si="199"/>
        <v>0</v>
      </c>
      <c r="AS57" s="769">
        <v>0</v>
      </c>
      <c r="AT57" s="769">
        <f t="shared" si="200"/>
        <v>0</v>
      </c>
      <c r="AU57" s="769">
        <f t="shared" si="201"/>
        <v>0</v>
      </c>
      <c r="AV57" s="769">
        <f t="shared" si="202"/>
        <v>0</v>
      </c>
      <c r="AW57" s="769">
        <f t="shared" si="203"/>
        <v>0</v>
      </c>
      <c r="AX57" s="769">
        <f t="shared" si="204"/>
        <v>0</v>
      </c>
      <c r="AY57" s="769">
        <f t="shared" si="205"/>
        <v>0</v>
      </c>
      <c r="AZ57" s="769">
        <f t="shared" si="206"/>
        <v>0</v>
      </c>
      <c r="BA57" s="769">
        <f t="shared" si="207"/>
        <v>0</v>
      </c>
      <c r="BB57" s="769">
        <f t="shared" si="208"/>
        <v>0</v>
      </c>
      <c r="BC57" s="769">
        <f t="shared" si="209"/>
        <v>0</v>
      </c>
      <c r="BD57" s="808"/>
      <c r="BE57" s="808"/>
      <c r="BF57" s="808"/>
      <c r="BG57" s="808"/>
      <c r="BH57" s="808"/>
      <c r="BI57" s="808"/>
      <c r="BJ57" s="808"/>
      <c r="BK57" s="769">
        <f t="shared" si="98"/>
        <v>0</v>
      </c>
      <c r="BL57" s="769">
        <f t="shared" si="99"/>
        <v>0</v>
      </c>
      <c r="BM57" s="769">
        <f t="shared" si="100"/>
        <v>0</v>
      </c>
      <c r="BN57" s="769">
        <f t="shared" si="101"/>
        <v>0</v>
      </c>
      <c r="BO57" s="769">
        <f t="shared" si="102"/>
        <v>0</v>
      </c>
      <c r="BP57" s="769">
        <f t="shared" si="103"/>
        <v>0</v>
      </c>
    </row>
    <row r="58" spans="1:68" ht="15.6">
      <c r="A58" s="762"/>
      <c r="B58" s="763">
        <v>0</v>
      </c>
      <c r="C58" s="763">
        <v>0</v>
      </c>
      <c r="D58" s="763">
        <v>0</v>
      </c>
      <c r="E58" s="763">
        <v>0</v>
      </c>
      <c r="F58" s="763">
        <v>0</v>
      </c>
      <c r="G58" s="689">
        <f t="shared" si="61"/>
        <v>0</v>
      </c>
      <c r="H58" s="764">
        <f t="shared" si="62"/>
        <v>0</v>
      </c>
      <c r="I58" s="763">
        <v>0</v>
      </c>
      <c r="J58" s="689">
        <f t="shared" si="63"/>
        <v>0</v>
      </c>
      <c r="K58" s="764">
        <f t="shared" si="64"/>
        <v>0</v>
      </c>
      <c r="L58" s="763">
        <v>0</v>
      </c>
      <c r="M58" s="689">
        <f t="shared" si="65"/>
        <v>0</v>
      </c>
      <c r="N58" s="765"/>
      <c r="O58" s="776"/>
      <c r="P58" s="776"/>
      <c r="Q58" s="777" t="s">
        <v>234</v>
      </c>
      <c r="R58" s="762" t="s">
        <v>231</v>
      </c>
      <c r="S58" s="768">
        <v>1</v>
      </c>
      <c r="T58" s="769">
        <f t="shared" si="178"/>
        <v>0</v>
      </c>
      <c r="U58" s="772">
        <f t="shared" si="179"/>
        <v>0</v>
      </c>
      <c r="V58" s="771">
        <v>0</v>
      </c>
      <c r="W58" s="772">
        <f t="shared" si="180"/>
        <v>0</v>
      </c>
      <c r="X58" s="773"/>
      <c r="Y58" s="773"/>
      <c r="Z58" s="772">
        <f t="shared" si="181"/>
        <v>0</v>
      </c>
      <c r="AA58" s="772">
        <f t="shared" si="182"/>
        <v>0</v>
      </c>
      <c r="AB58" s="772">
        <f t="shared" si="183"/>
        <v>0</v>
      </c>
      <c r="AC58" s="772">
        <f t="shared" si="184"/>
        <v>0</v>
      </c>
      <c r="AD58" s="772">
        <f t="shared" si="185"/>
        <v>0</v>
      </c>
      <c r="AE58" s="772">
        <f t="shared" si="186"/>
        <v>0</v>
      </c>
      <c r="AF58" s="774">
        <f t="shared" si="187"/>
        <v>0</v>
      </c>
      <c r="AG58" s="772">
        <f t="shared" si="188"/>
        <v>0</v>
      </c>
      <c r="AH58" s="772">
        <f t="shared" si="189"/>
        <v>0</v>
      </c>
      <c r="AI58" s="769">
        <f t="shared" si="190"/>
        <v>0</v>
      </c>
      <c r="AJ58" s="772">
        <f t="shared" si="191"/>
        <v>0</v>
      </c>
      <c r="AK58" s="769">
        <f t="shared" si="192"/>
        <v>0</v>
      </c>
      <c r="AL58" s="769">
        <f t="shared" si="193"/>
        <v>0</v>
      </c>
      <c r="AM58" s="769">
        <f t="shared" si="194"/>
        <v>0</v>
      </c>
      <c r="AN58" s="769">
        <f t="shared" si="195"/>
        <v>0</v>
      </c>
      <c r="AO58" s="769">
        <f t="shared" si="196"/>
        <v>0</v>
      </c>
      <c r="AP58" s="769">
        <f t="shared" si="197"/>
        <v>0</v>
      </c>
      <c r="AQ58" s="769">
        <f t="shared" si="198"/>
        <v>0</v>
      </c>
      <c r="AR58" s="769">
        <f t="shared" si="199"/>
        <v>0</v>
      </c>
      <c r="AS58" s="769">
        <v>0</v>
      </c>
      <c r="AT58" s="769">
        <f t="shared" si="200"/>
        <v>0</v>
      </c>
      <c r="AU58" s="769">
        <f t="shared" si="201"/>
        <v>0</v>
      </c>
      <c r="AV58" s="769">
        <f t="shared" si="202"/>
        <v>0</v>
      </c>
      <c r="AW58" s="769">
        <f t="shared" si="203"/>
        <v>0</v>
      </c>
      <c r="AX58" s="769">
        <f t="shared" si="204"/>
        <v>0</v>
      </c>
      <c r="AY58" s="769">
        <f t="shared" si="205"/>
        <v>0</v>
      </c>
      <c r="AZ58" s="769">
        <f t="shared" si="206"/>
        <v>0</v>
      </c>
      <c r="BA58" s="769">
        <f t="shared" si="207"/>
        <v>0</v>
      </c>
      <c r="BB58" s="769">
        <f t="shared" si="208"/>
        <v>0</v>
      </c>
      <c r="BC58" s="769">
        <f t="shared" si="209"/>
        <v>0</v>
      </c>
      <c r="BD58" s="808"/>
      <c r="BE58" s="808"/>
      <c r="BF58" s="808"/>
      <c r="BG58" s="808"/>
      <c r="BH58" s="808"/>
      <c r="BI58" s="808"/>
      <c r="BJ58" s="808"/>
      <c r="BK58" s="769">
        <f t="shared" si="98"/>
        <v>0</v>
      </c>
      <c r="BL58" s="769">
        <f t="shared" si="99"/>
        <v>0</v>
      </c>
      <c r="BM58" s="769">
        <f t="shared" si="100"/>
        <v>0</v>
      </c>
      <c r="BN58" s="769">
        <f t="shared" si="101"/>
        <v>0</v>
      </c>
      <c r="BO58" s="769">
        <f t="shared" si="102"/>
        <v>0</v>
      </c>
      <c r="BP58" s="769">
        <f t="shared" si="103"/>
        <v>0</v>
      </c>
    </row>
    <row r="59" spans="1:68" ht="15.6">
      <c r="A59" s="762"/>
      <c r="B59" s="763">
        <v>0</v>
      </c>
      <c r="C59" s="763">
        <v>0</v>
      </c>
      <c r="D59" s="763">
        <v>0</v>
      </c>
      <c r="E59" s="763">
        <v>0</v>
      </c>
      <c r="F59" s="763">
        <v>0</v>
      </c>
      <c r="G59" s="689">
        <f t="shared" si="61"/>
        <v>0</v>
      </c>
      <c r="H59" s="764">
        <f t="shared" si="62"/>
        <v>0</v>
      </c>
      <c r="I59" s="763">
        <v>0</v>
      </c>
      <c r="J59" s="689">
        <f t="shared" si="63"/>
        <v>0</v>
      </c>
      <c r="K59" s="764">
        <f t="shared" si="64"/>
        <v>0</v>
      </c>
      <c r="L59" s="763">
        <v>0</v>
      </c>
      <c r="M59" s="689">
        <f t="shared" si="65"/>
        <v>0</v>
      </c>
      <c r="N59" s="765"/>
      <c r="O59" s="776"/>
      <c r="P59" s="776"/>
      <c r="Q59" s="777" t="s">
        <v>235</v>
      </c>
      <c r="R59" s="762" t="s">
        <v>236</v>
      </c>
      <c r="S59" s="768">
        <v>1</v>
      </c>
      <c r="T59" s="769">
        <f t="shared" si="178"/>
        <v>0</v>
      </c>
      <c r="U59" s="772">
        <f t="shared" si="179"/>
        <v>0</v>
      </c>
      <c r="V59" s="771">
        <v>0</v>
      </c>
      <c r="W59" s="772">
        <f t="shared" si="180"/>
        <v>0</v>
      </c>
      <c r="X59" s="773"/>
      <c r="Y59" s="773"/>
      <c r="Z59" s="772">
        <f t="shared" si="181"/>
        <v>0</v>
      </c>
      <c r="AA59" s="772">
        <f t="shared" si="182"/>
        <v>0</v>
      </c>
      <c r="AB59" s="772">
        <f t="shared" si="183"/>
        <v>0</v>
      </c>
      <c r="AC59" s="772">
        <f t="shared" si="184"/>
        <v>0</v>
      </c>
      <c r="AD59" s="772">
        <f t="shared" si="185"/>
        <v>0</v>
      </c>
      <c r="AE59" s="772">
        <f t="shared" si="186"/>
        <v>0</v>
      </c>
      <c r="AF59" s="774">
        <f t="shared" si="187"/>
        <v>0</v>
      </c>
      <c r="AG59" s="772">
        <f t="shared" si="188"/>
        <v>0</v>
      </c>
      <c r="AH59" s="772">
        <f t="shared" si="189"/>
        <v>0</v>
      </c>
      <c r="AI59" s="769">
        <f t="shared" si="190"/>
        <v>0</v>
      </c>
      <c r="AJ59" s="772">
        <f t="shared" si="191"/>
        <v>0</v>
      </c>
      <c r="AK59" s="769">
        <f t="shared" si="192"/>
        <v>0</v>
      </c>
      <c r="AL59" s="769">
        <f t="shared" si="193"/>
        <v>0</v>
      </c>
      <c r="AM59" s="769">
        <f t="shared" si="194"/>
        <v>0</v>
      </c>
      <c r="AN59" s="769">
        <f t="shared" si="195"/>
        <v>0</v>
      </c>
      <c r="AO59" s="769">
        <f t="shared" si="196"/>
        <v>0</v>
      </c>
      <c r="AP59" s="769">
        <f t="shared" si="197"/>
        <v>0</v>
      </c>
      <c r="AQ59" s="769">
        <f t="shared" si="198"/>
        <v>0</v>
      </c>
      <c r="AR59" s="769">
        <f t="shared" si="199"/>
        <v>0</v>
      </c>
      <c r="AS59" s="769">
        <v>0</v>
      </c>
      <c r="AT59" s="769">
        <f t="shared" si="200"/>
        <v>0</v>
      </c>
      <c r="AU59" s="769">
        <f t="shared" si="201"/>
        <v>0</v>
      </c>
      <c r="AV59" s="769">
        <f t="shared" si="202"/>
        <v>0</v>
      </c>
      <c r="AW59" s="769">
        <f t="shared" si="203"/>
        <v>0</v>
      </c>
      <c r="AX59" s="769">
        <f t="shared" si="204"/>
        <v>0</v>
      </c>
      <c r="AY59" s="769">
        <f t="shared" si="205"/>
        <v>0</v>
      </c>
      <c r="AZ59" s="769">
        <f t="shared" si="206"/>
        <v>0</v>
      </c>
      <c r="BA59" s="769">
        <f t="shared" si="207"/>
        <v>0</v>
      </c>
      <c r="BB59" s="769">
        <f t="shared" si="208"/>
        <v>0</v>
      </c>
      <c r="BC59" s="769">
        <f t="shared" si="209"/>
        <v>0</v>
      </c>
      <c r="BD59" s="808"/>
      <c r="BE59" s="808"/>
      <c r="BF59" s="808"/>
      <c r="BG59" s="808"/>
      <c r="BH59" s="808"/>
      <c r="BI59" s="808"/>
      <c r="BJ59" s="808"/>
      <c r="BK59" s="769">
        <f t="shared" si="98"/>
        <v>0</v>
      </c>
      <c r="BL59" s="769">
        <f t="shared" si="99"/>
        <v>0</v>
      </c>
      <c r="BM59" s="769">
        <f t="shared" si="100"/>
        <v>0</v>
      </c>
      <c r="BN59" s="769">
        <f t="shared" si="101"/>
        <v>0</v>
      </c>
      <c r="BO59" s="769">
        <f t="shared" si="102"/>
        <v>0</v>
      </c>
      <c r="BP59" s="769">
        <f t="shared" si="103"/>
        <v>0</v>
      </c>
    </row>
    <row r="60" spans="1:68" ht="15.6">
      <c r="A60" s="762"/>
      <c r="B60" s="763">
        <v>0</v>
      </c>
      <c r="C60" s="763">
        <v>0</v>
      </c>
      <c r="D60" s="763">
        <v>0</v>
      </c>
      <c r="E60" s="763">
        <v>0</v>
      </c>
      <c r="F60" s="763">
        <v>0</v>
      </c>
      <c r="G60" s="689">
        <f t="shared" si="61"/>
        <v>0</v>
      </c>
      <c r="H60" s="764">
        <f t="shared" si="62"/>
        <v>0</v>
      </c>
      <c r="I60" s="763">
        <v>0</v>
      </c>
      <c r="J60" s="689">
        <f t="shared" si="63"/>
        <v>0</v>
      </c>
      <c r="K60" s="764">
        <f t="shared" si="64"/>
        <v>0</v>
      </c>
      <c r="L60" s="763">
        <v>0</v>
      </c>
      <c r="M60" s="689">
        <f t="shared" si="65"/>
        <v>0</v>
      </c>
      <c r="N60" s="765"/>
      <c r="O60" s="776"/>
      <c r="P60" s="776"/>
      <c r="Q60" s="777" t="s">
        <v>237</v>
      </c>
      <c r="R60" s="762" t="s">
        <v>236</v>
      </c>
      <c r="S60" s="768">
        <v>1</v>
      </c>
      <c r="T60" s="769">
        <f t="shared" si="178"/>
        <v>0</v>
      </c>
      <c r="U60" s="772">
        <f t="shared" si="179"/>
        <v>0</v>
      </c>
      <c r="V60" s="771">
        <v>0</v>
      </c>
      <c r="W60" s="772">
        <f t="shared" si="180"/>
        <v>0</v>
      </c>
      <c r="X60" s="773"/>
      <c r="Y60" s="773"/>
      <c r="Z60" s="772">
        <f t="shared" si="181"/>
        <v>0</v>
      </c>
      <c r="AA60" s="772">
        <f t="shared" si="182"/>
        <v>0</v>
      </c>
      <c r="AB60" s="772">
        <f t="shared" si="183"/>
        <v>0</v>
      </c>
      <c r="AC60" s="772">
        <f t="shared" si="184"/>
        <v>0</v>
      </c>
      <c r="AD60" s="772">
        <f t="shared" si="185"/>
        <v>0</v>
      </c>
      <c r="AE60" s="772">
        <f t="shared" si="186"/>
        <v>0</v>
      </c>
      <c r="AF60" s="774">
        <f t="shared" si="187"/>
        <v>0</v>
      </c>
      <c r="AG60" s="772">
        <f t="shared" si="188"/>
        <v>0</v>
      </c>
      <c r="AH60" s="772">
        <f t="shared" si="189"/>
        <v>0</v>
      </c>
      <c r="AI60" s="769">
        <f t="shared" si="190"/>
        <v>0</v>
      </c>
      <c r="AJ60" s="772">
        <f t="shared" si="191"/>
        <v>0</v>
      </c>
      <c r="AK60" s="769">
        <f t="shared" si="192"/>
        <v>0</v>
      </c>
      <c r="AL60" s="769">
        <f t="shared" si="193"/>
        <v>0</v>
      </c>
      <c r="AM60" s="769">
        <f t="shared" si="194"/>
        <v>0</v>
      </c>
      <c r="AN60" s="769">
        <f t="shared" si="195"/>
        <v>0</v>
      </c>
      <c r="AO60" s="769">
        <f t="shared" si="196"/>
        <v>0</v>
      </c>
      <c r="AP60" s="769">
        <f t="shared" si="197"/>
        <v>0</v>
      </c>
      <c r="AQ60" s="769">
        <f t="shared" si="198"/>
        <v>0</v>
      </c>
      <c r="AR60" s="769">
        <f t="shared" si="199"/>
        <v>0</v>
      </c>
      <c r="AS60" s="769">
        <v>0</v>
      </c>
      <c r="AT60" s="769">
        <f t="shared" si="200"/>
        <v>0</v>
      </c>
      <c r="AU60" s="769">
        <f t="shared" si="201"/>
        <v>0</v>
      </c>
      <c r="AV60" s="769">
        <f t="shared" si="202"/>
        <v>0</v>
      </c>
      <c r="AW60" s="769">
        <f t="shared" si="203"/>
        <v>0</v>
      </c>
      <c r="AX60" s="769">
        <f t="shared" si="204"/>
        <v>0</v>
      </c>
      <c r="AY60" s="769">
        <f t="shared" si="205"/>
        <v>0</v>
      </c>
      <c r="AZ60" s="769">
        <f t="shared" si="206"/>
        <v>0</v>
      </c>
      <c r="BA60" s="769">
        <f t="shared" si="207"/>
        <v>0</v>
      </c>
      <c r="BB60" s="769">
        <f t="shared" si="208"/>
        <v>0</v>
      </c>
      <c r="BC60" s="769">
        <f t="shared" si="209"/>
        <v>0</v>
      </c>
      <c r="BD60" s="808"/>
      <c r="BE60" s="808"/>
      <c r="BF60" s="808"/>
      <c r="BG60" s="808"/>
      <c r="BH60" s="808"/>
      <c r="BI60" s="808"/>
      <c r="BJ60" s="808"/>
      <c r="BK60" s="769">
        <f t="shared" si="98"/>
        <v>0</v>
      </c>
      <c r="BL60" s="769">
        <f t="shared" si="99"/>
        <v>0</v>
      </c>
      <c r="BM60" s="769">
        <f t="shared" si="100"/>
        <v>0</v>
      </c>
      <c r="BN60" s="769">
        <f t="shared" si="101"/>
        <v>0</v>
      </c>
      <c r="BO60" s="769">
        <f t="shared" si="102"/>
        <v>0</v>
      </c>
      <c r="BP60" s="769">
        <f t="shared" si="103"/>
        <v>0</v>
      </c>
    </row>
    <row r="61" spans="1:68" ht="15.6">
      <c r="A61" s="762"/>
      <c r="B61" s="763">
        <v>0</v>
      </c>
      <c r="C61" s="763">
        <v>0</v>
      </c>
      <c r="D61" s="763">
        <v>0</v>
      </c>
      <c r="E61" s="763">
        <v>0</v>
      </c>
      <c r="F61" s="763">
        <v>0</v>
      </c>
      <c r="G61" s="689">
        <f t="shared" si="61"/>
        <v>0</v>
      </c>
      <c r="H61" s="764">
        <f t="shared" si="62"/>
        <v>0</v>
      </c>
      <c r="I61" s="763">
        <v>0</v>
      </c>
      <c r="J61" s="689">
        <f t="shared" si="63"/>
        <v>0</v>
      </c>
      <c r="K61" s="764">
        <f t="shared" si="64"/>
        <v>0</v>
      </c>
      <c r="L61" s="763">
        <v>0</v>
      </c>
      <c r="M61" s="689">
        <f t="shared" si="65"/>
        <v>0</v>
      </c>
      <c r="N61" s="765"/>
      <c r="O61" s="776"/>
      <c r="P61" s="776"/>
      <c r="Q61" s="777" t="s">
        <v>238</v>
      </c>
      <c r="R61" s="762" t="s">
        <v>211</v>
      </c>
      <c r="S61" s="768">
        <v>1</v>
      </c>
      <c r="T61" s="769">
        <f t="shared" si="178"/>
        <v>0</v>
      </c>
      <c r="U61" s="772">
        <f t="shared" si="179"/>
        <v>0</v>
      </c>
      <c r="V61" s="771">
        <v>0</v>
      </c>
      <c r="W61" s="772">
        <f t="shared" si="180"/>
        <v>0</v>
      </c>
      <c r="X61" s="773"/>
      <c r="Y61" s="773"/>
      <c r="Z61" s="772">
        <f t="shared" si="181"/>
        <v>0</v>
      </c>
      <c r="AA61" s="772">
        <f t="shared" si="182"/>
        <v>0</v>
      </c>
      <c r="AB61" s="772">
        <f t="shared" si="183"/>
        <v>0</v>
      </c>
      <c r="AC61" s="772">
        <f t="shared" si="184"/>
        <v>0</v>
      </c>
      <c r="AD61" s="772">
        <f t="shared" si="185"/>
        <v>0</v>
      </c>
      <c r="AE61" s="772">
        <f t="shared" si="186"/>
        <v>0</v>
      </c>
      <c r="AF61" s="774">
        <f t="shared" si="187"/>
        <v>0</v>
      </c>
      <c r="AG61" s="772">
        <f t="shared" si="188"/>
        <v>0</v>
      </c>
      <c r="AH61" s="772">
        <f t="shared" si="189"/>
        <v>0</v>
      </c>
      <c r="AI61" s="769">
        <f t="shared" si="190"/>
        <v>0</v>
      </c>
      <c r="AJ61" s="772">
        <f t="shared" si="191"/>
        <v>0</v>
      </c>
      <c r="AK61" s="769">
        <f t="shared" si="192"/>
        <v>0</v>
      </c>
      <c r="AL61" s="769">
        <f t="shared" si="193"/>
        <v>0</v>
      </c>
      <c r="AM61" s="769">
        <f t="shared" si="194"/>
        <v>0</v>
      </c>
      <c r="AN61" s="769">
        <f t="shared" si="195"/>
        <v>0</v>
      </c>
      <c r="AO61" s="769">
        <f t="shared" si="196"/>
        <v>0</v>
      </c>
      <c r="AP61" s="769">
        <f t="shared" si="197"/>
        <v>0</v>
      </c>
      <c r="AQ61" s="769">
        <f t="shared" si="198"/>
        <v>0</v>
      </c>
      <c r="AR61" s="769">
        <f t="shared" si="199"/>
        <v>0</v>
      </c>
      <c r="AS61" s="769">
        <v>0</v>
      </c>
      <c r="AT61" s="769">
        <f t="shared" si="200"/>
        <v>0</v>
      </c>
      <c r="AU61" s="769">
        <f t="shared" si="201"/>
        <v>0</v>
      </c>
      <c r="AV61" s="769">
        <f t="shared" si="202"/>
        <v>0</v>
      </c>
      <c r="AW61" s="769">
        <f t="shared" si="203"/>
        <v>0</v>
      </c>
      <c r="AX61" s="769">
        <f t="shared" si="204"/>
        <v>0</v>
      </c>
      <c r="AY61" s="769">
        <f t="shared" si="205"/>
        <v>0</v>
      </c>
      <c r="AZ61" s="769">
        <f t="shared" si="206"/>
        <v>0</v>
      </c>
      <c r="BA61" s="769">
        <f t="shared" si="207"/>
        <v>0</v>
      </c>
      <c r="BB61" s="769">
        <f t="shared" si="208"/>
        <v>0</v>
      </c>
      <c r="BC61" s="769">
        <f t="shared" si="209"/>
        <v>0</v>
      </c>
      <c r="BD61" s="808"/>
      <c r="BE61" s="808"/>
      <c r="BF61" s="808"/>
      <c r="BG61" s="808"/>
      <c r="BH61" s="808"/>
      <c r="BI61" s="808"/>
      <c r="BJ61" s="808"/>
      <c r="BK61" s="769">
        <f t="shared" si="98"/>
        <v>0</v>
      </c>
      <c r="BL61" s="769">
        <f t="shared" si="99"/>
        <v>0</v>
      </c>
      <c r="BM61" s="769">
        <f t="shared" si="100"/>
        <v>0</v>
      </c>
      <c r="BN61" s="769">
        <f t="shared" si="101"/>
        <v>0</v>
      </c>
      <c r="BO61" s="769">
        <f t="shared" si="102"/>
        <v>0</v>
      </c>
      <c r="BP61" s="769">
        <f t="shared" si="103"/>
        <v>0</v>
      </c>
    </row>
    <row r="62" spans="1:68" ht="15.6">
      <c r="A62" s="762"/>
      <c r="B62" s="763">
        <v>0</v>
      </c>
      <c r="C62" s="763">
        <v>0</v>
      </c>
      <c r="D62" s="763">
        <v>0</v>
      </c>
      <c r="E62" s="763">
        <v>0</v>
      </c>
      <c r="F62" s="763">
        <v>0</v>
      </c>
      <c r="G62" s="689">
        <f t="shared" si="61"/>
        <v>0</v>
      </c>
      <c r="H62" s="764">
        <f t="shared" si="62"/>
        <v>0</v>
      </c>
      <c r="I62" s="763">
        <v>0</v>
      </c>
      <c r="J62" s="689">
        <f t="shared" si="63"/>
        <v>0</v>
      </c>
      <c r="K62" s="764">
        <f t="shared" si="64"/>
        <v>0</v>
      </c>
      <c r="L62" s="763">
        <v>0</v>
      </c>
      <c r="M62" s="689">
        <f t="shared" si="65"/>
        <v>0</v>
      </c>
      <c r="N62" s="765"/>
      <c r="O62" s="776"/>
      <c r="P62" s="776"/>
      <c r="Q62" s="777" t="s">
        <v>239</v>
      </c>
      <c r="R62" s="762" t="s">
        <v>211</v>
      </c>
      <c r="S62" s="768">
        <v>1</v>
      </c>
      <c r="T62" s="769">
        <f t="shared" si="178"/>
        <v>0</v>
      </c>
      <c r="U62" s="772">
        <f t="shared" si="179"/>
        <v>0</v>
      </c>
      <c r="V62" s="771">
        <v>0</v>
      </c>
      <c r="W62" s="772">
        <f t="shared" si="180"/>
        <v>0</v>
      </c>
      <c r="X62" s="773"/>
      <c r="Y62" s="773"/>
      <c r="Z62" s="772">
        <f t="shared" si="181"/>
        <v>0</v>
      </c>
      <c r="AA62" s="772">
        <f t="shared" si="182"/>
        <v>0</v>
      </c>
      <c r="AB62" s="772">
        <f t="shared" si="183"/>
        <v>0</v>
      </c>
      <c r="AC62" s="772">
        <f t="shared" si="184"/>
        <v>0</v>
      </c>
      <c r="AD62" s="772">
        <f t="shared" si="185"/>
        <v>0</v>
      </c>
      <c r="AE62" s="772">
        <f t="shared" si="186"/>
        <v>0</v>
      </c>
      <c r="AF62" s="774">
        <f t="shared" si="187"/>
        <v>0</v>
      </c>
      <c r="AG62" s="772">
        <f t="shared" si="188"/>
        <v>0</v>
      </c>
      <c r="AH62" s="772">
        <f t="shared" si="189"/>
        <v>0</v>
      </c>
      <c r="AI62" s="769">
        <f t="shared" si="190"/>
        <v>0</v>
      </c>
      <c r="AJ62" s="772">
        <f t="shared" si="191"/>
        <v>0</v>
      </c>
      <c r="AK62" s="769">
        <f t="shared" si="192"/>
        <v>0</v>
      </c>
      <c r="AL62" s="769">
        <f t="shared" si="193"/>
        <v>0</v>
      </c>
      <c r="AM62" s="769">
        <f t="shared" si="194"/>
        <v>0</v>
      </c>
      <c r="AN62" s="769">
        <f t="shared" si="195"/>
        <v>0</v>
      </c>
      <c r="AO62" s="769">
        <f t="shared" si="196"/>
        <v>0</v>
      </c>
      <c r="AP62" s="769">
        <f t="shared" si="197"/>
        <v>0</v>
      </c>
      <c r="AQ62" s="769">
        <f t="shared" si="198"/>
        <v>0</v>
      </c>
      <c r="AR62" s="769">
        <f t="shared" si="199"/>
        <v>0</v>
      </c>
      <c r="AS62" s="769">
        <v>0</v>
      </c>
      <c r="AT62" s="769">
        <f t="shared" si="200"/>
        <v>0</v>
      </c>
      <c r="AU62" s="769">
        <f t="shared" si="201"/>
        <v>0</v>
      </c>
      <c r="AV62" s="769">
        <f t="shared" si="202"/>
        <v>0</v>
      </c>
      <c r="AW62" s="769">
        <f t="shared" si="203"/>
        <v>0</v>
      </c>
      <c r="AX62" s="769">
        <f t="shared" si="204"/>
        <v>0</v>
      </c>
      <c r="AY62" s="769">
        <f t="shared" si="205"/>
        <v>0</v>
      </c>
      <c r="AZ62" s="769">
        <f t="shared" si="206"/>
        <v>0</v>
      </c>
      <c r="BA62" s="769">
        <f t="shared" si="207"/>
        <v>0</v>
      </c>
      <c r="BB62" s="769">
        <f t="shared" si="208"/>
        <v>0</v>
      </c>
      <c r="BC62" s="769">
        <f t="shared" si="209"/>
        <v>0</v>
      </c>
      <c r="BD62" s="808"/>
      <c r="BE62" s="808"/>
      <c r="BF62" s="808"/>
      <c r="BG62" s="808"/>
      <c r="BH62" s="808"/>
      <c r="BI62" s="808"/>
      <c r="BJ62" s="808"/>
      <c r="BK62" s="769">
        <f t="shared" si="98"/>
        <v>0</v>
      </c>
      <c r="BL62" s="769">
        <f t="shared" si="99"/>
        <v>0</v>
      </c>
      <c r="BM62" s="769">
        <f t="shared" si="100"/>
        <v>0</v>
      </c>
      <c r="BN62" s="769">
        <f t="shared" si="101"/>
        <v>0</v>
      </c>
      <c r="BO62" s="769">
        <f t="shared" si="102"/>
        <v>0</v>
      </c>
      <c r="BP62" s="769">
        <f t="shared" si="103"/>
        <v>0</v>
      </c>
    </row>
    <row r="63" spans="1:68" ht="15.6">
      <c r="A63" s="762"/>
      <c r="B63" s="763">
        <v>0</v>
      </c>
      <c r="C63" s="763">
        <v>0</v>
      </c>
      <c r="D63" s="763">
        <v>0</v>
      </c>
      <c r="E63" s="763">
        <v>0</v>
      </c>
      <c r="F63" s="763">
        <v>0</v>
      </c>
      <c r="G63" s="689">
        <f t="shared" si="61"/>
        <v>0</v>
      </c>
      <c r="H63" s="764">
        <f t="shared" si="62"/>
        <v>0</v>
      </c>
      <c r="I63" s="763">
        <v>0</v>
      </c>
      <c r="J63" s="689">
        <f t="shared" si="63"/>
        <v>0</v>
      </c>
      <c r="K63" s="764">
        <f t="shared" si="64"/>
        <v>0</v>
      </c>
      <c r="L63" s="763">
        <v>0</v>
      </c>
      <c r="M63" s="689">
        <f t="shared" si="65"/>
        <v>0</v>
      </c>
      <c r="N63" s="765"/>
      <c r="O63" s="776"/>
      <c r="P63" s="776"/>
      <c r="Q63" s="777" t="s">
        <v>240</v>
      </c>
      <c r="R63" s="762" t="s">
        <v>211</v>
      </c>
      <c r="S63" s="768">
        <v>1</v>
      </c>
      <c r="T63" s="769">
        <f t="shared" si="178"/>
        <v>0</v>
      </c>
      <c r="U63" s="772">
        <f t="shared" si="179"/>
        <v>0</v>
      </c>
      <c r="V63" s="771">
        <v>0</v>
      </c>
      <c r="W63" s="772">
        <f t="shared" si="180"/>
        <v>0</v>
      </c>
      <c r="X63" s="773"/>
      <c r="Y63" s="773"/>
      <c r="Z63" s="772">
        <f t="shared" si="181"/>
        <v>0</v>
      </c>
      <c r="AA63" s="772">
        <f t="shared" si="182"/>
        <v>0</v>
      </c>
      <c r="AB63" s="772">
        <f t="shared" si="183"/>
        <v>0</v>
      </c>
      <c r="AC63" s="772">
        <f t="shared" si="184"/>
        <v>0</v>
      </c>
      <c r="AD63" s="772">
        <f t="shared" si="185"/>
        <v>0</v>
      </c>
      <c r="AE63" s="772">
        <f t="shared" si="186"/>
        <v>0</v>
      </c>
      <c r="AF63" s="774">
        <f t="shared" si="187"/>
        <v>0</v>
      </c>
      <c r="AG63" s="772">
        <f t="shared" si="188"/>
        <v>0</v>
      </c>
      <c r="AH63" s="772">
        <f t="shared" si="189"/>
        <v>0</v>
      </c>
      <c r="AI63" s="769">
        <f t="shared" si="190"/>
        <v>0</v>
      </c>
      <c r="AJ63" s="772">
        <f t="shared" si="191"/>
        <v>0</v>
      </c>
      <c r="AK63" s="769">
        <f t="shared" si="192"/>
        <v>0</v>
      </c>
      <c r="AL63" s="769">
        <f t="shared" si="193"/>
        <v>0</v>
      </c>
      <c r="AM63" s="769">
        <f t="shared" si="194"/>
        <v>0</v>
      </c>
      <c r="AN63" s="769">
        <f t="shared" si="195"/>
        <v>0</v>
      </c>
      <c r="AO63" s="769">
        <f t="shared" si="196"/>
        <v>0</v>
      </c>
      <c r="AP63" s="769">
        <f t="shared" si="197"/>
        <v>0</v>
      </c>
      <c r="AQ63" s="769">
        <f t="shared" si="198"/>
        <v>0</v>
      </c>
      <c r="AR63" s="769">
        <f t="shared" si="199"/>
        <v>0</v>
      </c>
      <c r="AS63" s="769">
        <v>0</v>
      </c>
      <c r="AT63" s="769">
        <f t="shared" si="200"/>
        <v>0</v>
      </c>
      <c r="AU63" s="769">
        <f t="shared" si="201"/>
        <v>0</v>
      </c>
      <c r="AV63" s="769">
        <f t="shared" si="202"/>
        <v>0</v>
      </c>
      <c r="AW63" s="769">
        <f t="shared" si="203"/>
        <v>0</v>
      </c>
      <c r="AX63" s="769">
        <f t="shared" si="204"/>
        <v>0</v>
      </c>
      <c r="AY63" s="769">
        <f t="shared" si="205"/>
        <v>0</v>
      </c>
      <c r="AZ63" s="769">
        <f t="shared" si="206"/>
        <v>0</v>
      </c>
      <c r="BA63" s="769">
        <f t="shared" si="207"/>
        <v>0</v>
      </c>
      <c r="BB63" s="769">
        <f t="shared" si="208"/>
        <v>0</v>
      </c>
      <c r="BC63" s="769">
        <f t="shared" si="209"/>
        <v>0</v>
      </c>
      <c r="BD63" s="808"/>
      <c r="BE63" s="808"/>
      <c r="BF63" s="808"/>
      <c r="BG63" s="808"/>
      <c r="BH63" s="808"/>
      <c r="BI63" s="808"/>
      <c r="BJ63" s="808"/>
      <c r="BK63" s="769">
        <f t="shared" si="98"/>
        <v>0</v>
      </c>
      <c r="BL63" s="769">
        <f t="shared" si="99"/>
        <v>0</v>
      </c>
      <c r="BM63" s="769">
        <f t="shared" si="100"/>
        <v>0</v>
      </c>
      <c r="BN63" s="769">
        <f t="shared" si="101"/>
        <v>0</v>
      </c>
      <c r="BO63" s="769">
        <f t="shared" si="102"/>
        <v>0</v>
      </c>
      <c r="BP63" s="769">
        <f t="shared" si="103"/>
        <v>0</v>
      </c>
    </row>
    <row r="64" spans="1:68" ht="15.6">
      <c r="A64" s="762"/>
      <c r="B64" s="763">
        <v>0</v>
      </c>
      <c r="C64" s="763">
        <v>0</v>
      </c>
      <c r="D64" s="763">
        <v>0</v>
      </c>
      <c r="E64" s="763">
        <v>0</v>
      </c>
      <c r="F64" s="763">
        <v>0</v>
      </c>
      <c r="G64" s="689">
        <f t="shared" si="61"/>
        <v>0</v>
      </c>
      <c r="H64" s="764">
        <f t="shared" si="62"/>
        <v>0</v>
      </c>
      <c r="I64" s="763">
        <v>0</v>
      </c>
      <c r="J64" s="689">
        <f t="shared" si="63"/>
        <v>0</v>
      </c>
      <c r="K64" s="764">
        <f t="shared" si="64"/>
        <v>0</v>
      </c>
      <c r="L64" s="763">
        <v>0</v>
      </c>
      <c r="M64" s="689">
        <f t="shared" si="65"/>
        <v>0</v>
      </c>
      <c r="N64" s="765"/>
      <c r="O64" s="776"/>
      <c r="P64" s="776"/>
      <c r="Q64" s="777" t="s">
        <v>241</v>
      </c>
      <c r="R64" s="762" t="s">
        <v>211</v>
      </c>
      <c r="S64" s="768">
        <v>1</v>
      </c>
      <c r="T64" s="769">
        <f t="shared" si="178"/>
        <v>0</v>
      </c>
      <c r="U64" s="772">
        <f t="shared" si="179"/>
        <v>0</v>
      </c>
      <c r="V64" s="771">
        <v>0</v>
      </c>
      <c r="W64" s="772">
        <f t="shared" si="180"/>
        <v>0</v>
      </c>
      <c r="X64" s="773"/>
      <c r="Y64" s="773"/>
      <c r="Z64" s="772">
        <f t="shared" si="181"/>
        <v>0</v>
      </c>
      <c r="AA64" s="772">
        <f t="shared" si="182"/>
        <v>0</v>
      </c>
      <c r="AB64" s="772">
        <f t="shared" si="183"/>
        <v>0</v>
      </c>
      <c r="AC64" s="772">
        <f t="shared" si="184"/>
        <v>0</v>
      </c>
      <c r="AD64" s="772">
        <f t="shared" si="185"/>
        <v>0</v>
      </c>
      <c r="AE64" s="772">
        <f t="shared" si="186"/>
        <v>0</v>
      </c>
      <c r="AF64" s="774">
        <f t="shared" si="187"/>
        <v>0</v>
      </c>
      <c r="AG64" s="772">
        <f t="shared" si="188"/>
        <v>0</v>
      </c>
      <c r="AH64" s="772">
        <f t="shared" si="189"/>
        <v>0</v>
      </c>
      <c r="AI64" s="769">
        <f t="shared" si="190"/>
        <v>0</v>
      </c>
      <c r="AJ64" s="772">
        <f t="shared" si="191"/>
        <v>0</v>
      </c>
      <c r="AK64" s="769">
        <f t="shared" si="192"/>
        <v>0</v>
      </c>
      <c r="AL64" s="769">
        <f t="shared" si="193"/>
        <v>0</v>
      </c>
      <c r="AM64" s="769">
        <f t="shared" si="194"/>
        <v>0</v>
      </c>
      <c r="AN64" s="769">
        <f t="shared" si="195"/>
        <v>0</v>
      </c>
      <c r="AO64" s="769">
        <f t="shared" si="196"/>
        <v>0</v>
      </c>
      <c r="AP64" s="769">
        <f t="shared" si="197"/>
        <v>0</v>
      </c>
      <c r="AQ64" s="769">
        <f t="shared" si="198"/>
        <v>0</v>
      </c>
      <c r="AR64" s="769">
        <f t="shared" si="199"/>
        <v>0</v>
      </c>
      <c r="AS64" s="769">
        <v>0</v>
      </c>
      <c r="AT64" s="769">
        <f t="shared" si="200"/>
        <v>0</v>
      </c>
      <c r="AU64" s="769">
        <f t="shared" si="201"/>
        <v>0</v>
      </c>
      <c r="AV64" s="769">
        <f t="shared" si="202"/>
        <v>0</v>
      </c>
      <c r="AW64" s="769">
        <f t="shared" si="203"/>
        <v>0</v>
      </c>
      <c r="AX64" s="769">
        <f t="shared" si="204"/>
        <v>0</v>
      </c>
      <c r="AY64" s="769">
        <f t="shared" si="205"/>
        <v>0</v>
      </c>
      <c r="AZ64" s="769">
        <f t="shared" si="206"/>
        <v>0</v>
      </c>
      <c r="BA64" s="769">
        <f t="shared" si="207"/>
        <v>0</v>
      </c>
      <c r="BB64" s="769">
        <f t="shared" si="208"/>
        <v>0</v>
      </c>
      <c r="BC64" s="769">
        <f t="shared" si="209"/>
        <v>0</v>
      </c>
      <c r="BD64" s="808"/>
      <c r="BE64" s="808"/>
      <c r="BF64" s="808"/>
      <c r="BG64" s="808"/>
      <c r="BH64" s="808"/>
      <c r="BI64" s="808"/>
      <c r="BJ64" s="808"/>
      <c r="BK64" s="769">
        <f t="shared" si="98"/>
        <v>0</v>
      </c>
      <c r="BL64" s="769">
        <f t="shared" si="99"/>
        <v>0</v>
      </c>
      <c r="BM64" s="769">
        <f t="shared" si="100"/>
        <v>0</v>
      </c>
      <c r="BN64" s="769">
        <f t="shared" si="101"/>
        <v>0</v>
      </c>
      <c r="BO64" s="769">
        <f t="shared" si="102"/>
        <v>0</v>
      </c>
      <c r="BP64" s="769">
        <f t="shared" si="103"/>
        <v>0</v>
      </c>
    </row>
    <row r="65" spans="1:68" ht="15.6">
      <c r="A65" s="762"/>
      <c r="B65" s="763">
        <v>0</v>
      </c>
      <c r="C65" s="763">
        <v>0</v>
      </c>
      <c r="D65" s="763">
        <v>0</v>
      </c>
      <c r="E65" s="763">
        <v>0</v>
      </c>
      <c r="F65" s="763">
        <v>0</v>
      </c>
      <c r="G65" s="689">
        <f t="shared" si="61"/>
        <v>0</v>
      </c>
      <c r="H65" s="764">
        <f t="shared" si="62"/>
        <v>0</v>
      </c>
      <c r="I65" s="763">
        <v>0</v>
      </c>
      <c r="J65" s="689">
        <f t="shared" si="63"/>
        <v>0</v>
      </c>
      <c r="K65" s="764">
        <f t="shared" si="64"/>
        <v>0</v>
      </c>
      <c r="L65" s="763">
        <v>0</v>
      </c>
      <c r="M65" s="689">
        <f t="shared" ref="M65:M86" si="210">+M$4</f>
        <v>0</v>
      </c>
      <c r="N65" s="765"/>
      <c r="O65" s="776"/>
      <c r="P65" s="776"/>
      <c r="Q65" s="777" t="s">
        <v>242</v>
      </c>
      <c r="R65" s="762" t="s">
        <v>211</v>
      </c>
      <c r="S65" s="768">
        <v>1</v>
      </c>
      <c r="T65" s="769">
        <f t="shared" si="178"/>
        <v>0</v>
      </c>
      <c r="U65" s="772">
        <f t="shared" si="179"/>
        <v>0</v>
      </c>
      <c r="V65" s="771">
        <v>0</v>
      </c>
      <c r="W65" s="772">
        <f t="shared" si="180"/>
        <v>0</v>
      </c>
      <c r="X65" s="773"/>
      <c r="Y65" s="773"/>
      <c r="Z65" s="772">
        <f t="shared" si="181"/>
        <v>0</v>
      </c>
      <c r="AA65" s="772">
        <f t="shared" si="182"/>
        <v>0</v>
      </c>
      <c r="AB65" s="772">
        <f t="shared" si="183"/>
        <v>0</v>
      </c>
      <c r="AC65" s="772">
        <f t="shared" si="184"/>
        <v>0</v>
      </c>
      <c r="AD65" s="772">
        <f t="shared" si="185"/>
        <v>0</v>
      </c>
      <c r="AE65" s="772">
        <f t="shared" si="186"/>
        <v>0</v>
      </c>
      <c r="AF65" s="774">
        <f t="shared" si="187"/>
        <v>0</v>
      </c>
      <c r="AG65" s="772">
        <f t="shared" si="188"/>
        <v>0</v>
      </c>
      <c r="AH65" s="772">
        <f t="shared" si="189"/>
        <v>0</v>
      </c>
      <c r="AI65" s="769">
        <f t="shared" si="190"/>
        <v>0</v>
      </c>
      <c r="AJ65" s="772">
        <f t="shared" si="191"/>
        <v>0</v>
      </c>
      <c r="AK65" s="769">
        <f t="shared" si="192"/>
        <v>0</v>
      </c>
      <c r="AL65" s="769">
        <f t="shared" si="193"/>
        <v>0</v>
      </c>
      <c r="AM65" s="769">
        <f t="shared" si="194"/>
        <v>0</v>
      </c>
      <c r="AN65" s="769">
        <f t="shared" si="195"/>
        <v>0</v>
      </c>
      <c r="AO65" s="769">
        <f t="shared" si="196"/>
        <v>0</v>
      </c>
      <c r="AP65" s="769">
        <f t="shared" si="197"/>
        <v>0</v>
      </c>
      <c r="AQ65" s="769">
        <f t="shared" si="198"/>
        <v>0</v>
      </c>
      <c r="AR65" s="769">
        <f t="shared" si="199"/>
        <v>0</v>
      </c>
      <c r="AS65" s="769">
        <v>0</v>
      </c>
      <c r="AT65" s="769">
        <f t="shared" si="200"/>
        <v>0</v>
      </c>
      <c r="AU65" s="769">
        <f t="shared" si="201"/>
        <v>0</v>
      </c>
      <c r="AV65" s="769">
        <f t="shared" si="202"/>
        <v>0</v>
      </c>
      <c r="AW65" s="769">
        <f t="shared" si="203"/>
        <v>0</v>
      </c>
      <c r="AX65" s="769">
        <f t="shared" si="204"/>
        <v>0</v>
      </c>
      <c r="AY65" s="769">
        <f t="shared" si="205"/>
        <v>0</v>
      </c>
      <c r="AZ65" s="769">
        <f t="shared" si="206"/>
        <v>0</v>
      </c>
      <c r="BA65" s="769">
        <f t="shared" si="207"/>
        <v>0</v>
      </c>
      <c r="BB65" s="769">
        <f t="shared" si="208"/>
        <v>0</v>
      </c>
      <c r="BC65" s="769">
        <f t="shared" si="209"/>
        <v>0</v>
      </c>
      <c r="BD65" s="808"/>
      <c r="BE65" s="808"/>
      <c r="BF65" s="808"/>
      <c r="BG65" s="808"/>
      <c r="BH65" s="808"/>
      <c r="BI65" s="808"/>
      <c r="BJ65" s="808"/>
      <c r="BK65" s="769">
        <f t="shared" si="98"/>
        <v>0</v>
      </c>
      <c r="BL65" s="769">
        <f t="shared" si="99"/>
        <v>0</v>
      </c>
      <c r="BM65" s="769">
        <f t="shared" si="100"/>
        <v>0</v>
      </c>
      <c r="BN65" s="769">
        <f t="shared" si="101"/>
        <v>0</v>
      </c>
      <c r="BO65" s="769">
        <f t="shared" si="102"/>
        <v>0</v>
      </c>
      <c r="BP65" s="769">
        <f t="shared" si="103"/>
        <v>0</v>
      </c>
    </row>
    <row r="66" spans="1:68" ht="15.6">
      <c r="A66" s="762"/>
      <c r="B66" s="763">
        <v>0</v>
      </c>
      <c r="C66" s="763">
        <v>0</v>
      </c>
      <c r="D66" s="763">
        <v>0</v>
      </c>
      <c r="E66" s="763">
        <v>0</v>
      </c>
      <c r="F66" s="763">
        <v>0</v>
      </c>
      <c r="G66" s="689">
        <f t="shared" si="61"/>
        <v>0</v>
      </c>
      <c r="H66" s="764">
        <f t="shared" si="62"/>
        <v>0</v>
      </c>
      <c r="I66" s="763">
        <v>0</v>
      </c>
      <c r="J66" s="689">
        <f t="shared" si="63"/>
        <v>0</v>
      </c>
      <c r="K66" s="764">
        <f t="shared" si="64"/>
        <v>0</v>
      </c>
      <c r="L66" s="763">
        <v>0</v>
      </c>
      <c r="M66" s="689">
        <f t="shared" si="210"/>
        <v>0</v>
      </c>
      <c r="N66" s="765"/>
      <c r="O66" s="776"/>
      <c r="P66" s="776"/>
      <c r="Q66" s="777" t="s">
        <v>243</v>
      </c>
      <c r="R66" s="762" t="s">
        <v>211</v>
      </c>
      <c r="S66" s="768">
        <v>1</v>
      </c>
      <c r="T66" s="769">
        <f t="shared" si="178"/>
        <v>0</v>
      </c>
      <c r="U66" s="772">
        <f t="shared" si="179"/>
        <v>0</v>
      </c>
      <c r="V66" s="771">
        <v>0</v>
      </c>
      <c r="W66" s="772">
        <f t="shared" si="180"/>
        <v>0</v>
      </c>
      <c r="X66" s="773"/>
      <c r="Y66" s="773"/>
      <c r="Z66" s="772">
        <f t="shared" si="181"/>
        <v>0</v>
      </c>
      <c r="AA66" s="772">
        <f t="shared" si="182"/>
        <v>0</v>
      </c>
      <c r="AB66" s="772">
        <f t="shared" si="183"/>
        <v>0</v>
      </c>
      <c r="AC66" s="772">
        <f t="shared" si="184"/>
        <v>0</v>
      </c>
      <c r="AD66" s="772">
        <f t="shared" si="185"/>
        <v>0</v>
      </c>
      <c r="AE66" s="772">
        <f t="shared" si="186"/>
        <v>0</v>
      </c>
      <c r="AF66" s="774">
        <f t="shared" si="187"/>
        <v>0</v>
      </c>
      <c r="AG66" s="772">
        <f t="shared" si="188"/>
        <v>0</v>
      </c>
      <c r="AH66" s="772">
        <f t="shared" si="189"/>
        <v>0</v>
      </c>
      <c r="AI66" s="769">
        <f t="shared" si="190"/>
        <v>0</v>
      </c>
      <c r="AJ66" s="772">
        <f t="shared" si="191"/>
        <v>0</v>
      </c>
      <c r="AK66" s="769">
        <f t="shared" si="192"/>
        <v>0</v>
      </c>
      <c r="AL66" s="769">
        <f t="shared" si="193"/>
        <v>0</v>
      </c>
      <c r="AM66" s="769">
        <f t="shared" si="194"/>
        <v>0</v>
      </c>
      <c r="AN66" s="769">
        <f t="shared" si="195"/>
        <v>0</v>
      </c>
      <c r="AO66" s="769">
        <f t="shared" si="196"/>
        <v>0</v>
      </c>
      <c r="AP66" s="769">
        <f t="shared" si="197"/>
        <v>0</v>
      </c>
      <c r="AQ66" s="769">
        <f t="shared" si="198"/>
        <v>0</v>
      </c>
      <c r="AR66" s="769">
        <f t="shared" si="199"/>
        <v>0</v>
      </c>
      <c r="AS66" s="769">
        <v>0</v>
      </c>
      <c r="AT66" s="769">
        <f t="shared" si="200"/>
        <v>0</v>
      </c>
      <c r="AU66" s="769">
        <f t="shared" si="201"/>
        <v>0</v>
      </c>
      <c r="AV66" s="769">
        <f t="shared" si="202"/>
        <v>0</v>
      </c>
      <c r="AW66" s="769">
        <f t="shared" si="203"/>
        <v>0</v>
      </c>
      <c r="AX66" s="769">
        <f t="shared" si="204"/>
        <v>0</v>
      </c>
      <c r="AY66" s="769">
        <f t="shared" si="205"/>
        <v>0</v>
      </c>
      <c r="AZ66" s="769">
        <f t="shared" si="206"/>
        <v>0</v>
      </c>
      <c r="BA66" s="769">
        <f t="shared" si="207"/>
        <v>0</v>
      </c>
      <c r="BB66" s="769">
        <f t="shared" si="208"/>
        <v>0</v>
      </c>
      <c r="BC66" s="769">
        <f t="shared" si="209"/>
        <v>0</v>
      </c>
      <c r="BD66" s="808"/>
      <c r="BE66" s="808"/>
      <c r="BF66" s="808"/>
      <c r="BG66" s="808"/>
      <c r="BH66" s="808"/>
      <c r="BI66" s="808"/>
      <c r="BJ66" s="808"/>
      <c r="BK66" s="769">
        <f t="shared" si="98"/>
        <v>0</v>
      </c>
      <c r="BL66" s="769">
        <f t="shared" si="99"/>
        <v>0</v>
      </c>
      <c r="BM66" s="769">
        <f t="shared" si="100"/>
        <v>0</v>
      </c>
      <c r="BN66" s="769">
        <f t="shared" si="101"/>
        <v>0</v>
      </c>
      <c r="BO66" s="769">
        <f t="shared" si="102"/>
        <v>0</v>
      </c>
      <c r="BP66" s="769">
        <f t="shared" si="103"/>
        <v>0</v>
      </c>
    </row>
    <row r="67" spans="1:68" ht="15.6">
      <c r="A67" s="762"/>
      <c r="B67" s="763">
        <v>0</v>
      </c>
      <c r="C67" s="763">
        <v>0</v>
      </c>
      <c r="D67" s="763">
        <v>0</v>
      </c>
      <c r="E67" s="763">
        <v>0</v>
      </c>
      <c r="F67" s="763">
        <v>0</v>
      </c>
      <c r="G67" s="689">
        <f t="shared" si="61"/>
        <v>0</v>
      </c>
      <c r="H67" s="764">
        <f t="shared" si="62"/>
        <v>0</v>
      </c>
      <c r="I67" s="763">
        <v>0</v>
      </c>
      <c r="J67" s="689">
        <f t="shared" si="63"/>
        <v>0</v>
      </c>
      <c r="K67" s="764">
        <f t="shared" si="64"/>
        <v>0</v>
      </c>
      <c r="L67" s="763">
        <v>0</v>
      </c>
      <c r="M67" s="689">
        <f t="shared" si="210"/>
        <v>0</v>
      </c>
      <c r="N67" s="765"/>
      <c r="O67" s="776"/>
      <c r="P67" s="776"/>
      <c r="Q67" s="777" t="s">
        <v>244</v>
      </c>
      <c r="R67" s="762" t="s">
        <v>211</v>
      </c>
      <c r="S67" s="768">
        <v>1</v>
      </c>
      <c r="T67" s="769">
        <f t="shared" si="178"/>
        <v>0</v>
      </c>
      <c r="U67" s="772">
        <f t="shared" si="179"/>
        <v>0</v>
      </c>
      <c r="V67" s="771">
        <v>0</v>
      </c>
      <c r="W67" s="772">
        <f t="shared" si="180"/>
        <v>0</v>
      </c>
      <c r="X67" s="773"/>
      <c r="Y67" s="773"/>
      <c r="Z67" s="772">
        <f t="shared" si="181"/>
        <v>0</v>
      </c>
      <c r="AA67" s="772">
        <f t="shared" si="182"/>
        <v>0</v>
      </c>
      <c r="AB67" s="772">
        <f t="shared" si="183"/>
        <v>0</v>
      </c>
      <c r="AC67" s="772">
        <f t="shared" si="184"/>
        <v>0</v>
      </c>
      <c r="AD67" s="772">
        <f t="shared" si="185"/>
        <v>0</v>
      </c>
      <c r="AE67" s="772">
        <f t="shared" si="186"/>
        <v>0</v>
      </c>
      <c r="AF67" s="774">
        <f t="shared" si="187"/>
        <v>0</v>
      </c>
      <c r="AG67" s="772">
        <f t="shared" si="188"/>
        <v>0</v>
      </c>
      <c r="AH67" s="772">
        <f t="shared" si="189"/>
        <v>0</v>
      </c>
      <c r="AI67" s="769">
        <f t="shared" si="190"/>
        <v>0</v>
      </c>
      <c r="AJ67" s="772">
        <f t="shared" si="191"/>
        <v>0</v>
      </c>
      <c r="AK67" s="769">
        <f t="shared" si="192"/>
        <v>0</v>
      </c>
      <c r="AL67" s="769">
        <f t="shared" si="193"/>
        <v>0</v>
      </c>
      <c r="AM67" s="769">
        <f t="shared" si="194"/>
        <v>0</v>
      </c>
      <c r="AN67" s="769">
        <f t="shared" si="195"/>
        <v>0</v>
      </c>
      <c r="AO67" s="769">
        <f t="shared" si="196"/>
        <v>0</v>
      </c>
      <c r="AP67" s="769">
        <f t="shared" si="197"/>
        <v>0</v>
      </c>
      <c r="AQ67" s="769">
        <f t="shared" si="198"/>
        <v>0</v>
      </c>
      <c r="AR67" s="769">
        <f t="shared" si="199"/>
        <v>0</v>
      </c>
      <c r="AS67" s="769">
        <v>0</v>
      </c>
      <c r="AT67" s="769">
        <f t="shared" si="200"/>
        <v>0</v>
      </c>
      <c r="AU67" s="769">
        <f t="shared" si="201"/>
        <v>0</v>
      </c>
      <c r="AV67" s="769">
        <f t="shared" si="202"/>
        <v>0</v>
      </c>
      <c r="AW67" s="769">
        <f t="shared" si="203"/>
        <v>0</v>
      </c>
      <c r="AX67" s="769">
        <f t="shared" si="204"/>
        <v>0</v>
      </c>
      <c r="AY67" s="769">
        <f t="shared" si="205"/>
        <v>0</v>
      </c>
      <c r="AZ67" s="769">
        <f t="shared" si="206"/>
        <v>0</v>
      </c>
      <c r="BA67" s="769">
        <f t="shared" si="207"/>
        <v>0</v>
      </c>
      <c r="BB67" s="769">
        <f t="shared" si="208"/>
        <v>0</v>
      </c>
      <c r="BC67" s="769">
        <f t="shared" si="209"/>
        <v>0</v>
      </c>
      <c r="BD67" s="808"/>
      <c r="BE67" s="808"/>
      <c r="BF67" s="808"/>
      <c r="BG67" s="808"/>
      <c r="BH67" s="808"/>
      <c r="BI67" s="808"/>
      <c r="BJ67" s="808"/>
      <c r="BK67" s="769">
        <f t="shared" si="98"/>
        <v>0</v>
      </c>
      <c r="BL67" s="769">
        <f t="shared" si="99"/>
        <v>0</v>
      </c>
      <c r="BM67" s="769">
        <f t="shared" si="100"/>
        <v>0</v>
      </c>
      <c r="BN67" s="769">
        <f t="shared" si="101"/>
        <v>0</v>
      </c>
      <c r="BO67" s="769">
        <f t="shared" si="102"/>
        <v>0</v>
      </c>
      <c r="BP67" s="769">
        <f t="shared" si="103"/>
        <v>0</v>
      </c>
    </row>
    <row r="68" spans="1:68" ht="15.6">
      <c r="A68" s="762"/>
      <c r="B68" s="763"/>
      <c r="C68" s="763"/>
      <c r="D68" s="763"/>
      <c r="E68" s="763"/>
      <c r="F68" s="763"/>
      <c r="G68" s="689"/>
      <c r="H68" s="764"/>
      <c r="I68" s="763"/>
      <c r="J68" s="689"/>
      <c r="K68" s="764"/>
      <c r="L68" s="763"/>
      <c r="M68" s="689"/>
      <c r="N68" s="765"/>
      <c r="O68" s="776"/>
      <c r="P68" s="776"/>
      <c r="Q68" s="777"/>
      <c r="R68" s="762"/>
      <c r="S68" s="768"/>
      <c r="T68" s="769"/>
      <c r="U68" s="772"/>
      <c r="V68" s="771"/>
      <c r="W68" s="772"/>
      <c r="X68" s="805"/>
      <c r="Y68" s="805"/>
      <c r="Z68" s="772"/>
      <c r="AA68" s="772"/>
      <c r="AB68" s="772"/>
      <c r="AC68" s="772"/>
      <c r="AD68" s="772"/>
      <c r="AE68" s="772"/>
      <c r="AF68" s="772"/>
      <c r="AG68" s="772"/>
      <c r="AH68" s="772"/>
      <c r="AI68" s="769"/>
      <c r="AJ68" s="772"/>
      <c r="AK68" s="769"/>
      <c r="AL68" s="769"/>
      <c r="AM68" s="769"/>
      <c r="AN68" s="769"/>
      <c r="AO68" s="769"/>
      <c r="AP68" s="769"/>
      <c r="AQ68" s="769"/>
      <c r="AR68" s="769"/>
      <c r="AS68" s="769"/>
      <c r="AT68" s="769"/>
      <c r="AU68" s="769"/>
      <c r="AV68" s="769"/>
      <c r="AW68" s="769"/>
      <c r="AX68" s="769"/>
      <c r="AY68" s="769"/>
      <c r="AZ68" s="769"/>
      <c r="BA68" s="769"/>
      <c r="BB68" s="769"/>
      <c r="BC68" s="769"/>
      <c r="BD68" s="808"/>
      <c r="BE68" s="808"/>
      <c r="BF68" s="808"/>
      <c r="BG68" s="808"/>
      <c r="BH68" s="808"/>
      <c r="BI68" s="808"/>
      <c r="BJ68" s="808"/>
      <c r="BK68" s="769"/>
      <c r="BL68" s="769"/>
      <c r="BM68" s="769"/>
      <c r="BN68" s="769"/>
      <c r="BO68" s="769"/>
      <c r="BP68" s="769"/>
    </row>
    <row r="69" spans="1:68" ht="15.6">
      <c r="A69" s="762"/>
      <c r="B69" s="763"/>
      <c r="C69" s="763"/>
      <c r="D69" s="763"/>
      <c r="E69" s="763"/>
      <c r="F69" s="763"/>
      <c r="G69" s="689"/>
      <c r="H69" s="764"/>
      <c r="I69" s="763"/>
      <c r="J69" s="689"/>
      <c r="K69" s="764"/>
      <c r="L69" s="763"/>
      <c r="M69" s="689"/>
      <c r="N69" s="765"/>
      <c r="O69" s="766">
        <v>8</v>
      </c>
      <c r="P69" s="766" t="s">
        <v>245</v>
      </c>
      <c r="Q69" s="767"/>
      <c r="R69" s="762"/>
      <c r="S69" s="768"/>
      <c r="T69" s="769"/>
      <c r="U69" s="770" t="s">
        <v>437</v>
      </c>
      <c r="V69" s="771"/>
      <c r="W69" s="772"/>
      <c r="X69" s="805"/>
      <c r="Y69" s="805"/>
      <c r="Z69" s="772"/>
      <c r="AA69" s="772"/>
      <c r="AB69" s="772"/>
      <c r="AC69" s="772"/>
      <c r="AD69" s="772"/>
      <c r="AE69" s="772"/>
      <c r="AF69" s="772"/>
      <c r="AG69" s="772"/>
      <c r="AH69" s="772"/>
      <c r="AI69" s="769"/>
      <c r="AJ69" s="772"/>
      <c r="AK69" s="769"/>
      <c r="AL69" s="769"/>
      <c r="AM69" s="769"/>
      <c r="AN69" s="769"/>
      <c r="AO69" s="769"/>
      <c r="AP69" s="769"/>
      <c r="AQ69" s="769"/>
      <c r="AR69" s="769"/>
      <c r="AS69" s="769"/>
      <c r="AT69" s="769"/>
      <c r="AU69" s="769"/>
      <c r="AV69" s="769"/>
      <c r="AW69" s="769"/>
      <c r="AX69" s="769"/>
      <c r="AY69" s="769"/>
      <c r="AZ69" s="769"/>
      <c r="BA69" s="769"/>
      <c r="BB69" s="769"/>
      <c r="BC69" s="769"/>
      <c r="BD69" s="808"/>
      <c r="BE69" s="808"/>
      <c r="BF69" s="808"/>
      <c r="BG69" s="808"/>
      <c r="BH69" s="808"/>
      <c r="BI69" s="808"/>
      <c r="BJ69" s="808"/>
      <c r="BK69" s="769"/>
      <c r="BL69" s="769"/>
      <c r="BM69" s="769"/>
      <c r="BN69" s="769"/>
      <c r="BO69" s="769"/>
      <c r="BP69" s="769"/>
    </row>
    <row r="70" spans="1:68" ht="15.6">
      <c r="A70" s="762"/>
      <c r="B70" s="763"/>
      <c r="C70" s="763"/>
      <c r="D70" s="763"/>
      <c r="E70" s="763"/>
      <c r="F70" s="763"/>
      <c r="G70" s="689"/>
      <c r="H70" s="764"/>
      <c r="I70" s="763"/>
      <c r="J70" s="689"/>
      <c r="K70" s="764"/>
      <c r="L70" s="763"/>
      <c r="M70" s="689"/>
      <c r="N70" s="765"/>
      <c r="O70" s="776"/>
      <c r="P70" s="776"/>
      <c r="Q70" s="777"/>
      <c r="R70" s="762"/>
      <c r="S70" s="768"/>
      <c r="T70" s="769"/>
      <c r="U70" s="772"/>
      <c r="V70" s="771"/>
      <c r="W70" s="772"/>
      <c r="X70" s="805"/>
      <c r="Y70" s="805"/>
      <c r="Z70" s="772"/>
      <c r="AA70" s="772"/>
      <c r="AB70" s="772"/>
      <c r="AC70" s="772"/>
      <c r="AD70" s="772"/>
      <c r="AE70" s="772"/>
      <c r="AF70" s="772"/>
      <c r="AG70" s="772"/>
      <c r="AH70" s="772"/>
      <c r="AI70" s="769"/>
      <c r="AJ70" s="772"/>
      <c r="AK70" s="769"/>
      <c r="AL70" s="769"/>
      <c r="AM70" s="769"/>
      <c r="AN70" s="769"/>
      <c r="AO70" s="769"/>
      <c r="AP70" s="769"/>
      <c r="AQ70" s="769"/>
      <c r="AR70" s="769"/>
      <c r="AS70" s="769"/>
      <c r="AT70" s="769"/>
      <c r="AU70" s="769"/>
      <c r="AV70" s="769"/>
      <c r="AW70" s="769"/>
      <c r="AX70" s="769"/>
      <c r="AY70" s="769"/>
      <c r="AZ70" s="769"/>
      <c r="BA70" s="769"/>
      <c r="BB70" s="769"/>
      <c r="BC70" s="769"/>
      <c r="BD70" s="808"/>
      <c r="BE70" s="808"/>
      <c r="BF70" s="808"/>
      <c r="BG70" s="808"/>
      <c r="BH70" s="808"/>
      <c r="BI70" s="808"/>
      <c r="BJ70" s="808"/>
      <c r="BK70" s="769"/>
      <c r="BL70" s="769"/>
      <c r="BM70" s="769"/>
      <c r="BN70" s="769"/>
      <c r="BO70" s="769"/>
      <c r="BP70" s="769"/>
    </row>
    <row r="71" spans="1:68" ht="15.6">
      <c r="A71" s="762"/>
      <c r="B71" s="763">
        <v>0</v>
      </c>
      <c r="C71" s="763">
        <v>0</v>
      </c>
      <c r="D71" s="763">
        <v>0</v>
      </c>
      <c r="E71" s="763">
        <v>0</v>
      </c>
      <c r="F71" s="763">
        <v>0</v>
      </c>
      <c r="G71" s="689">
        <f t="shared" si="61"/>
        <v>0</v>
      </c>
      <c r="H71" s="764">
        <f t="shared" si="62"/>
        <v>0</v>
      </c>
      <c r="I71" s="763">
        <v>0</v>
      </c>
      <c r="J71" s="689">
        <f t="shared" si="63"/>
        <v>0</v>
      </c>
      <c r="K71" s="764">
        <f t="shared" si="64"/>
        <v>0</v>
      </c>
      <c r="L71" s="763">
        <v>0</v>
      </c>
      <c r="M71" s="689">
        <f t="shared" si="210"/>
        <v>0</v>
      </c>
      <c r="N71" s="765"/>
      <c r="O71" s="776"/>
      <c r="P71" s="776"/>
      <c r="Q71" s="777" t="s">
        <v>246</v>
      </c>
      <c r="R71" s="762" t="s">
        <v>211</v>
      </c>
      <c r="S71" s="768">
        <v>1</v>
      </c>
      <c r="T71" s="769">
        <f t="shared" ref="T71:T73" si="211">_xlfn.IFNA(ROUNDUP(AF71+AJ71+AO71+AQ71+L71+AS71+AU71+AW71+F71+AZ71+BB71,2),0)</f>
        <v>0</v>
      </c>
      <c r="U71" s="772">
        <f t="shared" ref="U71:U73" si="212">ROUND(T71*ROUNDUP(S71,1),2)</f>
        <v>0</v>
      </c>
      <c r="V71" s="771">
        <v>0</v>
      </c>
      <c r="W71" s="772">
        <f t="shared" ref="W71:W73" si="213">ROUND(+U71*V71,2)</f>
        <v>0</v>
      </c>
      <c r="X71" s="773"/>
      <c r="Y71" s="773"/>
      <c r="Z71" s="772">
        <f t="shared" ref="Z71:Z73" si="214">_xlfn.IFNA(ROUNDUP(AJ71*U71,2),0)</f>
        <v>0</v>
      </c>
      <c r="AA71" s="772">
        <f t="shared" ref="AA71:AA73" si="215">_xlfn.IFNA(ROUNDUP(AK71*V71,2),0)</f>
        <v>0</v>
      </c>
      <c r="AB71" s="772">
        <f t="shared" ref="AB71:AB73" si="216">ROUNDUP((AP71+AL71)*V71,2)</f>
        <v>0</v>
      </c>
      <c r="AC71" s="772">
        <f t="shared" ref="AC71:AC73" si="217">_xlfn.IFNA(ROUNDUP((AT71+AV71+AR71)*V71,2),0)</f>
        <v>0</v>
      </c>
      <c r="AD71" s="772">
        <f t="shared" ref="AD71:AD73" si="218">_xlfn.IFNA(ROUNDUP((BA71+AY71)*V71,2),0)</f>
        <v>0</v>
      </c>
      <c r="AE71" s="772">
        <f t="shared" ref="AE71:AE73" si="219">_xlfn.IFNA((BC71+AX71+AG71)*V71,0)</f>
        <v>0</v>
      </c>
      <c r="AF71" s="774">
        <f t="shared" ref="AF71:AF73" si="220">+_xlfn.IFNA(D71,0)</f>
        <v>0</v>
      </c>
      <c r="AG71" s="772">
        <f t="shared" ref="AG71:AG73" si="221">_xlfn.IFNA(ROUNDUP(D71*S71,2),0)</f>
        <v>0</v>
      </c>
      <c r="AH71" s="772">
        <f t="shared" ref="AH71:AH73" si="222">+_xlfn.IFNA(C71,0)</f>
        <v>0</v>
      </c>
      <c r="AI71" s="769">
        <f t="shared" ref="AI71:AI73" si="223">_xlfn.IFNA(C71*S71,0)</f>
        <v>0</v>
      </c>
      <c r="AJ71" s="772">
        <f t="shared" ref="AJ71:AJ73" si="224">+_xlfn.IFNA(E71,0)</f>
        <v>0</v>
      </c>
      <c r="AK71" s="769">
        <f t="shared" ref="AK71:AK73" si="225">_xlfn.IFNA(E71*S71,0)</f>
        <v>0</v>
      </c>
      <c r="AL71" s="769">
        <f t="shared" ref="AL71:AL73" si="226">ROUNDUP(S71*AQ71,2)</f>
        <v>0</v>
      </c>
      <c r="AM71" s="769">
        <f t="shared" ref="AM71:AM73" si="227">ROUNDUP(+I71*S71,2)</f>
        <v>0</v>
      </c>
      <c r="AN71" s="769">
        <f t="shared" ref="AN71:AN73" si="228">J71*I71*S71</f>
        <v>0</v>
      </c>
      <c r="AO71" s="769">
        <f t="shared" ref="AO71:AO73" si="229">ROUNDUP(I71*I$4*J71,2)</f>
        <v>0</v>
      </c>
      <c r="AP71" s="769">
        <f t="shared" ref="AP71:AP73" si="230">AO71*S71</f>
        <v>0</v>
      </c>
      <c r="AQ71" s="769">
        <f t="shared" ref="AQ71:AQ73" si="231">IF(I71=0,0,ROUNDUP(I$4*I71,2))</f>
        <v>0</v>
      </c>
      <c r="AR71" s="769">
        <f t="shared" ref="AR71:AR73" si="232">+_xlfn.IFNA(ROUNDUP(L71*ROUNDUP(S71,1),2),0)</f>
        <v>0</v>
      </c>
      <c r="AS71" s="769">
        <v>0</v>
      </c>
      <c r="AT71" s="769">
        <f t="shared" ref="AT71:AT73" si="233">+ROUNDUP(AS71*S71,2)</f>
        <v>0</v>
      </c>
      <c r="AU71" s="769">
        <f t="shared" ref="AU71:AU73" si="234">_xlfn.IFNA(ROUNDUP((L71+AS71)*M71,2),0)</f>
        <v>0</v>
      </c>
      <c r="AV71" s="769">
        <f t="shared" ref="AV71:AV73" si="235">ROUNDUP(AU71*S71,2)</f>
        <v>0</v>
      </c>
      <c r="AW71" s="769">
        <f t="shared" ref="AW71:AW73" si="236">_xlfn.IFNA(ROUNDUP((L71+AS71+AU71)*(L$4)*L$3,2),0)</f>
        <v>0</v>
      </c>
      <c r="AX71" s="769">
        <f t="shared" ref="AX71:AX73" si="237">ROUNDUP(+AW71*ROUNDUP(S71,1),2)</f>
        <v>0</v>
      </c>
      <c r="AY71" s="769">
        <f t="shared" ref="AY71:AY73" si="238">_xlfn.IFNA(ROUNDUP(F71*S71,2),0)</f>
        <v>0</v>
      </c>
      <c r="AZ71" s="769">
        <f t="shared" ref="AZ71:AZ73" si="239">_xlfn.IFNA(ROUNDUP(F71*G71,2),0)</f>
        <v>0</v>
      </c>
      <c r="BA71" s="769">
        <f t="shared" ref="BA71:BA73" si="240">ROUNDUP(AZ71*S71,2)</f>
        <v>0</v>
      </c>
      <c r="BB71" s="769">
        <f t="shared" ref="BB71:BB73" si="241">_xlfn.IFNA(ROUNDUP((ROUNDUP(F71+AZ71,2)*F$4)*F$3,2),0)</f>
        <v>0</v>
      </c>
      <c r="BC71" s="769">
        <f t="shared" ref="BC71:BC73" si="242">BB71*S71</f>
        <v>0</v>
      </c>
      <c r="BD71" s="808"/>
      <c r="BE71" s="808"/>
      <c r="BF71" s="808"/>
      <c r="BG71" s="808"/>
      <c r="BH71" s="808"/>
      <c r="BI71" s="808"/>
      <c r="BJ71" s="808"/>
      <c r="BK71" s="769">
        <f t="shared" si="98"/>
        <v>0</v>
      </c>
      <c r="BL71" s="769">
        <f t="shared" si="99"/>
        <v>0</v>
      </c>
      <c r="BM71" s="769">
        <f t="shared" si="100"/>
        <v>0</v>
      </c>
      <c r="BN71" s="769">
        <f t="shared" si="101"/>
        <v>0</v>
      </c>
      <c r="BO71" s="769">
        <f t="shared" si="102"/>
        <v>0</v>
      </c>
      <c r="BP71" s="769">
        <f t="shared" si="103"/>
        <v>0</v>
      </c>
    </row>
    <row r="72" spans="1:68" ht="15.6">
      <c r="A72" s="762"/>
      <c r="B72" s="763">
        <v>0</v>
      </c>
      <c r="C72" s="763">
        <v>0</v>
      </c>
      <c r="D72" s="763">
        <v>0</v>
      </c>
      <c r="E72" s="763">
        <v>0</v>
      </c>
      <c r="F72" s="763">
        <v>0</v>
      </c>
      <c r="G72" s="689">
        <f t="shared" si="61"/>
        <v>0</v>
      </c>
      <c r="H72" s="764">
        <f t="shared" si="62"/>
        <v>0</v>
      </c>
      <c r="I72" s="763">
        <v>0</v>
      </c>
      <c r="J72" s="689">
        <f t="shared" si="63"/>
        <v>0</v>
      </c>
      <c r="K72" s="764">
        <f t="shared" si="64"/>
        <v>0</v>
      </c>
      <c r="L72" s="763">
        <v>0</v>
      </c>
      <c r="M72" s="689">
        <f t="shared" si="210"/>
        <v>0</v>
      </c>
      <c r="N72" s="765"/>
      <c r="O72" s="776"/>
      <c r="P72" s="776"/>
      <c r="Q72" s="777" t="s">
        <v>247</v>
      </c>
      <c r="R72" s="762" t="s">
        <v>231</v>
      </c>
      <c r="S72" s="768">
        <v>1</v>
      </c>
      <c r="T72" s="769">
        <f t="shared" si="211"/>
        <v>0</v>
      </c>
      <c r="U72" s="772">
        <f t="shared" si="212"/>
        <v>0</v>
      </c>
      <c r="V72" s="771">
        <v>0</v>
      </c>
      <c r="W72" s="772">
        <f t="shared" si="213"/>
        <v>0</v>
      </c>
      <c r="X72" s="773"/>
      <c r="Y72" s="773"/>
      <c r="Z72" s="772">
        <f t="shared" si="214"/>
        <v>0</v>
      </c>
      <c r="AA72" s="772">
        <f t="shared" si="215"/>
        <v>0</v>
      </c>
      <c r="AB72" s="772">
        <f t="shared" si="216"/>
        <v>0</v>
      </c>
      <c r="AC72" s="772">
        <f t="shared" si="217"/>
        <v>0</v>
      </c>
      <c r="AD72" s="772">
        <f t="shared" si="218"/>
        <v>0</v>
      </c>
      <c r="AE72" s="772">
        <f t="shared" si="219"/>
        <v>0</v>
      </c>
      <c r="AF72" s="774">
        <f t="shared" si="220"/>
        <v>0</v>
      </c>
      <c r="AG72" s="772">
        <f t="shared" si="221"/>
        <v>0</v>
      </c>
      <c r="AH72" s="772">
        <f t="shared" si="222"/>
        <v>0</v>
      </c>
      <c r="AI72" s="769">
        <f t="shared" si="223"/>
        <v>0</v>
      </c>
      <c r="AJ72" s="772">
        <f t="shared" si="224"/>
        <v>0</v>
      </c>
      <c r="AK72" s="769">
        <f t="shared" si="225"/>
        <v>0</v>
      </c>
      <c r="AL72" s="769">
        <f t="shared" si="226"/>
        <v>0</v>
      </c>
      <c r="AM72" s="769">
        <f t="shared" si="227"/>
        <v>0</v>
      </c>
      <c r="AN72" s="769">
        <f t="shared" si="228"/>
        <v>0</v>
      </c>
      <c r="AO72" s="769">
        <f t="shared" si="229"/>
        <v>0</v>
      </c>
      <c r="AP72" s="769">
        <f t="shared" si="230"/>
        <v>0</v>
      </c>
      <c r="AQ72" s="769">
        <f t="shared" si="231"/>
        <v>0</v>
      </c>
      <c r="AR72" s="769">
        <f t="shared" si="232"/>
        <v>0</v>
      </c>
      <c r="AS72" s="769">
        <v>0</v>
      </c>
      <c r="AT72" s="769">
        <f t="shared" si="233"/>
        <v>0</v>
      </c>
      <c r="AU72" s="769">
        <f t="shared" si="234"/>
        <v>0</v>
      </c>
      <c r="AV72" s="769">
        <f t="shared" si="235"/>
        <v>0</v>
      </c>
      <c r="AW72" s="769">
        <f t="shared" si="236"/>
        <v>0</v>
      </c>
      <c r="AX72" s="769">
        <f t="shared" si="237"/>
        <v>0</v>
      </c>
      <c r="AY72" s="769">
        <f t="shared" si="238"/>
        <v>0</v>
      </c>
      <c r="AZ72" s="769">
        <f t="shared" si="239"/>
        <v>0</v>
      </c>
      <c r="BA72" s="769">
        <f t="shared" si="240"/>
        <v>0</v>
      </c>
      <c r="BB72" s="769">
        <f t="shared" si="241"/>
        <v>0</v>
      </c>
      <c r="BC72" s="769">
        <f t="shared" si="242"/>
        <v>0</v>
      </c>
      <c r="BD72" s="808"/>
      <c r="BE72" s="808"/>
      <c r="BF72" s="808"/>
      <c r="BG72" s="808"/>
      <c r="BH72" s="808"/>
      <c r="BI72" s="808"/>
      <c r="BJ72" s="808"/>
      <c r="BK72" s="769">
        <f t="shared" si="98"/>
        <v>0</v>
      </c>
      <c r="BL72" s="769">
        <f t="shared" si="99"/>
        <v>0</v>
      </c>
      <c r="BM72" s="769">
        <f t="shared" si="100"/>
        <v>0</v>
      </c>
      <c r="BN72" s="769">
        <f t="shared" si="101"/>
        <v>0</v>
      </c>
      <c r="BO72" s="769">
        <f t="shared" si="102"/>
        <v>0</v>
      </c>
      <c r="BP72" s="769">
        <f t="shared" si="103"/>
        <v>0</v>
      </c>
    </row>
    <row r="73" spans="1:68" ht="15.6">
      <c r="A73" s="762"/>
      <c r="B73" s="763">
        <v>0</v>
      </c>
      <c r="C73" s="763">
        <v>0</v>
      </c>
      <c r="D73" s="763">
        <v>0</v>
      </c>
      <c r="E73" s="763">
        <v>0</v>
      </c>
      <c r="F73" s="763">
        <v>0</v>
      </c>
      <c r="G73" s="689">
        <f t="shared" si="61"/>
        <v>0</v>
      </c>
      <c r="H73" s="764">
        <f t="shared" si="62"/>
        <v>0</v>
      </c>
      <c r="I73" s="763">
        <v>0</v>
      </c>
      <c r="J73" s="689">
        <f t="shared" si="63"/>
        <v>0</v>
      </c>
      <c r="K73" s="764">
        <f t="shared" si="64"/>
        <v>0</v>
      </c>
      <c r="L73" s="763">
        <v>0</v>
      </c>
      <c r="M73" s="689">
        <f t="shared" si="210"/>
        <v>0</v>
      </c>
      <c r="N73" s="765"/>
      <c r="O73" s="776"/>
      <c r="P73" s="776"/>
      <c r="Q73" s="777" t="s">
        <v>248</v>
      </c>
      <c r="R73" s="762" t="s">
        <v>249</v>
      </c>
      <c r="S73" s="768">
        <v>1</v>
      </c>
      <c r="T73" s="769">
        <f t="shared" si="211"/>
        <v>0</v>
      </c>
      <c r="U73" s="772">
        <f t="shared" si="212"/>
        <v>0</v>
      </c>
      <c r="V73" s="771">
        <v>0</v>
      </c>
      <c r="W73" s="772">
        <f t="shared" si="213"/>
        <v>0</v>
      </c>
      <c r="X73" s="773"/>
      <c r="Y73" s="773"/>
      <c r="Z73" s="772">
        <f t="shared" si="214"/>
        <v>0</v>
      </c>
      <c r="AA73" s="772">
        <f t="shared" si="215"/>
        <v>0</v>
      </c>
      <c r="AB73" s="772">
        <f t="shared" si="216"/>
        <v>0</v>
      </c>
      <c r="AC73" s="772">
        <f t="shared" si="217"/>
        <v>0</v>
      </c>
      <c r="AD73" s="772">
        <f t="shared" si="218"/>
        <v>0</v>
      </c>
      <c r="AE73" s="772">
        <f t="shared" si="219"/>
        <v>0</v>
      </c>
      <c r="AF73" s="774">
        <f t="shared" si="220"/>
        <v>0</v>
      </c>
      <c r="AG73" s="772">
        <f t="shared" si="221"/>
        <v>0</v>
      </c>
      <c r="AH73" s="772">
        <f t="shared" si="222"/>
        <v>0</v>
      </c>
      <c r="AI73" s="769">
        <f t="shared" si="223"/>
        <v>0</v>
      </c>
      <c r="AJ73" s="772">
        <f t="shared" si="224"/>
        <v>0</v>
      </c>
      <c r="AK73" s="769">
        <f t="shared" si="225"/>
        <v>0</v>
      </c>
      <c r="AL73" s="769">
        <f t="shared" si="226"/>
        <v>0</v>
      </c>
      <c r="AM73" s="769">
        <f t="shared" si="227"/>
        <v>0</v>
      </c>
      <c r="AN73" s="769">
        <f t="shared" si="228"/>
        <v>0</v>
      </c>
      <c r="AO73" s="769">
        <f t="shared" si="229"/>
        <v>0</v>
      </c>
      <c r="AP73" s="769">
        <f t="shared" si="230"/>
        <v>0</v>
      </c>
      <c r="AQ73" s="769">
        <f t="shared" si="231"/>
        <v>0</v>
      </c>
      <c r="AR73" s="769">
        <f t="shared" si="232"/>
        <v>0</v>
      </c>
      <c r="AS73" s="769">
        <v>0</v>
      </c>
      <c r="AT73" s="769">
        <f t="shared" si="233"/>
        <v>0</v>
      </c>
      <c r="AU73" s="769">
        <f t="shared" si="234"/>
        <v>0</v>
      </c>
      <c r="AV73" s="769">
        <f t="shared" si="235"/>
        <v>0</v>
      </c>
      <c r="AW73" s="769">
        <f t="shared" si="236"/>
        <v>0</v>
      </c>
      <c r="AX73" s="769">
        <f t="shared" si="237"/>
        <v>0</v>
      </c>
      <c r="AY73" s="769">
        <f t="shared" si="238"/>
        <v>0</v>
      </c>
      <c r="AZ73" s="769">
        <f t="shared" si="239"/>
        <v>0</v>
      </c>
      <c r="BA73" s="769">
        <f t="shared" si="240"/>
        <v>0</v>
      </c>
      <c r="BB73" s="769">
        <f t="shared" si="241"/>
        <v>0</v>
      </c>
      <c r="BC73" s="769">
        <f t="shared" si="242"/>
        <v>0</v>
      </c>
      <c r="BD73" s="808"/>
      <c r="BE73" s="808"/>
      <c r="BF73" s="808"/>
      <c r="BG73" s="808"/>
      <c r="BH73" s="808"/>
      <c r="BI73" s="808"/>
      <c r="BJ73" s="808"/>
      <c r="BK73" s="769">
        <f t="shared" si="98"/>
        <v>0</v>
      </c>
      <c r="BL73" s="769">
        <f t="shared" si="99"/>
        <v>0</v>
      </c>
      <c r="BM73" s="769">
        <f t="shared" si="100"/>
        <v>0</v>
      </c>
      <c r="BN73" s="769">
        <f t="shared" si="101"/>
        <v>0</v>
      </c>
      <c r="BO73" s="769">
        <f t="shared" si="102"/>
        <v>0</v>
      </c>
      <c r="BP73" s="769">
        <f t="shared" si="103"/>
        <v>0</v>
      </c>
    </row>
    <row r="74" spans="1:68" ht="15.6">
      <c r="A74" s="762"/>
      <c r="B74" s="763"/>
      <c r="C74" s="763"/>
      <c r="D74" s="763"/>
      <c r="E74" s="763"/>
      <c r="F74" s="763"/>
      <c r="G74" s="689"/>
      <c r="H74" s="764"/>
      <c r="I74" s="763"/>
      <c r="J74" s="689"/>
      <c r="K74" s="764"/>
      <c r="L74" s="763"/>
      <c r="M74" s="689"/>
      <c r="N74" s="765"/>
      <c r="O74" s="776"/>
      <c r="P74" s="776"/>
      <c r="Q74" s="777"/>
      <c r="R74" s="762"/>
      <c r="S74" s="768"/>
      <c r="T74" s="769"/>
      <c r="U74" s="772"/>
      <c r="V74" s="771"/>
      <c r="W74" s="772"/>
      <c r="X74" s="805"/>
      <c r="Y74" s="805"/>
      <c r="Z74" s="772"/>
      <c r="AA74" s="772"/>
      <c r="AB74" s="772"/>
      <c r="AC74" s="772"/>
      <c r="AD74" s="772"/>
      <c r="AE74" s="772"/>
      <c r="AF74" s="772"/>
      <c r="AG74" s="772"/>
      <c r="AH74" s="772"/>
      <c r="AI74" s="769"/>
      <c r="AJ74" s="772"/>
      <c r="AK74" s="769"/>
      <c r="AL74" s="769"/>
      <c r="AM74" s="769"/>
      <c r="AN74" s="769"/>
      <c r="AO74" s="769"/>
      <c r="AP74" s="769"/>
      <c r="AQ74" s="769"/>
      <c r="AR74" s="769"/>
      <c r="AS74" s="769"/>
      <c r="AT74" s="769"/>
      <c r="AU74" s="769"/>
      <c r="AV74" s="769"/>
      <c r="AW74" s="769"/>
      <c r="AX74" s="769"/>
      <c r="AY74" s="769"/>
      <c r="AZ74" s="769"/>
      <c r="BA74" s="769"/>
      <c r="BB74" s="769"/>
      <c r="BC74" s="769"/>
      <c r="BD74" s="808"/>
      <c r="BE74" s="808"/>
      <c r="BF74" s="808"/>
      <c r="BG74" s="808"/>
      <c r="BH74" s="808"/>
      <c r="BI74" s="808"/>
      <c r="BJ74" s="808"/>
      <c r="BK74" s="769"/>
      <c r="BL74" s="769"/>
      <c r="BM74" s="769"/>
      <c r="BN74" s="769"/>
      <c r="BO74" s="769"/>
      <c r="BP74" s="769"/>
    </row>
    <row r="75" spans="1:68" ht="15.6">
      <c r="A75" s="762"/>
      <c r="B75" s="763"/>
      <c r="C75" s="763"/>
      <c r="D75" s="763"/>
      <c r="E75" s="763"/>
      <c r="F75" s="763"/>
      <c r="G75" s="689"/>
      <c r="H75" s="764"/>
      <c r="I75" s="763"/>
      <c r="J75" s="689"/>
      <c r="K75" s="764"/>
      <c r="L75" s="763"/>
      <c r="M75" s="689"/>
      <c r="N75" s="765"/>
      <c r="O75" s="766">
        <v>9</v>
      </c>
      <c r="P75" s="766" t="s">
        <v>250</v>
      </c>
      <c r="Q75" s="767"/>
      <c r="R75" s="762"/>
      <c r="S75" s="768"/>
      <c r="T75" s="769"/>
      <c r="U75" s="770" t="s">
        <v>437</v>
      </c>
      <c r="V75" s="771"/>
      <c r="W75" s="772"/>
      <c r="X75" s="805"/>
      <c r="Y75" s="805"/>
      <c r="Z75" s="772"/>
      <c r="AA75" s="772"/>
      <c r="AB75" s="772"/>
      <c r="AC75" s="772"/>
      <c r="AD75" s="772"/>
      <c r="AE75" s="772"/>
      <c r="AF75" s="772"/>
      <c r="AG75" s="772"/>
      <c r="AH75" s="772"/>
      <c r="AI75" s="769"/>
      <c r="AJ75" s="772"/>
      <c r="AK75" s="769"/>
      <c r="AL75" s="769"/>
      <c r="AM75" s="769"/>
      <c r="AN75" s="769"/>
      <c r="AO75" s="769"/>
      <c r="AP75" s="769"/>
      <c r="AQ75" s="769"/>
      <c r="AR75" s="769"/>
      <c r="AS75" s="769"/>
      <c r="AT75" s="769"/>
      <c r="AU75" s="769"/>
      <c r="AV75" s="769"/>
      <c r="AW75" s="769"/>
      <c r="AX75" s="769"/>
      <c r="AY75" s="769"/>
      <c r="AZ75" s="769"/>
      <c r="BA75" s="769"/>
      <c r="BB75" s="769"/>
      <c r="BC75" s="769"/>
      <c r="BD75" s="808"/>
      <c r="BE75" s="808"/>
      <c r="BF75" s="808"/>
      <c r="BG75" s="808"/>
      <c r="BH75" s="808"/>
      <c r="BI75" s="808"/>
      <c r="BJ75" s="808"/>
      <c r="BK75" s="769"/>
      <c r="BL75" s="769"/>
      <c r="BM75" s="769"/>
      <c r="BN75" s="769"/>
      <c r="BO75" s="769"/>
      <c r="BP75" s="769"/>
    </row>
    <row r="76" spans="1:68" ht="15.6">
      <c r="A76" s="762"/>
      <c r="B76" s="763"/>
      <c r="C76" s="763"/>
      <c r="D76" s="763"/>
      <c r="E76" s="763"/>
      <c r="F76" s="763"/>
      <c r="G76" s="689"/>
      <c r="H76" s="764"/>
      <c r="I76" s="763"/>
      <c r="J76" s="689"/>
      <c r="K76" s="764"/>
      <c r="L76" s="763"/>
      <c r="M76" s="689"/>
      <c r="N76" s="765"/>
      <c r="O76" s="776"/>
      <c r="P76" s="776"/>
      <c r="Q76" s="777"/>
      <c r="R76" s="762"/>
      <c r="S76" s="768"/>
      <c r="T76" s="769"/>
      <c r="U76" s="772"/>
      <c r="V76" s="771"/>
      <c r="W76" s="772"/>
      <c r="X76" s="805"/>
      <c r="Y76" s="805"/>
      <c r="Z76" s="772"/>
      <c r="AA76" s="772"/>
      <c r="AB76" s="772"/>
      <c r="AC76" s="772"/>
      <c r="AD76" s="772"/>
      <c r="AE76" s="772"/>
      <c r="AF76" s="772"/>
      <c r="AG76" s="772"/>
      <c r="AH76" s="772"/>
      <c r="AI76" s="769"/>
      <c r="AJ76" s="772"/>
      <c r="AK76" s="769"/>
      <c r="AL76" s="769"/>
      <c r="AM76" s="769"/>
      <c r="AN76" s="769"/>
      <c r="AO76" s="769"/>
      <c r="AP76" s="769"/>
      <c r="AQ76" s="769"/>
      <c r="AR76" s="769"/>
      <c r="AS76" s="769"/>
      <c r="AT76" s="769"/>
      <c r="AU76" s="769"/>
      <c r="AV76" s="769"/>
      <c r="AW76" s="769"/>
      <c r="AX76" s="769"/>
      <c r="AY76" s="769"/>
      <c r="AZ76" s="769"/>
      <c r="BA76" s="769"/>
      <c r="BB76" s="769"/>
      <c r="BC76" s="769"/>
      <c r="BD76" s="808"/>
      <c r="BE76" s="808"/>
      <c r="BF76" s="808"/>
      <c r="BG76" s="808"/>
      <c r="BH76" s="808"/>
      <c r="BI76" s="808"/>
      <c r="BJ76" s="808"/>
      <c r="BK76" s="769"/>
      <c r="BL76" s="769"/>
      <c r="BM76" s="769"/>
      <c r="BN76" s="769"/>
      <c r="BO76" s="769"/>
      <c r="BP76" s="769"/>
    </row>
    <row r="77" spans="1:68" ht="15.6">
      <c r="A77" s="762"/>
      <c r="B77" s="763">
        <v>0</v>
      </c>
      <c r="C77" s="763">
        <v>0</v>
      </c>
      <c r="D77" s="763">
        <v>0</v>
      </c>
      <c r="E77" s="763">
        <v>0</v>
      </c>
      <c r="F77" s="763">
        <v>0</v>
      </c>
      <c r="G77" s="689">
        <f t="shared" si="61"/>
        <v>0</v>
      </c>
      <c r="H77" s="764">
        <f t="shared" si="62"/>
        <v>0</v>
      </c>
      <c r="I77" s="763">
        <v>0</v>
      </c>
      <c r="J77" s="689">
        <f t="shared" si="63"/>
        <v>0</v>
      </c>
      <c r="K77" s="764">
        <f t="shared" si="64"/>
        <v>0</v>
      </c>
      <c r="L77" s="763">
        <v>0</v>
      </c>
      <c r="M77" s="689">
        <f t="shared" si="210"/>
        <v>0</v>
      </c>
      <c r="N77" s="765"/>
      <c r="O77" s="776"/>
      <c r="P77" s="776"/>
      <c r="Q77" s="777" t="s">
        <v>251</v>
      </c>
      <c r="R77" s="762" t="s">
        <v>211</v>
      </c>
      <c r="S77" s="768">
        <v>1</v>
      </c>
      <c r="T77" s="769">
        <f t="shared" ref="T77:T80" si="243">_xlfn.IFNA(ROUNDUP(AF77+AJ77+AO77+AQ77+L77+AS77+AU77+AW77+F77+AZ77+BB77,2),0)</f>
        <v>0</v>
      </c>
      <c r="U77" s="772">
        <f t="shared" ref="U77:U80" si="244">ROUND(T77*ROUNDUP(S77,1),2)</f>
        <v>0</v>
      </c>
      <c r="V77" s="771">
        <v>0</v>
      </c>
      <c r="W77" s="772">
        <f t="shared" ref="W77:W80" si="245">ROUND(+U77*V77,2)</f>
        <v>0</v>
      </c>
      <c r="X77" s="773"/>
      <c r="Y77" s="773"/>
      <c r="Z77" s="772">
        <f t="shared" ref="Z77:Z80" si="246">_xlfn.IFNA(ROUNDUP(AJ77*U77,2),0)</f>
        <v>0</v>
      </c>
      <c r="AA77" s="772">
        <f t="shared" ref="AA77:AA80" si="247">_xlfn.IFNA(ROUNDUP(AK77*V77,2),0)</f>
        <v>0</v>
      </c>
      <c r="AB77" s="772">
        <f t="shared" ref="AB77:AB80" si="248">ROUNDUP((AP77+AL77)*V77,2)</f>
        <v>0</v>
      </c>
      <c r="AC77" s="772">
        <f t="shared" ref="AC77:AC80" si="249">_xlfn.IFNA(ROUNDUP((AT77+AV77+AR77)*V77,2),0)</f>
        <v>0</v>
      </c>
      <c r="AD77" s="772">
        <f t="shared" ref="AD77:AD80" si="250">_xlfn.IFNA(ROUNDUP((BA77+AY77)*V77,2),0)</f>
        <v>0</v>
      </c>
      <c r="AE77" s="772">
        <f t="shared" ref="AE77:AE80" si="251">_xlfn.IFNA((BC77+AX77+AG77)*V77,0)</f>
        <v>0</v>
      </c>
      <c r="AF77" s="774">
        <f t="shared" ref="AF77:AF80" si="252">+_xlfn.IFNA(D77,0)</f>
        <v>0</v>
      </c>
      <c r="AG77" s="772">
        <f t="shared" ref="AG77:AG80" si="253">_xlfn.IFNA(ROUNDUP(D77*S77,2),0)</f>
        <v>0</v>
      </c>
      <c r="AH77" s="772">
        <f t="shared" ref="AH77:AH80" si="254">+_xlfn.IFNA(C77,0)</f>
        <v>0</v>
      </c>
      <c r="AI77" s="769">
        <f t="shared" ref="AI77:AI80" si="255">_xlfn.IFNA(C77*S77,0)</f>
        <v>0</v>
      </c>
      <c r="AJ77" s="772">
        <f t="shared" ref="AJ77:AJ80" si="256">+_xlfn.IFNA(E77,0)</f>
        <v>0</v>
      </c>
      <c r="AK77" s="769">
        <f t="shared" ref="AK77:AK80" si="257">_xlfn.IFNA(E77*S77,0)</f>
        <v>0</v>
      </c>
      <c r="AL77" s="769">
        <f t="shared" ref="AL77:AL80" si="258">ROUNDUP(S77*AQ77,2)</f>
        <v>0</v>
      </c>
      <c r="AM77" s="769">
        <f t="shared" ref="AM77:AM80" si="259">ROUNDUP(+I77*S77,2)</f>
        <v>0</v>
      </c>
      <c r="AN77" s="769">
        <f t="shared" ref="AN77:AN80" si="260">J77*I77*S77</f>
        <v>0</v>
      </c>
      <c r="AO77" s="769">
        <f t="shared" ref="AO77:AO80" si="261">ROUNDUP(I77*I$4*J77,2)</f>
        <v>0</v>
      </c>
      <c r="AP77" s="769">
        <f t="shared" ref="AP77:AP80" si="262">AO77*S77</f>
        <v>0</v>
      </c>
      <c r="AQ77" s="769">
        <f t="shared" ref="AQ77:AQ80" si="263">IF(I77=0,0,ROUNDUP(I$4*I77,2))</f>
        <v>0</v>
      </c>
      <c r="AR77" s="769">
        <f t="shared" ref="AR77:AR80" si="264">+_xlfn.IFNA(ROUNDUP(L77*ROUNDUP(S77,1),2),0)</f>
        <v>0</v>
      </c>
      <c r="AS77" s="769">
        <v>0</v>
      </c>
      <c r="AT77" s="769">
        <f t="shared" ref="AT77:AT80" si="265">+ROUNDUP(AS77*S77,2)</f>
        <v>0</v>
      </c>
      <c r="AU77" s="769">
        <f t="shared" ref="AU77:AU80" si="266">_xlfn.IFNA(ROUNDUP((L77+AS77)*M77,2),0)</f>
        <v>0</v>
      </c>
      <c r="AV77" s="769">
        <f t="shared" ref="AV77:AV80" si="267">ROUNDUP(AU77*S77,2)</f>
        <v>0</v>
      </c>
      <c r="AW77" s="769">
        <f t="shared" ref="AW77:AW80" si="268">_xlfn.IFNA(ROUNDUP((L77+AS77+AU77)*(L$4)*L$3,2),0)</f>
        <v>0</v>
      </c>
      <c r="AX77" s="769">
        <f t="shared" ref="AX77:AX80" si="269">ROUNDUP(+AW77*ROUNDUP(S77,1),2)</f>
        <v>0</v>
      </c>
      <c r="AY77" s="769">
        <f t="shared" ref="AY77:AY80" si="270">_xlfn.IFNA(ROUNDUP(F77*S77,2),0)</f>
        <v>0</v>
      </c>
      <c r="AZ77" s="769">
        <f t="shared" ref="AZ77:AZ80" si="271">_xlfn.IFNA(ROUNDUP(F77*G77,2),0)</f>
        <v>0</v>
      </c>
      <c r="BA77" s="769">
        <f t="shared" ref="BA77:BA80" si="272">ROUNDUP(AZ77*S77,2)</f>
        <v>0</v>
      </c>
      <c r="BB77" s="769">
        <f t="shared" ref="BB77:BB80" si="273">_xlfn.IFNA(ROUNDUP((ROUNDUP(F77+AZ77,2)*F$4)*F$3,2),0)</f>
        <v>0</v>
      </c>
      <c r="BC77" s="769">
        <f t="shared" ref="BC77:BC80" si="274">BB77*S77</f>
        <v>0</v>
      </c>
      <c r="BD77" s="808"/>
      <c r="BE77" s="808"/>
      <c r="BF77" s="808"/>
      <c r="BG77" s="808"/>
      <c r="BH77" s="808"/>
      <c r="BI77" s="808"/>
      <c r="BJ77" s="808"/>
      <c r="BK77" s="769">
        <f t="shared" si="98"/>
        <v>0</v>
      </c>
      <c r="BL77" s="769">
        <f t="shared" si="99"/>
        <v>0</v>
      </c>
      <c r="BM77" s="769">
        <f t="shared" si="100"/>
        <v>0</v>
      </c>
      <c r="BN77" s="769">
        <f t="shared" si="101"/>
        <v>0</v>
      </c>
      <c r="BO77" s="769">
        <f t="shared" si="102"/>
        <v>0</v>
      </c>
      <c r="BP77" s="769">
        <f t="shared" si="103"/>
        <v>0</v>
      </c>
    </row>
    <row r="78" spans="1:68" ht="15.6">
      <c r="A78" s="762"/>
      <c r="B78" s="763">
        <v>0</v>
      </c>
      <c r="C78" s="763">
        <v>0</v>
      </c>
      <c r="D78" s="763">
        <v>0</v>
      </c>
      <c r="E78" s="763">
        <v>0</v>
      </c>
      <c r="F78" s="763">
        <v>0</v>
      </c>
      <c r="G78" s="689">
        <f t="shared" si="61"/>
        <v>0</v>
      </c>
      <c r="H78" s="764">
        <f t="shared" si="62"/>
        <v>0</v>
      </c>
      <c r="I78" s="763">
        <v>0</v>
      </c>
      <c r="J78" s="689">
        <f t="shared" si="63"/>
        <v>0</v>
      </c>
      <c r="K78" s="764">
        <f t="shared" si="64"/>
        <v>0</v>
      </c>
      <c r="L78" s="763">
        <v>0</v>
      </c>
      <c r="M78" s="689">
        <f t="shared" si="210"/>
        <v>0</v>
      </c>
      <c r="N78" s="765"/>
      <c r="O78" s="776"/>
      <c r="P78" s="776"/>
      <c r="Q78" s="777" t="s">
        <v>252</v>
      </c>
      <c r="R78" s="762" t="s">
        <v>211</v>
      </c>
      <c r="S78" s="768">
        <v>1</v>
      </c>
      <c r="T78" s="769">
        <f t="shared" si="243"/>
        <v>0</v>
      </c>
      <c r="U78" s="772">
        <f t="shared" si="244"/>
        <v>0</v>
      </c>
      <c r="V78" s="771">
        <v>0</v>
      </c>
      <c r="W78" s="772">
        <f t="shared" si="245"/>
        <v>0</v>
      </c>
      <c r="X78" s="773"/>
      <c r="Y78" s="773"/>
      <c r="Z78" s="772">
        <f t="shared" si="246"/>
        <v>0</v>
      </c>
      <c r="AA78" s="772">
        <f t="shared" si="247"/>
        <v>0</v>
      </c>
      <c r="AB78" s="772">
        <f t="shared" si="248"/>
        <v>0</v>
      </c>
      <c r="AC78" s="772">
        <f t="shared" si="249"/>
        <v>0</v>
      </c>
      <c r="AD78" s="772">
        <f t="shared" si="250"/>
        <v>0</v>
      </c>
      <c r="AE78" s="772">
        <f t="shared" si="251"/>
        <v>0</v>
      </c>
      <c r="AF78" s="774">
        <f t="shared" si="252"/>
        <v>0</v>
      </c>
      <c r="AG78" s="772">
        <f t="shared" si="253"/>
        <v>0</v>
      </c>
      <c r="AH78" s="772">
        <f t="shared" si="254"/>
        <v>0</v>
      </c>
      <c r="AI78" s="769">
        <f t="shared" si="255"/>
        <v>0</v>
      </c>
      <c r="AJ78" s="772">
        <f t="shared" si="256"/>
        <v>0</v>
      </c>
      <c r="AK78" s="769">
        <f t="shared" si="257"/>
        <v>0</v>
      </c>
      <c r="AL78" s="769">
        <f t="shared" si="258"/>
        <v>0</v>
      </c>
      <c r="AM78" s="769">
        <f t="shared" si="259"/>
        <v>0</v>
      </c>
      <c r="AN78" s="769">
        <f t="shared" si="260"/>
        <v>0</v>
      </c>
      <c r="AO78" s="769">
        <f t="shared" si="261"/>
        <v>0</v>
      </c>
      <c r="AP78" s="769">
        <f t="shared" si="262"/>
        <v>0</v>
      </c>
      <c r="AQ78" s="769">
        <f t="shared" si="263"/>
        <v>0</v>
      </c>
      <c r="AR78" s="769">
        <f t="shared" si="264"/>
        <v>0</v>
      </c>
      <c r="AS78" s="769">
        <v>0</v>
      </c>
      <c r="AT78" s="769">
        <f t="shared" si="265"/>
        <v>0</v>
      </c>
      <c r="AU78" s="769">
        <f t="shared" si="266"/>
        <v>0</v>
      </c>
      <c r="AV78" s="769">
        <f t="shared" si="267"/>
        <v>0</v>
      </c>
      <c r="AW78" s="769">
        <f t="shared" si="268"/>
        <v>0</v>
      </c>
      <c r="AX78" s="769">
        <f t="shared" si="269"/>
        <v>0</v>
      </c>
      <c r="AY78" s="769">
        <f t="shared" si="270"/>
        <v>0</v>
      </c>
      <c r="AZ78" s="769">
        <f t="shared" si="271"/>
        <v>0</v>
      </c>
      <c r="BA78" s="769">
        <f t="shared" si="272"/>
        <v>0</v>
      </c>
      <c r="BB78" s="769">
        <f t="shared" si="273"/>
        <v>0</v>
      </c>
      <c r="BC78" s="769">
        <f t="shared" si="274"/>
        <v>0</v>
      </c>
      <c r="BD78" s="808"/>
      <c r="BE78" s="808"/>
      <c r="BF78" s="808"/>
      <c r="BG78" s="808"/>
      <c r="BH78" s="808"/>
      <c r="BI78" s="808"/>
      <c r="BJ78" s="808"/>
      <c r="BK78" s="769">
        <f t="shared" si="98"/>
        <v>0</v>
      </c>
      <c r="BL78" s="769">
        <f t="shared" si="99"/>
        <v>0</v>
      </c>
      <c r="BM78" s="769">
        <f t="shared" si="100"/>
        <v>0</v>
      </c>
      <c r="BN78" s="769">
        <f t="shared" si="101"/>
        <v>0</v>
      </c>
      <c r="BO78" s="769">
        <f t="shared" si="102"/>
        <v>0</v>
      </c>
      <c r="BP78" s="769">
        <f t="shared" si="103"/>
        <v>0</v>
      </c>
    </row>
    <row r="79" spans="1:68" ht="15.6">
      <c r="A79" s="762"/>
      <c r="B79" s="763">
        <v>0</v>
      </c>
      <c r="C79" s="763">
        <v>0</v>
      </c>
      <c r="D79" s="763">
        <v>0</v>
      </c>
      <c r="E79" s="763">
        <v>0</v>
      </c>
      <c r="F79" s="763">
        <v>0</v>
      </c>
      <c r="G79" s="689">
        <f t="shared" si="61"/>
        <v>0</v>
      </c>
      <c r="H79" s="764">
        <f t="shared" si="62"/>
        <v>0</v>
      </c>
      <c r="I79" s="763">
        <v>0</v>
      </c>
      <c r="J79" s="689">
        <f t="shared" si="63"/>
        <v>0</v>
      </c>
      <c r="K79" s="764">
        <f t="shared" si="64"/>
        <v>0</v>
      </c>
      <c r="L79" s="763">
        <v>0</v>
      </c>
      <c r="M79" s="689">
        <f t="shared" si="210"/>
        <v>0</v>
      </c>
      <c r="N79" s="765"/>
      <c r="O79" s="776"/>
      <c r="P79" s="776"/>
      <c r="Q79" s="777" t="s">
        <v>253</v>
      </c>
      <c r="R79" s="762" t="s">
        <v>211</v>
      </c>
      <c r="S79" s="768">
        <v>1</v>
      </c>
      <c r="T79" s="769">
        <f t="shared" si="243"/>
        <v>0</v>
      </c>
      <c r="U79" s="772">
        <f t="shared" si="244"/>
        <v>0</v>
      </c>
      <c r="V79" s="771">
        <v>0</v>
      </c>
      <c r="W79" s="772">
        <f t="shared" si="245"/>
        <v>0</v>
      </c>
      <c r="X79" s="773"/>
      <c r="Y79" s="773"/>
      <c r="Z79" s="772">
        <f t="shared" si="246"/>
        <v>0</v>
      </c>
      <c r="AA79" s="772">
        <f t="shared" si="247"/>
        <v>0</v>
      </c>
      <c r="AB79" s="772">
        <f t="shared" si="248"/>
        <v>0</v>
      </c>
      <c r="AC79" s="772">
        <f t="shared" si="249"/>
        <v>0</v>
      </c>
      <c r="AD79" s="772">
        <f t="shared" si="250"/>
        <v>0</v>
      </c>
      <c r="AE79" s="772">
        <f t="shared" si="251"/>
        <v>0</v>
      </c>
      <c r="AF79" s="774">
        <f t="shared" si="252"/>
        <v>0</v>
      </c>
      <c r="AG79" s="772">
        <f t="shared" si="253"/>
        <v>0</v>
      </c>
      <c r="AH79" s="772">
        <f t="shared" si="254"/>
        <v>0</v>
      </c>
      <c r="AI79" s="769">
        <f t="shared" si="255"/>
        <v>0</v>
      </c>
      <c r="AJ79" s="772">
        <f t="shared" si="256"/>
        <v>0</v>
      </c>
      <c r="AK79" s="769">
        <f t="shared" si="257"/>
        <v>0</v>
      </c>
      <c r="AL79" s="769">
        <f t="shared" si="258"/>
        <v>0</v>
      </c>
      <c r="AM79" s="769">
        <f t="shared" si="259"/>
        <v>0</v>
      </c>
      <c r="AN79" s="769">
        <f t="shared" si="260"/>
        <v>0</v>
      </c>
      <c r="AO79" s="769">
        <f t="shared" si="261"/>
        <v>0</v>
      </c>
      <c r="AP79" s="769">
        <f t="shared" si="262"/>
        <v>0</v>
      </c>
      <c r="AQ79" s="769">
        <f t="shared" si="263"/>
        <v>0</v>
      </c>
      <c r="AR79" s="769">
        <f t="shared" si="264"/>
        <v>0</v>
      </c>
      <c r="AS79" s="769">
        <v>0</v>
      </c>
      <c r="AT79" s="769">
        <f t="shared" si="265"/>
        <v>0</v>
      </c>
      <c r="AU79" s="769">
        <f t="shared" si="266"/>
        <v>0</v>
      </c>
      <c r="AV79" s="769">
        <f t="shared" si="267"/>
        <v>0</v>
      </c>
      <c r="AW79" s="769">
        <f t="shared" si="268"/>
        <v>0</v>
      </c>
      <c r="AX79" s="769">
        <f t="shared" si="269"/>
        <v>0</v>
      </c>
      <c r="AY79" s="769">
        <f t="shared" si="270"/>
        <v>0</v>
      </c>
      <c r="AZ79" s="769">
        <f t="shared" si="271"/>
        <v>0</v>
      </c>
      <c r="BA79" s="769">
        <f t="shared" si="272"/>
        <v>0</v>
      </c>
      <c r="BB79" s="769">
        <f t="shared" si="273"/>
        <v>0</v>
      </c>
      <c r="BC79" s="769">
        <f t="shared" si="274"/>
        <v>0</v>
      </c>
      <c r="BD79" s="808"/>
      <c r="BE79" s="808"/>
      <c r="BF79" s="808"/>
      <c r="BG79" s="808"/>
      <c r="BH79" s="808"/>
      <c r="BI79" s="808"/>
      <c r="BJ79" s="808"/>
      <c r="BK79" s="769">
        <f t="shared" si="98"/>
        <v>0</v>
      </c>
      <c r="BL79" s="769">
        <f t="shared" si="99"/>
        <v>0</v>
      </c>
      <c r="BM79" s="769">
        <f t="shared" si="100"/>
        <v>0</v>
      </c>
      <c r="BN79" s="769">
        <f t="shared" si="101"/>
        <v>0</v>
      </c>
      <c r="BO79" s="769">
        <f t="shared" si="102"/>
        <v>0</v>
      </c>
      <c r="BP79" s="769">
        <f t="shared" si="103"/>
        <v>0</v>
      </c>
    </row>
    <row r="80" spans="1:68" ht="15.6">
      <c r="A80" s="762"/>
      <c r="B80" s="763">
        <v>0</v>
      </c>
      <c r="C80" s="763">
        <v>0</v>
      </c>
      <c r="D80" s="763">
        <v>0</v>
      </c>
      <c r="E80" s="763">
        <v>0</v>
      </c>
      <c r="F80" s="763">
        <v>0</v>
      </c>
      <c r="G80" s="689">
        <f t="shared" si="61"/>
        <v>0</v>
      </c>
      <c r="H80" s="764">
        <f t="shared" si="62"/>
        <v>0</v>
      </c>
      <c r="I80" s="763">
        <v>0</v>
      </c>
      <c r="J80" s="689">
        <f t="shared" si="63"/>
        <v>0</v>
      </c>
      <c r="K80" s="764">
        <f t="shared" si="64"/>
        <v>0</v>
      </c>
      <c r="L80" s="763">
        <v>0</v>
      </c>
      <c r="M80" s="689">
        <f t="shared" si="210"/>
        <v>0</v>
      </c>
      <c r="N80" s="765"/>
      <c r="O80" s="776"/>
      <c r="P80" s="776"/>
      <c r="Q80" s="777" t="s">
        <v>254</v>
      </c>
      <c r="R80" s="762" t="s">
        <v>211</v>
      </c>
      <c r="S80" s="768">
        <v>1</v>
      </c>
      <c r="T80" s="769">
        <f t="shared" si="243"/>
        <v>0</v>
      </c>
      <c r="U80" s="772">
        <f t="shared" si="244"/>
        <v>0</v>
      </c>
      <c r="V80" s="771">
        <v>0</v>
      </c>
      <c r="W80" s="772">
        <f t="shared" si="245"/>
        <v>0</v>
      </c>
      <c r="X80" s="773"/>
      <c r="Y80" s="773"/>
      <c r="Z80" s="772">
        <f t="shared" si="246"/>
        <v>0</v>
      </c>
      <c r="AA80" s="772">
        <f t="shared" si="247"/>
        <v>0</v>
      </c>
      <c r="AB80" s="772">
        <f t="shared" si="248"/>
        <v>0</v>
      </c>
      <c r="AC80" s="772">
        <f t="shared" si="249"/>
        <v>0</v>
      </c>
      <c r="AD80" s="772">
        <f t="shared" si="250"/>
        <v>0</v>
      </c>
      <c r="AE80" s="772">
        <f t="shared" si="251"/>
        <v>0</v>
      </c>
      <c r="AF80" s="774">
        <f t="shared" si="252"/>
        <v>0</v>
      </c>
      <c r="AG80" s="772">
        <f t="shared" si="253"/>
        <v>0</v>
      </c>
      <c r="AH80" s="772">
        <f t="shared" si="254"/>
        <v>0</v>
      </c>
      <c r="AI80" s="769">
        <f t="shared" si="255"/>
        <v>0</v>
      </c>
      <c r="AJ80" s="772">
        <f t="shared" si="256"/>
        <v>0</v>
      </c>
      <c r="AK80" s="769">
        <f t="shared" si="257"/>
        <v>0</v>
      </c>
      <c r="AL80" s="769">
        <f t="shared" si="258"/>
        <v>0</v>
      </c>
      <c r="AM80" s="769">
        <f t="shared" si="259"/>
        <v>0</v>
      </c>
      <c r="AN80" s="769">
        <f t="shared" si="260"/>
        <v>0</v>
      </c>
      <c r="AO80" s="769">
        <f t="shared" si="261"/>
        <v>0</v>
      </c>
      <c r="AP80" s="769">
        <f t="shared" si="262"/>
        <v>0</v>
      </c>
      <c r="AQ80" s="769">
        <f t="shared" si="263"/>
        <v>0</v>
      </c>
      <c r="AR80" s="769">
        <f t="shared" si="264"/>
        <v>0</v>
      </c>
      <c r="AS80" s="769">
        <v>0</v>
      </c>
      <c r="AT80" s="769">
        <f t="shared" si="265"/>
        <v>0</v>
      </c>
      <c r="AU80" s="769">
        <f t="shared" si="266"/>
        <v>0</v>
      </c>
      <c r="AV80" s="769">
        <f t="shared" si="267"/>
        <v>0</v>
      </c>
      <c r="AW80" s="769">
        <f t="shared" si="268"/>
        <v>0</v>
      </c>
      <c r="AX80" s="769">
        <f t="shared" si="269"/>
        <v>0</v>
      </c>
      <c r="AY80" s="769">
        <f t="shared" si="270"/>
        <v>0</v>
      </c>
      <c r="AZ80" s="769">
        <f t="shared" si="271"/>
        <v>0</v>
      </c>
      <c r="BA80" s="769">
        <f t="shared" si="272"/>
        <v>0</v>
      </c>
      <c r="BB80" s="769">
        <f t="shared" si="273"/>
        <v>0</v>
      </c>
      <c r="BC80" s="769">
        <f t="shared" si="274"/>
        <v>0</v>
      </c>
      <c r="BD80" s="808"/>
      <c r="BE80" s="808"/>
      <c r="BF80" s="808"/>
      <c r="BG80" s="808"/>
      <c r="BH80" s="808"/>
      <c r="BI80" s="808"/>
      <c r="BJ80" s="808"/>
      <c r="BK80" s="769">
        <f t="shared" si="98"/>
        <v>0</v>
      </c>
      <c r="BL80" s="769">
        <f t="shared" si="99"/>
        <v>0</v>
      </c>
      <c r="BM80" s="769">
        <f t="shared" si="100"/>
        <v>0</v>
      </c>
      <c r="BN80" s="769">
        <f t="shared" si="101"/>
        <v>0</v>
      </c>
      <c r="BO80" s="769">
        <f t="shared" si="102"/>
        <v>0</v>
      </c>
      <c r="BP80" s="769">
        <f t="shared" si="103"/>
        <v>0</v>
      </c>
    </row>
    <row r="81" spans="1:68" ht="15.6">
      <c r="A81" s="762"/>
      <c r="B81" s="763"/>
      <c r="C81" s="763"/>
      <c r="D81" s="763"/>
      <c r="E81" s="763"/>
      <c r="F81" s="763"/>
      <c r="G81" s="689"/>
      <c r="H81" s="764"/>
      <c r="I81" s="763"/>
      <c r="J81" s="689"/>
      <c r="K81" s="764"/>
      <c r="L81" s="763"/>
      <c r="M81" s="689"/>
      <c r="N81" s="765"/>
      <c r="O81" s="776"/>
      <c r="P81" s="776"/>
      <c r="Q81" s="777"/>
      <c r="R81" s="762"/>
      <c r="S81" s="768"/>
      <c r="T81" s="769"/>
      <c r="U81" s="772"/>
      <c r="V81" s="771"/>
      <c r="W81" s="772"/>
      <c r="X81" s="805"/>
      <c r="Y81" s="805"/>
      <c r="Z81" s="772"/>
      <c r="AA81" s="772"/>
      <c r="AB81" s="772"/>
      <c r="AC81" s="772"/>
      <c r="AD81" s="772"/>
      <c r="AE81" s="772"/>
      <c r="AF81" s="772"/>
      <c r="AG81" s="772"/>
      <c r="AH81" s="772"/>
      <c r="AI81" s="769"/>
      <c r="AJ81" s="772"/>
      <c r="AK81" s="769"/>
      <c r="AL81" s="769"/>
      <c r="AM81" s="769"/>
      <c r="AN81" s="769"/>
      <c r="AO81" s="769"/>
      <c r="AP81" s="769"/>
      <c r="AQ81" s="769"/>
      <c r="AR81" s="769"/>
      <c r="AS81" s="769"/>
      <c r="AT81" s="769"/>
      <c r="AU81" s="769"/>
      <c r="AV81" s="769"/>
      <c r="AW81" s="769"/>
      <c r="AX81" s="769"/>
      <c r="AY81" s="769"/>
      <c r="AZ81" s="769"/>
      <c r="BA81" s="769"/>
      <c r="BB81" s="769"/>
      <c r="BC81" s="769"/>
      <c r="BD81" s="808"/>
      <c r="BE81" s="808"/>
      <c r="BF81" s="808"/>
      <c r="BG81" s="808"/>
      <c r="BH81" s="808"/>
      <c r="BI81" s="808"/>
      <c r="BJ81" s="808"/>
      <c r="BK81" s="769"/>
      <c r="BL81" s="769"/>
      <c r="BM81" s="769"/>
      <c r="BN81" s="769"/>
      <c r="BO81" s="769"/>
      <c r="BP81" s="769"/>
    </row>
    <row r="82" spans="1:68" ht="15.6">
      <c r="A82" s="762"/>
      <c r="B82" s="763"/>
      <c r="C82" s="763"/>
      <c r="D82" s="763"/>
      <c r="E82" s="763"/>
      <c r="F82" s="763"/>
      <c r="G82" s="689"/>
      <c r="H82" s="764"/>
      <c r="I82" s="763"/>
      <c r="J82" s="689"/>
      <c r="K82" s="764"/>
      <c r="L82" s="763"/>
      <c r="M82" s="689"/>
      <c r="N82" s="765"/>
      <c r="O82" s="766">
        <v>10</v>
      </c>
      <c r="P82" s="766" t="s">
        <v>255</v>
      </c>
      <c r="Q82" s="767"/>
      <c r="R82" s="762"/>
      <c r="S82" s="768"/>
      <c r="T82" s="769"/>
      <c r="U82" s="770" t="s">
        <v>437</v>
      </c>
      <c r="V82" s="771"/>
      <c r="W82" s="772"/>
      <c r="X82" s="805"/>
      <c r="Y82" s="805"/>
      <c r="Z82" s="772"/>
      <c r="AA82" s="772"/>
      <c r="AB82" s="772"/>
      <c r="AC82" s="772"/>
      <c r="AD82" s="772"/>
      <c r="AE82" s="772"/>
      <c r="AF82" s="772"/>
      <c r="AG82" s="772"/>
      <c r="AH82" s="772"/>
      <c r="AI82" s="769"/>
      <c r="AJ82" s="772"/>
      <c r="AK82" s="769"/>
      <c r="AL82" s="769"/>
      <c r="AM82" s="769"/>
      <c r="AN82" s="769"/>
      <c r="AO82" s="769"/>
      <c r="AP82" s="769"/>
      <c r="AQ82" s="769"/>
      <c r="AR82" s="769"/>
      <c r="AS82" s="769"/>
      <c r="AT82" s="769"/>
      <c r="AU82" s="769"/>
      <c r="AV82" s="769"/>
      <c r="AW82" s="769"/>
      <c r="AX82" s="769"/>
      <c r="AY82" s="769"/>
      <c r="AZ82" s="769"/>
      <c r="BA82" s="769"/>
      <c r="BB82" s="769"/>
      <c r="BC82" s="769"/>
      <c r="BD82" s="808"/>
      <c r="BE82" s="808"/>
      <c r="BF82" s="808"/>
      <c r="BG82" s="808"/>
      <c r="BH82" s="808"/>
      <c r="BI82" s="808"/>
      <c r="BJ82" s="808"/>
      <c r="BK82" s="769"/>
      <c r="BL82" s="769"/>
      <c r="BM82" s="769"/>
      <c r="BN82" s="769"/>
      <c r="BO82" s="769"/>
      <c r="BP82" s="769"/>
    </row>
    <row r="83" spans="1:68" ht="15.6">
      <c r="A83" s="762"/>
      <c r="B83" s="763"/>
      <c r="C83" s="763"/>
      <c r="D83" s="763"/>
      <c r="E83" s="763"/>
      <c r="F83" s="763"/>
      <c r="G83" s="689"/>
      <c r="H83" s="764"/>
      <c r="I83" s="763"/>
      <c r="J83" s="689"/>
      <c r="K83" s="764"/>
      <c r="L83" s="763"/>
      <c r="M83" s="689"/>
      <c r="N83" s="765"/>
      <c r="O83" s="776"/>
      <c r="P83" s="776"/>
      <c r="Q83" s="777"/>
      <c r="R83" s="762"/>
      <c r="S83" s="768"/>
      <c r="T83" s="769"/>
      <c r="U83" s="772"/>
      <c r="V83" s="771"/>
      <c r="W83" s="772"/>
      <c r="X83" s="805"/>
      <c r="Y83" s="805"/>
      <c r="Z83" s="772"/>
      <c r="AA83" s="772"/>
      <c r="AB83" s="772"/>
      <c r="AC83" s="772"/>
      <c r="AD83" s="772"/>
      <c r="AE83" s="772"/>
      <c r="AF83" s="772"/>
      <c r="AG83" s="772"/>
      <c r="AH83" s="772"/>
      <c r="AI83" s="769"/>
      <c r="AJ83" s="772"/>
      <c r="AK83" s="769"/>
      <c r="AL83" s="769"/>
      <c r="AM83" s="769"/>
      <c r="AN83" s="769"/>
      <c r="AO83" s="769"/>
      <c r="AP83" s="769"/>
      <c r="AQ83" s="769"/>
      <c r="AR83" s="769"/>
      <c r="AS83" s="769"/>
      <c r="AT83" s="769"/>
      <c r="AU83" s="769"/>
      <c r="AV83" s="769"/>
      <c r="AW83" s="769"/>
      <c r="AX83" s="769"/>
      <c r="AY83" s="769"/>
      <c r="AZ83" s="769"/>
      <c r="BA83" s="769"/>
      <c r="BB83" s="769"/>
      <c r="BC83" s="769"/>
      <c r="BD83" s="808"/>
      <c r="BE83" s="808"/>
      <c r="BF83" s="808"/>
      <c r="BG83" s="808"/>
      <c r="BH83" s="808"/>
      <c r="BI83" s="808"/>
      <c r="BJ83" s="808"/>
      <c r="BK83" s="769"/>
      <c r="BL83" s="769"/>
      <c r="BM83" s="769"/>
      <c r="BN83" s="769"/>
      <c r="BO83" s="769"/>
      <c r="BP83" s="769"/>
    </row>
    <row r="84" spans="1:68" ht="15.6">
      <c r="A84" s="762"/>
      <c r="B84" s="763">
        <v>0</v>
      </c>
      <c r="C84" s="763">
        <v>0</v>
      </c>
      <c r="D84" s="763">
        <v>0</v>
      </c>
      <c r="E84" s="763">
        <v>0</v>
      </c>
      <c r="F84" s="763">
        <v>0</v>
      </c>
      <c r="G84" s="689">
        <f t="shared" si="61"/>
        <v>0</v>
      </c>
      <c r="H84" s="764">
        <f t="shared" si="62"/>
        <v>0</v>
      </c>
      <c r="I84" s="763">
        <v>0</v>
      </c>
      <c r="J84" s="689">
        <f t="shared" si="63"/>
        <v>0</v>
      </c>
      <c r="K84" s="764">
        <f t="shared" si="64"/>
        <v>0</v>
      </c>
      <c r="L84" s="763">
        <v>0</v>
      </c>
      <c r="M84" s="689">
        <f t="shared" si="210"/>
        <v>0</v>
      </c>
      <c r="N84" s="765"/>
      <c r="O84" s="776"/>
      <c r="P84" s="776" t="s">
        <v>256</v>
      </c>
      <c r="Q84" s="777" t="s">
        <v>257</v>
      </c>
      <c r="R84" s="762" t="s">
        <v>211</v>
      </c>
      <c r="S84" s="768">
        <v>1</v>
      </c>
      <c r="T84" s="769">
        <f t="shared" ref="T84:T103" si="275">_xlfn.IFNA(ROUNDUP(AF84+AJ84+AO84+AQ84+L84+AS84+AU84+AW84+F84+AZ84+BB84,2),0)</f>
        <v>0</v>
      </c>
      <c r="U84" s="772">
        <f t="shared" ref="U84:U103" si="276">ROUND(T84*ROUNDUP(S84,1),2)</f>
        <v>0</v>
      </c>
      <c r="V84" s="771">
        <v>0</v>
      </c>
      <c r="W84" s="772">
        <f t="shared" ref="W84:W103" si="277">ROUND(+U84*V84,2)</f>
        <v>0</v>
      </c>
      <c r="X84" s="773"/>
      <c r="Y84" s="773"/>
      <c r="Z84" s="772">
        <f t="shared" ref="Z84:Z103" si="278">_xlfn.IFNA(ROUNDUP(AJ84*U84,2),0)</f>
        <v>0</v>
      </c>
      <c r="AA84" s="772">
        <f t="shared" ref="AA84:AA103" si="279">_xlfn.IFNA(ROUNDUP(AK84*V84,2),0)</f>
        <v>0</v>
      </c>
      <c r="AB84" s="772">
        <f t="shared" ref="AB84:AB103" si="280">ROUNDUP((AP84+AL84)*V84,2)</f>
        <v>0</v>
      </c>
      <c r="AC84" s="772">
        <f t="shared" ref="AC84:AC103" si="281">_xlfn.IFNA(ROUNDUP((AT84+AV84+AR84)*V84,2),0)</f>
        <v>0</v>
      </c>
      <c r="AD84" s="772">
        <f t="shared" ref="AD84:AD103" si="282">_xlfn.IFNA(ROUNDUP((BA84+AY84)*V84,2),0)</f>
        <v>0</v>
      </c>
      <c r="AE84" s="772">
        <f t="shared" ref="AE84:AE103" si="283">_xlfn.IFNA((BC84+AX84+AG84)*V84,0)</f>
        <v>0</v>
      </c>
      <c r="AF84" s="774">
        <f t="shared" ref="AF84:AF103" si="284">+_xlfn.IFNA(D84,0)</f>
        <v>0</v>
      </c>
      <c r="AG84" s="772">
        <f t="shared" ref="AG84:AG103" si="285">_xlfn.IFNA(ROUNDUP(D84*S84,2),0)</f>
        <v>0</v>
      </c>
      <c r="AH84" s="772">
        <f t="shared" ref="AH84:AH103" si="286">+_xlfn.IFNA(C84,0)</f>
        <v>0</v>
      </c>
      <c r="AI84" s="769">
        <f t="shared" ref="AI84:AI103" si="287">_xlfn.IFNA(C84*S84,0)</f>
        <v>0</v>
      </c>
      <c r="AJ84" s="772">
        <f t="shared" ref="AJ84:AJ103" si="288">+_xlfn.IFNA(E84,0)</f>
        <v>0</v>
      </c>
      <c r="AK84" s="769">
        <f t="shared" ref="AK84:AK103" si="289">_xlfn.IFNA(E84*S84,0)</f>
        <v>0</v>
      </c>
      <c r="AL84" s="769">
        <f t="shared" ref="AL84:AL103" si="290">ROUNDUP(S84*AQ84,2)</f>
        <v>0</v>
      </c>
      <c r="AM84" s="769">
        <f t="shared" ref="AM84:AM103" si="291">ROUNDUP(+I84*S84,2)</f>
        <v>0</v>
      </c>
      <c r="AN84" s="769">
        <f t="shared" ref="AN84:AN103" si="292">J84*I84*S84</f>
        <v>0</v>
      </c>
      <c r="AO84" s="769">
        <f t="shared" ref="AO84:AO103" si="293">ROUNDUP(I84*I$4*J84,2)</f>
        <v>0</v>
      </c>
      <c r="AP84" s="769">
        <f t="shared" ref="AP84:AP103" si="294">AO84*S84</f>
        <v>0</v>
      </c>
      <c r="AQ84" s="769">
        <f t="shared" ref="AQ84:AQ103" si="295">IF(I84=0,0,ROUNDUP(I$4*I84,2))</f>
        <v>0</v>
      </c>
      <c r="AR84" s="769">
        <f t="shared" ref="AR84:AR103" si="296">+_xlfn.IFNA(ROUNDUP(L84*ROUNDUP(S84,1),2),0)</f>
        <v>0</v>
      </c>
      <c r="AS84" s="769">
        <v>0</v>
      </c>
      <c r="AT84" s="769">
        <f t="shared" ref="AT84:AT103" si="297">+ROUNDUP(AS84*S84,2)</f>
        <v>0</v>
      </c>
      <c r="AU84" s="769">
        <f t="shared" ref="AU84:AU103" si="298">_xlfn.IFNA(ROUNDUP((L84+AS84)*M84,2),0)</f>
        <v>0</v>
      </c>
      <c r="AV84" s="769">
        <f t="shared" ref="AV84:AV103" si="299">ROUNDUP(AU84*S84,2)</f>
        <v>0</v>
      </c>
      <c r="AW84" s="769">
        <f t="shared" ref="AW84:AW103" si="300">_xlfn.IFNA(ROUNDUP((L84+AS84+AU84)*(L$4)*L$3,2),0)</f>
        <v>0</v>
      </c>
      <c r="AX84" s="769">
        <f t="shared" ref="AX84:AX103" si="301">ROUNDUP(+AW84*ROUNDUP(S84,1),2)</f>
        <v>0</v>
      </c>
      <c r="AY84" s="769">
        <f t="shared" ref="AY84:AY103" si="302">_xlfn.IFNA(ROUNDUP(F84*S84,2),0)</f>
        <v>0</v>
      </c>
      <c r="AZ84" s="769">
        <f t="shared" ref="AZ84:AZ103" si="303">_xlfn.IFNA(ROUNDUP(F84*G84,2),0)</f>
        <v>0</v>
      </c>
      <c r="BA84" s="769">
        <f t="shared" ref="BA84:BA103" si="304">ROUNDUP(AZ84*S84,2)</f>
        <v>0</v>
      </c>
      <c r="BB84" s="769">
        <f t="shared" ref="BB84:BB103" si="305">_xlfn.IFNA(ROUNDUP((ROUNDUP(F84+AZ84,2)*F$4)*F$3,2),0)</f>
        <v>0</v>
      </c>
      <c r="BC84" s="769">
        <f t="shared" ref="BC84:BC103" si="306">BB84*S84</f>
        <v>0</v>
      </c>
      <c r="BD84" s="808"/>
      <c r="BE84" s="808"/>
      <c r="BF84" s="808"/>
      <c r="BG84" s="808"/>
      <c r="BH84" s="808"/>
      <c r="BI84" s="808"/>
      <c r="BJ84" s="808"/>
      <c r="BK84" s="769">
        <f t="shared" si="98"/>
        <v>0</v>
      </c>
      <c r="BL84" s="769">
        <f t="shared" si="99"/>
        <v>0</v>
      </c>
      <c r="BM84" s="769">
        <f t="shared" si="100"/>
        <v>0</v>
      </c>
      <c r="BN84" s="769">
        <f t="shared" si="101"/>
        <v>0</v>
      </c>
      <c r="BO84" s="769">
        <f t="shared" si="102"/>
        <v>0</v>
      </c>
      <c r="BP84" s="769">
        <f t="shared" si="103"/>
        <v>0</v>
      </c>
    </row>
    <row r="85" spans="1:68" ht="15.6">
      <c r="A85" s="762"/>
      <c r="B85" s="763">
        <v>0</v>
      </c>
      <c r="C85" s="763">
        <v>0</v>
      </c>
      <c r="D85" s="763">
        <v>0</v>
      </c>
      <c r="E85" s="763">
        <v>0</v>
      </c>
      <c r="F85" s="763">
        <v>0</v>
      </c>
      <c r="G85" s="689">
        <f t="shared" si="61"/>
        <v>0</v>
      </c>
      <c r="H85" s="764">
        <f t="shared" si="62"/>
        <v>0</v>
      </c>
      <c r="I85" s="763">
        <v>0</v>
      </c>
      <c r="J85" s="689">
        <f t="shared" si="63"/>
        <v>0</v>
      </c>
      <c r="K85" s="764">
        <f t="shared" si="64"/>
        <v>0</v>
      </c>
      <c r="L85" s="763">
        <v>0</v>
      </c>
      <c r="M85" s="689">
        <f t="shared" si="210"/>
        <v>0</v>
      </c>
      <c r="N85" s="765"/>
      <c r="O85" s="776"/>
      <c r="P85" s="776"/>
      <c r="Q85" s="777" t="s">
        <v>258</v>
      </c>
      <c r="R85" s="762" t="s">
        <v>211</v>
      </c>
      <c r="S85" s="768">
        <v>1</v>
      </c>
      <c r="T85" s="769">
        <f t="shared" si="275"/>
        <v>0</v>
      </c>
      <c r="U85" s="772">
        <f t="shared" si="276"/>
        <v>0</v>
      </c>
      <c r="V85" s="771">
        <v>0</v>
      </c>
      <c r="W85" s="772">
        <f t="shared" si="277"/>
        <v>0</v>
      </c>
      <c r="X85" s="773"/>
      <c r="Y85" s="773"/>
      <c r="Z85" s="772">
        <f t="shared" si="278"/>
        <v>0</v>
      </c>
      <c r="AA85" s="772">
        <f t="shared" si="279"/>
        <v>0</v>
      </c>
      <c r="AB85" s="772">
        <f t="shared" si="280"/>
        <v>0</v>
      </c>
      <c r="AC85" s="772">
        <f t="shared" si="281"/>
        <v>0</v>
      </c>
      <c r="AD85" s="772">
        <f t="shared" si="282"/>
        <v>0</v>
      </c>
      <c r="AE85" s="772">
        <f t="shared" si="283"/>
        <v>0</v>
      </c>
      <c r="AF85" s="774">
        <f t="shared" si="284"/>
        <v>0</v>
      </c>
      <c r="AG85" s="772">
        <f t="shared" si="285"/>
        <v>0</v>
      </c>
      <c r="AH85" s="772">
        <f t="shared" si="286"/>
        <v>0</v>
      </c>
      <c r="AI85" s="769">
        <f t="shared" si="287"/>
        <v>0</v>
      </c>
      <c r="AJ85" s="772">
        <f t="shared" si="288"/>
        <v>0</v>
      </c>
      <c r="AK85" s="769">
        <f t="shared" si="289"/>
        <v>0</v>
      </c>
      <c r="AL85" s="769">
        <f t="shared" si="290"/>
        <v>0</v>
      </c>
      <c r="AM85" s="769">
        <f t="shared" si="291"/>
        <v>0</v>
      </c>
      <c r="AN85" s="769">
        <f t="shared" si="292"/>
        <v>0</v>
      </c>
      <c r="AO85" s="769">
        <f t="shared" si="293"/>
        <v>0</v>
      </c>
      <c r="AP85" s="769">
        <f t="shared" si="294"/>
        <v>0</v>
      </c>
      <c r="AQ85" s="769">
        <f t="shared" si="295"/>
        <v>0</v>
      </c>
      <c r="AR85" s="769">
        <f t="shared" si="296"/>
        <v>0</v>
      </c>
      <c r="AS85" s="769">
        <v>0</v>
      </c>
      <c r="AT85" s="769">
        <f t="shared" si="297"/>
        <v>0</v>
      </c>
      <c r="AU85" s="769">
        <f t="shared" si="298"/>
        <v>0</v>
      </c>
      <c r="AV85" s="769">
        <f t="shared" si="299"/>
        <v>0</v>
      </c>
      <c r="AW85" s="769">
        <f t="shared" si="300"/>
        <v>0</v>
      </c>
      <c r="AX85" s="769">
        <f t="shared" si="301"/>
        <v>0</v>
      </c>
      <c r="AY85" s="769">
        <f t="shared" si="302"/>
        <v>0</v>
      </c>
      <c r="AZ85" s="769">
        <f t="shared" si="303"/>
        <v>0</v>
      </c>
      <c r="BA85" s="769">
        <f t="shared" si="304"/>
        <v>0</v>
      </c>
      <c r="BB85" s="769">
        <f t="shared" si="305"/>
        <v>0</v>
      </c>
      <c r="BC85" s="769">
        <f t="shared" si="306"/>
        <v>0</v>
      </c>
      <c r="BD85" s="808"/>
      <c r="BE85" s="808"/>
      <c r="BF85" s="808"/>
      <c r="BG85" s="808"/>
      <c r="BH85" s="808"/>
      <c r="BI85" s="808"/>
      <c r="BJ85" s="808"/>
      <c r="BK85" s="769">
        <f t="shared" si="98"/>
        <v>0</v>
      </c>
      <c r="BL85" s="769">
        <f t="shared" si="99"/>
        <v>0</v>
      </c>
      <c r="BM85" s="769">
        <f t="shared" si="100"/>
        <v>0</v>
      </c>
      <c r="BN85" s="769">
        <f t="shared" si="101"/>
        <v>0</v>
      </c>
      <c r="BO85" s="769">
        <f t="shared" si="102"/>
        <v>0</v>
      </c>
      <c r="BP85" s="769">
        <f t="shared" si="103"/>
        <v>0</v>
      </c>
    </row>
    <row r="86" spans="1:68" ht="15.6">
      <c r="A86" s="762"/>
      <c r="B86" s="763">
        <v>0</v>
      </c>
      <c r="C86" s="763">
        <v>0</v>
      </c>
      <c r="D86" s="763">
        <v>0</v>
      </c>
      <c r="E86" s="763">
        <v>0</v>
      </c>
      <c r="F86" s="763">
        <v>0</v>
      </c>
      <c r="G86" s="689">
        <f t="shared" si="61"/>
        <v>0</v>
      </c>
      <c r="H86" s="764">
        <f t="shared" si="62"/>
        <v>0</v>
      </c>
      <c r="I86" s="763">
        <v>0</v>
      </c>
      <c r="J86" s="689">
        <f t="shared" si="63"/>
        <v>0</v>
      </c>
      <c r="K86" s="764">
        <f t="shared" si="64"/>
        <v>0</v>
      </c>
      <c r="L86" s="763">
        <v>0</v>
      </c>
      <c r="M86" s="689">
        <f t="shared" si="210"/>
        <v>0</v>
      </c>
      <c r="N86" s="765"/>
      <c r="O86" s="776"/>
      <c r="P86" s="776"/>
      <c r="Q86" s="777" t="s">
        <v>259</v>
      </c>
      <c r="R86" s="762" t="s">
        <v>231</v>
      </c>
      <c r="S86" s="768">
        <v>1</v>
      </c>
      <c r="T86" s="769">
        <f t="shared" si="275"/>
        <v>0</v>
      </c>
      <c r="U86" s="772">
        <f t="shared" si="276"/>
        <v>0</v>
      </c>
      <c r="V86" s="771">
        <v>0</v>
      </c>
      <c r="W86" s="772">
        <f t="shared" si="277"/>
        <v>0</v>
      </c>
      <c r="X86" s="773"/>
      <c r="Y86" s="773"/>
      <c r="Z86" s="772">
        <f t="shared" si="278"/>
        <v>0</v>
      </c>
      <c r="AA86" s="772">
        <f t="shared" si="279"/>
        <v>0</v>
      </c>
      <c r="AB86" s="772">
        <f t="shared" si="280"/>
        <v>0</v>
      </c>
      <c r="AC86" s="772">
        <f t="shared" si="281"/>
        <v>0</v>
      </c>
      <c r="AD86" s="772">
        <f t="shared" si="282"/>
        <v>0</v>
      </c>
      <c r="AE86" s="772">
        <f t="shared" si="283"/>
        <v>0</v>
      </c>
      <c r="AF86" s="774">
        <f t="shared" si="284"/>
        <v>0</v>
      </c>
      <c r="AG86" s="772">
        <f t="shared" si="285"/>
        <v>0</v>
      </c>
      <c r="AH86" s="772">
        <f t="shared" si="286"/>
        <v>0</v>
      </c>
      <c r="AI86" s="769">
        <f t="shared" si="287"/>
        <v>0</v>
      </c>
      <c r="AJ86" s="772">
        <f t="shared" si="288"/>
        <v>0</v>
      </c>
      <c r="AK86" s="769">
        <f t="shared" si="289"/>
        <v>0</v>
      </c>
      <c r="AL86" s="769">
        <f t="shared" si="290"/>
        <v>0</v>
      </c>
      <c r="AM86" s="769">
        <f t="shared" si="291"/>
        <v>0</v>
      </c>
      <c r="AN86" s="769">
        <f t="shared" si="292"/>
        <v>0</v>
      </c>
      <c r="AO86" s="769">
        <f t="shared" si="293"/>
        <v>0</v>
      </c>
      <c r="AP86" s="769">
        <f t="shared" si="294"/>
        <v>0</v>
      </c>
      <c r="AQ86" s="769">
        <f t="shared" si="295"/>
        <v>0</v>
      </c>
      <c r="AR86" s="769">
        <f t="shared" si="296"/>
        <v>0</v>
      </c>
      <c r="AS86" s="769">
        <v>0</v>
      </c>
      <c r="AT86" s="769">
        <f t="shared" si="297"/>
        <v>0</v>
      </c>
      <c r="AU86" s="769">
        <f t="shared" si="298"/>
        <v>0</v>
      </c>
      <c r="AV86" s="769">
        <f t="shared" si="299"/>
        <v>0</v>
      </c>
      <c r="AW86" s="769">
        <f t="shared" si="300"/>
        <v>0</v>
      </c>
      <c r="AX86" s="769">
        <f t="shared" si="301"/>
        <v>0</v>
      </c>
      <c r="AY86" s="769">
        <f t="shared" si="302"/>
        <v>0</v>
      </c>
      <c r="AZ86" s="769">
        <f t="shared" si="303"/>
        <v>0</v>
      </c>
      <c r="BA86" s="769">
        <f t="shared" si="304"/>
        <v>0</v>
      </c>
      <c r="BB86" s="769">
        <f t="shared" si="305"/>
        <v>0</v>
      </c>
      <c r="BC86" s="769">
        <f t="shared" si="306"/>
        <v>0</v>
      </c>
      <c r="BD86" s="808"/>
      <c r="BE86" s="808"/>
      <c r="BF86" s="808"/>
      <c r="BG86" s="808"/>
      <c r="BH86" s="808"/>
      <c r="BI86" s="808"/>
      <c r="BJ86" s="808"/>
      <c r="BK86" s="769">
        <f t="shared" si="98"/>
        <v>0</v>
      </c>
      <c r="BL86" s="769">
        <f t="shared" si="99"/>
        <v>0</v>
      </c>
      <c r="BM86" s="769">
        <f t="shared" si="100"/>
        <v>0</v>
      </c>
      <c r="BN86" s="769">
        <f t="shared" si="101"/>
        <v>0</v>
      </c>
      <c r="BO86" s="769">
        <f t="shared" si="102"/>
        <v>0</v>
      </c>
      <c r="BP86" s="769">
        <f t="shared" si="103"/>
        <v>0</v>
      </c>
    </row>
    <row r="87" spans="1:68" s="775" customFormat="1" ht="15.6">
      <c r="A87" s="762"/>
      <c r="B87" s="763">
        <v>0</v>
      </c>
      <c r="C87" s="763">
        <v>0</v>
      </c>
      <c r="D87" s="763">
        <v>0</v>
      </c>
      <c r="E87" s="763">
        <v>0</v>
      </c>
      <c r="F87" s="763">
        <v>0</v>
      </c>
      <c r="G87" s="689">
        <f t="shared" ref="G87:G103" si="307">+G$4</f>
        <v>0</v>
      </c>
      <c r="H87" s="764">
        <f t="shared" ref="H87:H103" si="308">AM87+AN87</f>
        <v>0</v>
      </c>
      <c r="I87" s="763">
        <v>0</v>
      </c>
      <c r="J87" s="689">
        <f t="shared" ref="J87:J103" si="309">+J$4</f>
        <v>0</v>
      </c>
      <c r="K87" s="764">
        <f t="shared" ref="K87:K103" si="310">AR87+AT87+AV87+AX87</f>
        <v>0</v>
      </c>
      <c r="L87" s="763">
        <v>0</v>
      </c>
      <c r="M87" s="689">
        <f t="shared" ref="M87:M103" si="311">+M$4</f>
        <v>0</v>
      </c>
      <c r="N87" s="765"/>
      <c r="O87" s="776"/>
      <c r="P87" s="776"/>
      <c r="Q87" s="777" t="s">
        <v>260</v>
      </c>
      <c r="R87" s="762" t="s">
        <v>231</v>
      </c>
      <c r="S87" s="768">
        <v>1</v>
      </c>
      <c r="T87" s="769">
        <f t="shared" si="275"/>
        <v>0</v>
      </c>
      <c r="U87" s="772">
        <f t="shared" si="276"/>
        <v>0</v>
      </c>
      <c r="V87" s="771">
        <v>0</v>
      </c>
      <c r="W87" s="772">
        <f t="shared" si="277"/>
        <v>0</v>
      </c>
      <c r="X87" s="773"/>
      <c r="Y87" s="773"/>
      <c r="Z87" s="772">
        <f t="shared" si="278"/>
        <v>0</v>
      </c>
      <c r="AA87" s="772">
        <f t="shared" si="279"/>
        <v>0</v>
      </c>
      <c r="AB87" s="772">
        <f t="shared" si="280"/>
        <v>0</v>
      </c>
      <c r="AC87" s="772">
        <f t="shared" si="281"/>
        <v>0</v>
      </c>
      <c r="AD87" s="772">
        <f t="shared" si="282"/>
        <v>0</v>
      </c>
      <c r="AE87" s="772">
        <f t="shared" si="283"/>
        <v>0</v>
      </c>
      <c r="AF87" s="774">
        <f t="shared" si="284"/>
        <v>0</v>
      </c>
      <c r="AG87" s="772">
        <f t="shared" si="285"/>
        <v>0</v>
      </c>
      <c r="AH87" s="772">
        <f t="shared" si="286"/>
        <v>0</v>
      </c>
      <c r="AI87" s="769">
        <f t="shared" si="287"/>
        <v>0</v>
      </c>
      <c r="AJ87" s="772">
        <f t="shared" si="288"/>
        <v>0</v>
      </c>
      <c r="AK87" s="769">
        <f t="shared" si="289"/>
        <v>0</v>
      </c>
      <c r="AL87" s="769">
        <f t="shared" si="290"/>
        <v>0</v>
      </c>
      <c r="AM87" s="769">
        <f t="shared" si="291"/>
        <v>0</v>
      </c>
      <c r="AN87" s="769">
        <f t="shared" si="292"/>
        <v>0</v>
      </c>
      <c r="AO87" s="769">
        <f t="shared" si="293"/>
        <v>0</v>
      </c>
      <c r="AP87" s="769">
        <f t="shared" si="294"/>
        <v>0</v>
      </c>
      <c r="AQ87" s="769">
        <f t="shared" si="295"/>
        <v>0</v>
      </c>
      <c r="AR87" s="769">
        <f t="shared" si="296"/>
        <v>0</v>
      </c>
      <c r="AS87" s="769">
        <v>0</v>
      </c>
      <c r="AT87" s="769">
        <f t="shared" si="297"/>
        <v>0</v>
      </c>
      <c r="AU87" s="769">
        <f t="shared" si="298"/>
        <v>0</v>
      </c>
      <c r="AV87" s="769">
        <f t="shared" si="299"/>
        <v>0</v>
      </c>
      <c r="AW87" s="769">
        <f t="shared" si="300"/>
        <v>0</v>
      </c>
      <c r="AX87" s="769">
        <f t="shared" si="301"/>
        <v>0</v>
      </c>
      <c r="AY87" s="769">
        <f t="shared" si="302"/>
        <v>0</v>
      </c>
      <c r="AZ87" s="769">
        <f t="shared" si="303"/>
        <v>0</v>
      </c>
      <c r="BA87" s="769">
        <f t="shared" si="304"/>
        <v>0</v>
      </c>
      <c r="BB87" s="769">
        <f t="shared" si="305"/>
        <v>0</v>
      </c>
      <c r="BC87" s="769">
        <f t="shared" si="306"/>
        <v>0</v>
      </c>
      <c r="BD87" s="661"/>
      <c r="BF87" s="480"/>
      <c r="BG87" s="480"/>
      <c r="BH87" s="480"/>
      <c r="BI87" s="480"/>
      <c r="BJ87" s="480"/>
      <c r="BK87" s="769">
        <f t="shared" ref="BK87:BK103" si="312">IF(BK$7=$Y87,(+$AL87+$AP87),(0))</f>
        <v>0</v>
      </c>
      <c r="BL87" s="769">
        <f t="shared" ref="BL87:BL103" si="313">IF(BL$7=$Y87,(+BK87*$V87),(0))</f>
        <v>0</v>
      </c>
      <c r="BM87" s="769">
        <f t="shared" ref="BM87:BM103" si="314">IF(BM$7=$Y87,(+$AR87+$AT87+$AV87),(0))</f>
        <v>0</v>
      </c>
      <c r="BN87" s="769">
        <f t="shared" ref="BN87:BN103" si="315">IF(BN$7=$Y87,(+BM87*$V87),(0))</f>
        <v>0</v>
      </c>
      <c r="BO87" s="769">
        <f t="shared" ref="BO87:BO103" si="316">IF(BO$7=$X87,($AY87+$BA87),(0))</f>
        <v>0</v>
      </c>
      <c r="BP87" s="769">
        <f t="shared" ref="BP87:BP103" si="317">IF(BP$7=$X87,(+BO87*$V87),(0))</f>
        <v>0</v>
      </c>
    </row>
    <row r="88" spans="1:68" s="775" customFormat="1" ht="15.6">
      <c r="A88" s="762"/>
      <c r="B88" s="763">
        <v>0</v>
      </c>
      <c r="C88" s="763">
        <v>0</v>
      </c>
      <c r="D88" s="763">
        <v>0</v>
      </c>
      <c r="E88" s="763">
        <v>0</v>
      </c>
      <c r="F88" s="763">
        <v>0</v>
      </c>
      <c r="G88" s="689">
        <f t="shared" si="307"/>
        <v>0</v>
      </c>
      <c r="H88" s="764">
        <f t="shared" si="308"/>
        <v>0</v>
      </c>
      <c r="I88" s="763">
        <v>0</v>
      </c>
      <c r="J88" s="689">
        <f t="shared" si="309"/>
        <v>0</v>
      </c>
      <c r="K88" s="764">
        <f t="shared" si="310"/>
        <v>0</v>
      </c>
      <c r="L88" s="763">
        <v>0</v>
      </c>
      <c r="M88" s="689">
        <f t="shared" si="311"/>
        <v>0</v>
      </c>
      <c r="N88" s="765"/>
      <c r="O88" s="776"/>
      <c r="P88" s="776" t="s">
        <v>261</v>
      </c>
      <c r="Q88" s="777" t="s">
        <v>257</v>
      </c>
      <c r="R88" s="762" t="s">
        <v>249</v>
      </c>
      <c r="S88" s="768">
        <v>1</v>
      </c>
      <c r="T88" s="769">
        <f t="shared" si="275"/>
        <v>0</v>
      </c>
      <c r="U88" s="772">
        <f t="shared" si="276"/>
        <v>0</v>
      </c>
      <c r="V88" s="771">
        <v>0</v>
      </c>
      <c r="W88" s="772">
        <f t="shared" si="277"/>
        <v>0</v>
      </c>
      <c r="X88" s="773"/>
      <c r="Y88" s="773"/>
      <c r="Z88" s="772">
        <f t="shared" si="278"/>
        <v>0</v>
      </c>
      <c r="AA88" s="772">
        <f t="shared" si="279"/>
        <v>0</v>
      </c>
      <c r="AB88" s="772">
        <f t="shared" si="280"/>
        <v>0</v>
      </c>
      <c r="AC88" s="772">
        <f t="shared" si="281"/>
        <v>0</v>
      </c>
      <c r="AD88" s="772">
        <f t="shared" si="282"/>
        <v>0</v>
      </c>
      <c r="AE88" s="772">
        <f t="shared" si="283"/>
        <v>0</v>
      </c>
      <c r="AF88" s="774">
        <f t="shared" si="284"/>
        <v>0</v>
      </c>
      <c r="AG88" s="772">
        <f t="shared" si="285"/>
        <v>0</v>
      </c>
      <c r="AH88" s="772">
        <f t="shared" si="286"/>
        <v>0</v>
      </c>
      <c r="AI88" s="769">
        <f t="shared" si="287"/>
        <v>0</v>
      </c>
      <c r="AJ88" s="772">
        <f t="shared" si="288"/>
        <v>0</v>
      </c>
      <c r="AK88" s="769">
        <f t="shared" si="289"/>
        <v>0</v>
      </c>
      <c r="AL88" s="769">
        <f t="shared" si="290"/>
        <v>0</v>
      </c>
      <c r="AM88" s="769">
        <f t="shared" si="291"/>
        <v>0</v>
      </c>
      <c r="AN88" s="769">
        <f t="shared" si="292"/>
        <v>0</v>
      </c>
      <c r="AO88" s="769">
        <f t="shared" si="293"/>
        <v>0</v>
      </c>
      <c r="AP88" s="769">
        <f t="shared" si="294"/>
        <v>0</v>
      </c>
      <c r="AQ88" s="769">
        <f t="shared" si="295"/>
        <v>0</v>
      </c>
      <c r="AR88" s="769">
        <f t="shared" si="296"/>
        <v>0</v>
      </c>
      <c r="AS88" s="769">
        <v>0</v>
      </c>
      <c r="AT88" s="769">
        <f t="shared" si="297"/>
        <v>0</v>
      </c>
      <c r="AU88" s="769">
        <f t="shared" si="298"/>
        <v>0</v>
      </c>
      <c r="AV88" s="769">
        <f t="shared" si="299"/>
        <v>0</v>
      </c>
      <c r="AW88" s="769">
        <f t="shared" si="300"/>
        <v>0</v>
      </c>
      <c r="AX88" s="769">
        <f t="shared" si="301"/>
        <v>0</v>
      </c>
      <c r="AY88" s="769">
        <f t="shared" si="302"/>
        <v>0</v>
      </c>
      <c r="AZ88" s="769">
        <f t="shared" si="303"/>
        <v>0</v>
      </c>
      <c r="BA88" s="769">
        <f t="shared" si="304"/>
        <v>0</v>
      </c>
      <c r="BB88" s="769">
        <f t="shared" si="305"/>
        <v>0</v>
      </c>
      <c r="BC88" s="769">
        <f t="shared" si="306"/>
        <v>0</v>
      </c>
      <c r="BD88" s="661"/>
      <c r="BF88" s="480"/>
      <c r="BG88" s="480"/>
      <c r="BH88" s="480"/>
      <c r="BI88" s="480"/>
      <c r="BJ88" s="480"/>
      <c r="BK88" s="769">
        <f t="shared" si="312"/>
        <v>0</v>
      </c>
      <c r="BL88" s="769">
        <f t="shared" si="313"/>
        <v>0</v>
      </c>
      <c r="BM88" s="769">
        <f t="shared" si="314"/>
        <v>0</v>
      </c>
      <c r="BN88" s="769">
        <f t="shared" si="315"/>
        <v>0</v>
      </c>
      <c r="BO88" s="769">
        <f t="shared" si="316"/>
        <v>0</v>
      </c>
      <c r="BP88" s="769">
        <f t="shared" si="317"/>
        <v>0</v>
      </c>
    </row>
    <row r="89" spans="1:68" s="775" customFormat="1" ht="15.6">
      <c r="A89" s="762"/>
      <c r="B89" s="763">
        <v>0</v>
      </c>
      <c r="C89" s="763">
        <v>0</v>
      </c>
      <c r="D89" s="763">
        <v>0</v>
      </c>
      <c r="E89" s="763">
        <v>0</v>
      </c>
      <c r="F89" s="763">
        <v>0</v>
      </c>
      <c r="G89" s="689">
        <f t="shared" si="307"/>
        <v>0</v>
      </c>
      <c r="H89" s="764">
        <f t="shared" si="308"/>
        <v>0</v>
      </c>
      <c r="I89" s="763">
        <v>0</v>
      </c>
      <c r="J89" s="689">
        <f t="shared" si="309"/>
        <v>0</v>
      </c>
      <c r="K89" s="764">
        <f t="shared" si="310"/>
        <v>0</v>
      </c>
      <c r="L89" s="763">
        <v>0</v>
      </c>
      <c r="M89" s="689">
        <f t="shared" si="311"/>
        <v>0</v>
      </c>
      <c r="N89" s="765"/>
      <c r="O89" s="776"/>
      <c r="P89" s="776"/>
      <c r="Q89" s="777" t="s">
        <v>262</v>
      </c>
      <c r="R89" s="762" t="s">
        <v>231</v>
      </c>
      <c r="S89" s="768">
        <v>1</v>
      </c>
      <c r="T89" s="769">
        <f t="shared" si="275"/>
        <v>0</v>
      </c>
      <c r="U89" s="772">
        <f t="shared" si="276"/>
        <v>0</v>
      </c>
      <c r="V89" s="771">
        <v>0</v>
      </c>
      <c r="W89" s="772">
        <f t="shared" si="277"/>
        <v>0</v>
      </c>
      <c r="X89" s="773"/>
      <c r="Y89" s="773"/>
      <c r="Z89" s="772">
        <f t="shared" si="278"/>
        <v>0</v>
      </c>
      <c r="AA89" s="772">
        <f t="shared" si="279"/>
        <v>0</v>
      </c>
      <c r="AB89" s="772">
        <f t="shared" si="280"/>
        <v>0</v>
      </c>
      <c r="AC89" s="772">
        <f t="shared" si="281"/>
        <v>0</v>
      </c>
      <c r="AD89" s="772">
        <f t="shared" si="282"/>
        <v>0</v>
      </c>
      <c r="AE89" s="772">
        <f t="shared" si="283"/>
        <v>0</v>
      </c>
      <c r="AF89" s="774">
        <f t="shared" si="284"/>
        <v>0</v>
      </c>
      <c r="AG89" s="772">
        <f t="shared" si="285"/>
        <v>0</v>
      </c>
      <c r="AH89" s="772">
        <f t="shared" si="286"/>
        <v>0</v>
      </c>
      <c r="AI89" s="769">
        <f t="shared" si="287"/>
        <v>0</v>
      </c>
      <c r="AJ89" s="772">
        <f t="shared" si="288"/>
        <v>0</v>
      </c>
      <c r="AK89" s="769">
        <f t="shared" si="289"/>
        <v>0</v>
      </c>
      <c r="AL89" s="769">
        <f t="shared" si="290"/>
        <v>0</v>
      </c>
      <c r="AM89" s="769">
        <f t="shared" si="291"/>
        <v>0</v>
      </c>
      <c r="AN89" s="769">
        <f t="shared" si="292"/>
        <v>0</v>
      </c>
      <c r="AO89" s="769">
        <f t="shared" si="293"/>
        <v>0</v>
      </c>
      <c r="AP89" s="769">
        <f t="shared" si="294"/>
        <v>0</v>
      </c>
      <c r="AQ89" s="769">
        <f t="shared" si="295"/>
        <v>0</v>
      </c>
      <c r="AR89" s="769">
        <f t="shared" si="296"/>
        <v>0</v>
      </c>
      <c r="AS89" s="769">
        <v>0</v>
      </c>
      <c r="AT89" s="769">
        <f t="shared" si="297"/>
        <v>0</v>
      </c>
      <c r="AU89" s="769">
        <f t="shared" si="298"/>
        <v>0</v>
      </c>
      <c r="AV89" s="769">
        <f t="shared" si="299"/>
        <v>0</v>
      </c>
      <c r="AW89" s="769">
        <f t="shared" si="300"/>
        <v>0</v>
      </c>
      <c r="AX89" s="769">
        <f t="shared" si="301"/>
        <v>0</v>
      </c>
      <c r="AY89" s="769">
        <f t="shared" si="302"/>
        <v>0</v>
      </c>
      <c r="AZ89" s="769">
        <f t="shared" si="303"/>
        <v>0</v>
      </c>
      <c r="BA89" s="769">
        <f t="shared" si="304"/>
        <v>0</v>
      </c>
      <c r="BB89" s="769">
        <f t="shared" si="305"/>
        <v>0</v>
      </c>
      <c r="BC89" s="769">
        <f t="shared" si="306"/>
        <v>0</v>
      </c>
      <c r="BD89" s="661"/>
      <c r="BF89" s="480"/>
      <c r="BG89" s="480"/>
      <c r="BH89" s="480"/>
      <c r="BI89" s="480"/>
      <c r="BJ89" s="480"/>
      <c r="BK89" s="769">
        <f t="shared" si="312"/>
        <v>0</v>
      </c>
      <c r="BL89" s="769">
        <f t="shared" si="313"/>
        <v>0</v>
      </c>
      <c r="BM89" s="769">
        <f t="shared" si="314"/>
        <v>0</v>
      </c>
      <c r="BN89" s="769">
        <f t="shared" si="315"/>
        <v>0</v>
      </c>
      <c r="BO89" s="769">
        <f t="shared" si="316"/>
        <v>0</v>
      </c>
      <c r="BP89" s="769">
        <f t="shared" si="317"/>
        <v>0</v>
      </c>
    </row>
    <row r="90" spans="1:68" s="775" customFormat="1" ht="15.6">
      <c r="A90" s="762"/>
      <c r="B90" s="763">
        <v>0</v>
      </c>
      <c r="C90" s="763">
        <v>0</v>
      </c>
      <c r="D90" s="763">
        <v>0</v>
      </c>
      <c r="E90" s="763">
        <v>0</v>
      </c>
      <c r="F90" s="763">
        <v>0</v>
      </c>
      <c r="G90" s="689">
        <f t="shared" si="307"/>
        <v>0</v>
      </c>
      <c r="H90" s="764">
        <f t="shared" si="308"/>
        <v>0</v>
      </c>
      <c r="I90" s="763">
        <v>0</v>
      </c>
      <c r="J90" s="689">
        <f t="shared" si="309"/>
        <v>0</v>
      </c>
      <c r="K90" s="764">
        <f t="shared" si="310"/>
        <v>0</v>
      </c>
      <c r="L90" s="763">
        <v>0</v>
      </c>
      <c r="M90" s="689">
        <f t="shared" si="311"/>
        <v>0</v>
      </c>
      <c r="N90" s="765"/>
      <c r="O90" s="776"/>
      <c r="P90" s="776"/>
      <c r="Q90" s="777" t="s">
        <v>260</v>
      </c>
      <c r="R90" s="762" t="s">
        <v>231</v>
      </c>
      <c r="S90" s="768">
        <v>1</v>
      </c>
      <c r="T90" s="769">
        <f t="shared" si="275"/>
        <v>0</v>
      </c>
      <c r="U90" s="772">
        <f t="shared" si="276"/>
        <v>0</v>
      </c>
      <c r="V90" s="771">
        <v>0</v>
      </c>
      <c r="W90" s="772">
        <f t="shared" si="277"/>
        <v>0</v>
      </c>
      <c r="X90" s="773"/>
      <c r="Y90" s="773"/>
      <c r="Z90" s="772">
        <f t="shared" si="278"/>
        <v>0</v>
      </c>
      <c r="AA90" s="772">
        <f t="shared" si="279"/>
        <v>0</v>
      </c>
      <c r="AB90" s="772">
        <f t="shared" si="280"/>
        <v>0</v>
      </c>
      <c r="AC90" s="772">
        <f t="shared" si="281"/>
        <v>0</v>
      </c>
      <c r="AD90" s="772">
        <f t="shared" si="282"/>
        <v>0</v>
      </c>
      <c r="AE90" s="772">
        <f t="shared" si="283"/>
        <v>0</v>
      </c>
      <c r="AF90" s="774">
        <f t="shared" si="284"/>
        <v>0</v>
      </c>
      <c r="AG90" s="772">
        <f t="shared" si="285"/>
        <v>0</v>
      </c>
      <c r="AH90" s="772">
        <f t="shared" si="286"/>
        <v>0</v>
      </c>
      <c r="AI90" s="769">
        <f t="shared" si="287"/>
        <v>0</v>
      </c>
      <c r="AJ90" s="772">
        <f t="shared" si="288"/>
        <v>0</v>
      </c>
      <c r="AK90" s="769">
        <f t="shared" si="289"/>
        <v>0</v>
      </c>
      <c r="AL90" s="769">
        <f t="shared" si="290"/>
        <v>0</v>
      </c>
      <c r="AM90" s="769">
        <f t="shared" si="291"/>
        <v>0</v>
      </c>
      <c r="AN90" s="769">
        <f t="shared" si="292"/>
        <v>0</v>
      </c>
      <c r="AO90" s="769">
        <f t="shared" si="293"/>
        <v>0</v>
      </c>
      <c r="AP90" s="769">
        <f t="shared" si="294"/>
        <v>0</v>
      </c>
      <c r="AQ90" s="769">
        <f t="shared" si="295"/>
        <v>0</v>
      </c>
      <c r="AR90" s="769">
        <f t="shared" si="296"/>
        <v>0</v>
      </c>
      <c r="AS90" s="769">
        <v>0</v>
      </c>
      <c r="AT90" s="769">
        <f t="shared" si="297"/>
        <v>0</v>
      </c>
      <c r="AU90" s="769">
        <f t="shared" si="298"/>
        <v>0</v>
      </c>
      <c r="AV90" s="769">
        <f t="shared" si="299"/>
        <v>0</v>
      </c>
      <c r="AW90" s="769">
        <f t="shared" si="300"/>
        <v>0</v>
      </c>
      <c r="AX90" s="769">
        <f t="shared" si="301"/>
        <v>0</v>
      </c>
      <c r="AY90" s="769">
        <f t="shared" si="302"/>
        <v>0</v>
      </c>
      <c r="AZ90" s="769">
        <f t="shared" si="303"/>
        <v>0</v>
      </c>
      <c r="BA90" s="769">
        <f t="shared" si="304"/>
        <v>0</v>
      </c>
      <c r="BB90" s="769">
        <f t="shared" si="305"/>
        <v>0</v>
      </c>
      <c r="BC90" s="769">
        <f t="shared" si="306"/>
        <v>0</v>
      </c>
      <c r="BD90" s="661"/>
      <c r="BF90" s="480"/>
      <c r="BG90" s="480"/>
      <c r="BH90" s="480"/>
      <c r="BI90" s="480"/>
      <c r="BJ90" s="480"/>
      <c r="BK90" s="769">
        <f t="shared" si="312"/>
        <v>0</v>
      </c>
      <c r="BL90" s="769">
        <f t="shared" si="313"/>
        <v>0</v>
      </c>
      <c r="BM90" s="769">
        <f t="shared" si="314"/>
        <v>0</v>
      </c>
      <c r="BN90" s="769">
        <f t="shared" si="315"/>
        <v>0</v>
      </c>
      <c r="BO90" s="769">
        <f t="shared" si="316"/>
        <v>0</v>
      </c>
      <c r="BP90" s="769">
        <f t="shared" si="317"/>
        <v>0</v>
      </c>
    </row>
    <row r="91" spans="1:68" s="775" customFormat="1" ht="15.6">
      <c r="A91" s="762"/>
      <c r="B91" s="763">
        <v>0</v>
      </c>
      <c r="C91" s="763">
        <v>0</v>
      </c>
      <c r="D91" s="763">
        <v>0</v>
      </c>
      <c r="E91" s="763">
        <v>0</v>
      </c>
      <c r="F91" s="763">
        <v>0</v>
      </c>
      <c r="G91" s="689">
        <f t="shared" si="307"/>
        <v>0</v>
      </c>
      <c r="H91" s="764">
        <f t="shared" si="308"/>
        <v>0</v>
      </c>
      <c r="I91" s="763">
        <v>0</v>
      </c>
      <c r="J91" s="689">
        <f t="shared" si="309"/>
        <v>0</v>
      </c>
      <c r="K91" s="764">
        <f t="shared" si="310"/>
        <v>0</v>
      </c>
      <c r="L91" s="763">
        <v>0</v>
      </c>
      <c r="M91" s="689">
        <f t="shared" si="311"/>
        <v>0</v>
      </c>
      <c r="N91" s="765"/>
      <c r="O91" s="776"/>
      <c r="P91" s="776" t="s">
        <v>263</v>
      </c>
      <c r="Q91" s="777" t="s">
        <v>257</v>
      </c>
      <c r="R91" s="762" t="s">
        <v>211</v>
      </c>
      <c r="S91" s="768">
        <v>1</v>
      </c>
      <c r="T91" s="769">
        <f t="shared" si="275"/>
        <v>0</v>
      </c>
      <c r="U91" s="772">
        <f t="shared" si="276"/>
        <v>0</v>
      </c>
      <c r="V91" s="771">
        <v>0</v>
      </c>
      <c r="W91" s="772">
        <f t="shared" si="277"/>
        <v>0</v>
      </c>
      <c r="X91" s="773"/>
      <c r="Y91" s="773"/>
      <c r="Z91" s="772">
        <f t="shared" si="278"/>
        <v>0</v>
      </c>
      <c r="AA91" s="772">
        <f t="shared" si="279"/>
        <v>0</v>
      </c>
      <c r="AB91" s="772">
        <f t="shared" si="280"/>
        <v>0</v>
      </c>
      <c r="AC91" s="772">
        <f t="shared" si="281"/>
        <v>0</v>
      </c>
      <c r="AD91" s="772">
        <f t="shared" si="282"/>
        <v>0</v>
      </c>
      <c r="AE91" s="772">
        <f t="shared" si="283"/>
        <v>0</v>
      </c>
      <c r="AF91" s="774">
        <f t="shared" si="284"/>
        <v>0</v>
      </c>
      <c r="AG91" s="772">
        <f t="shared" si="285"/>
        <v>0</v>
      </c>
      <c r="AH91" s="772">
        <f t="shared" si="286"/>
        <v>0</v>
      </c>
      <c r="AI91" s="769">
        <f t="shared" si="287"/>
        <v>0</v>
      </c>
      <c r="AJ91" s="772">
        <f t="shared" si="288"/>
        <v>0</v>
      </c>
      <c r="AK91" s="769">
        <f t="shared" si="289"/>
        <v>0</v>
      </c>
      <c r="AL91" s="769">
        <f t="shared" si="290"/>
        <v>0</v>
      </c>
      <c r="AM91" s="769">
        <f t="shared" si="291"/>
        <v>0</v>
      </c>
      <c r="AN91" s="769">
        <f t="shared" si="292"/>
        <v>0</v>
      </c>
      <c r="AO91" s="769">
        <f t="shared" si="293"/>
        <v>0</v>
      </c>
      <c r="AP91" s="769">
        <f t="shared" si="294"/>
        <v>0</v>
      </c>
      <c r="AQ91" s="769">
        <f t="shared" si="295"/>
        <v>0</v>
      </c>
      <c r="AR91" s="769">
        <f t="shared" si="296"/>
        <v>0</v>
      </c>
      <c r="AS91" s="769">
        <v>0</v>
      </c>
      <c r="AT91" s="769">
        <f t="shared" si="297"/>
        <v>0</v>
      </c>
      <c r="AU91" s="769">
        <f t="shared" si="298"/>
        <v>0</v>
      </c>
      <c r="AV91" s="769">
        <f t="shared" si="299"/>
        <v>0</v>
      </c>
      <c r="AW91" s="769">
        <f t="shared" si="300"/>
        <v>0</v>
      </c>
      <c r="AX91" s="769">
        <f t="shared" si="301"/>
        <v>0</v>
      </c>
      <c r="AY91" s="769">
        <f t="shared" si="302"/>
        <v>0</v>
      </c>
      <c r="AZ91" s="769">
        <f t="shared" si="303"/>
        <v>0</v>
      </c>
      <c r="BA91" s="769">
        <f t="shared" si="304"/>
        <v>0</v>
      </c>
      <c r="BB91" s="769">
        <f t="shared" si="305"/>
        <v>0</v>
      </c>
      <c r="BC91" s="769">
        <f t="shared" si="306"/>
        <v>0</v>
      </c>
      <c r="BD91" s="661"/>
      <c r="BF91" s="480"/>
      <c r="BG91" s="480"/>
      <c r="BH91" s="480"/>
      <c r="BI91" s="480"/>
      <c r="BJ91" s="480"/>
      <c r="BK91" s="769">
        <f t="shared" si="312"/>
        <v>0</v>
      </c>
      <c r="BL91" s="769">
        <f t="shared" si="313"/>
        <v>0</v>
      </c>
      <c r="BM91" s="769">
        <f t="shared" si="314"/>
        <v>0</v>
      </c>
      <c r="BN91" s="769">
        <f t="shared" si="315"/>
        <v>0</v>
      </c>
      <c r="BO91" s="769">
        <f t="shared" si="316"/>
        <v>0</v>
      </c>
      <c r="BP91" s="769">
        <f t="shared" si="317"/>
        <v>0</v>
      </c>
    </row>
    <row r="92" spans="1:68" s="775" customFormat="1" ht="15.6">
      <c r="A92" s="762"/>
      <c r="B92" s="763">
        <v>0</v>
      </c>
      <c r="C92" s="763">
        <v>0</v>
      </c>
      <c r="D92" s="763">
        <v>0</v>
      </c>
      <c r="E92" s="763">
        <v>0</v>
      </c>
      <c r="F92" s="763">
        <v>0</v>
      </c>
      <c r="G92" s="689">
        <f t="shared" si="307"/>
        <v>0</v>
      </c>
      <c r="H92" s="764">
        <f t="shared" si="308"/>
        <v>0</v>
      </c>
      <c r="I92" s="763">
        <v>0</v>
      </c>
      <c r="J92" s="689">
        <f t="shared" si="309"/>
        <v>0</v>
      </c>
      <c r="K92" s="764">
        <f t="shared" si="310"/>
        <v>0</v>
      </c>
      <c r="L92" s="763">
        <v>0</v>
      </c>
      <c r="M92" s="689">
        <f t="shared" si="311"/>
        <v>0</v>
      </c>
      <c r="N92" s="765"/>
      <c r="O92" s="776"/>
      <c r="P92" s="776"/>
      <c r="Q92" s="777" t="s">
        <v>258</v>
      </c>
      <c r="R92" s="762" t="s">
        <v>211</v>
      </c>
      <c r="S92" s="768">
        <v>1</v>
      </c>
      <c r="T92" s="769">
        <f t="shared" si="275"/>
        <v>0</v>
      </c>
      <c r="U92" s="772">
        <f t="shared" si="276"/>
        <v>0</v>
      </c>
      <c r="V92" s="771">
        <v>0</v>
      </c>
      <c r="W92" s="772">
        <f t="shared" si="277"/>
        <v>0</v>
      </c>
      <c r="X92" s="773"/>
      <c r="Y92" s="773"/>
      <c r="Z92" s="772">
        <f t="shared" si="278"/>
        <v>0</v>
      </c>
      <c r="AA92" s="772">
        <f t="shared" si="279"/>
        <v>0</v>
      </c>
      <c r="AB92" s="772">
        <f t="shared" si="280"/>
        <v>0</v>
      </c>
      <c r="AC92" s="772">
        <f t="shared" si="281"/>
        <v>0</v>
      </c>
      <c r="AD92" s="772">
        <f t="shared" si="282"/>
        <v>0</v>
      </c>
      <c r="AE92" s="772">
        <f t="shared" si="283"/>
        <v>0</v>
      </c>
      <c r="AF92" s="774">
        <f t="shared" si="284"/>
        <v>0</v>
      </c>
      <c r="AG92" s="772">
        <f t="shared" si="285"/>
        <v>0</v>
      </c>
      <c r="AH92" s="772">
        <f t="shared" si="286"/>
        <v>0</v>
      </c>
      <c r="AI92" s="769">
        <f t="shared" si="287"/>
        <v>0</v>
      </c>
      <c r="AJ92" s="772">
        <f t="shared" si="288"/>
        <v>0</v>
      </c>
      <c r="AK92" s="769">
        <f t="shared" si="289"/>
        <v>0</v>
      </c>
      <c r="AL92" s="769">
        <f t="shared" si="290"/>
        <v>0</v>
      </c>
      <c r="AM92" s="769">
        <f t="shared" si="291"/>
        <v>0</v>
      </c>
      <c r="AN92" s="769">
        <f t="shared" si="292"/>
        <v>0</v>
      </c>
      <c r="AO92" s="769">
        <f t="shared" si="293"/>
        <v>0</v>
      </c>
      <c r="AP92" s="769">
        <f t="shared" si="294"/>
        <v>0</v>
      </c>
      <c r="AQ92" s="769">
        <f t="shared" si="295"/>
        <v>0</v>
      </c>
      <c r="AR92" s="769">
        <f t="shared" si="296"/>
        <v>0</v>
      </c>
      <c r="AS92" s="769">
        <v>0</v>
      </c>
      <c r="AT92" s="769">
        <f t="shared" si="297"/>
        <v>0</v>
      </c>
      <c r="AU92" s="769">
        <f t="shared" si="298"/>
        <v>0</v>
      </c>
      <c r="AV92" s="769">
        <f t="shared" si="299"/>
        <v>0</v>
      </c>
      <c r="AW92" s="769">
        <f t="shared" si="300"/>
        <v>0</v>
      </c>
      <c r="AX92" s="769">
        <f t="shared" si="301"/>
        <v>0</v>
      </c>
      <c r="AY92" s="769">
        <f t="shared" si="302"/>
        <v>0</v>
      </c>
      <c r="AZ92" s="769">
        <f t="shared" si="303"/>
        <v>0</v>
      </c>
      <c r="BA92" s="769">
        <f t="shared" si="304"/>
        <v>0</v>
      </c>
      <c r="BB92" s="769">
        <f t="shared" si="305"/>
        <v>0</v>
      </c>
      <c r="BC92" s="769">
        <f t="shared" si="306"/>
        <v>0</v>
      </c>
      <c r="BD92" s="661"/>
      <c r="BF92" s="480"/>
      <c r="BG92" s="480"/>
      <c r="BH92" s="480"/>
      <c r="BI92" s="480"/>
      <c r="BJ92" s="480"/>
      <c r="BK92" s="769">
        <f t="shared" si="312"/>
        <v>0</v>
      </c>
      <c r="BL92" s="769">
        <f t="shared" si="313"/>
        <v>0</v>
      </c>
      <c r="BM92" s="769">
        <f t="shared" si="314"/>
        <v>0</v>
      </c>
      <c r="BN92" s="769">
        <f t="shared" si="315"/>
        <v>0</v>
      </c>
      <c r="BO92" s="769">
        <f t="shared" si="316"/>
        <v>0</v>
      </c>
      <c r="BP92" s="769">
        <f t="shared" si="317"/>
        <v>0</v>
      </c>
    </row>
    <row r="93" spans="1:68" s="775" customFormat="1" ht="15.6">
      <c r="A93" s="762"/>
      <c r="B93" s="763">
        <v>0</v>
      </c>
      <c r="C93" s="763">
        <v>0</v>
      </c>
      <c r="D93" s="763">
        <v>0</v>
      </c>
      <c r="E93" s="763">
        <v>0</v>
      </c>
      <c r="F93" s="763">
        <v>0</v>
      </c>
      <c r="G93" s="689">
        <f t="shared" si="307"/>
        <v>0</v>
      </c>
      <c r="H93" s="764">
        <f t="shared" si="308"/>
        <v>0</v>
      </c>
      <c r="I93" s="763">
        <v>0</v>
      </c>
      <c r="J93" s="689">
        <f t="shared" si="309"/>
        <v>0</v>
      </c>
      <c r="K93" s="764">
        <f t="shared" si="310"/>
        <v>0</v>
      </c>
      <c r="L93" s="763">
        <v>0</v>
      </c>
      <c r="M93" s="689">
        <f t="shared" si="311"/>
        <v>0</v>
      </c>
      <c r="N93" s="765"/>
      <c r="O93" s="776"/>
      <c r="P93" s="776"/>
      <c r="Q93" s="777" t="s">
        <v>259</v>
      </c>
      <c r="R93" s="762" t="s">
        <v>211</v>
      </c>
      <c r="S93" s="768">
        <v>1</v>
      </c>
      <c r="T93" s="769">
        <f t="shared" si="275"/>
        <v>0</v>
      </c>
      <c r="U93" s="772">
        <f t="shared" si="276"/>
        <v>0</v>
      </c>
      <c r="V93" s="771">
        <v>0</v>
      </c>
      <c r="W93" s="772">
        <f t="shared" si="277"/>
        <v>0</v>
      </c>
      <c r="X93" s="773"/>
      <c r="Y93" s="773"/>
      <c r="Z93" s="772">
        <f t="shared" si="278"/>
        <v>0</v>
      </c>
      <c r="AA93" s="772">
        <f t="shared" si="279"/>
        <v>0</v>
      </c>
      <c r="AB93" s="772">
        <f t="shared" si="280"/>
        <v>0</v>
      </c>
      <c r="AC93" s="772">
        <f t="shared" si="281"/>
        <v>0</v>
      </c>
      <c r="AD93" s="772">
        <f t="shared" si="282"/>
        <v>0</v>
      </c>
      <c r="AE93" s="772">
        <f t="shared" si="283"/>
        <v>0</v>
      </c>
      <c r="AF93" s="774">
        <f t="shared" si="284"/>
        <v>0</v>
      </c>
      <c r="AG93" s="772">
        <f t="shared" si="285"/>
        <v>0</v>
      </c>
      <c r="AH93" s="772">
        <f t="shared" si="286"/>
        <v>0</v>
      </c>
      <c r="AI93" s="769">
        <f t="shared" si="287"/>
        <v>0</v>
      </c>
      <c r="AJ93" s="772">
        <f t="shared" si="288"/>
        <v>0</v>
      </c>
      <c r="AK93" s="769">
        <f t="shared" si="289"/>
        <v>0</v>
      </c>
      <c r="AL93" s="769">
        <f t="shared" si="290"/>
        <v>0</v>
      </c>
      <c r="AM93" s="769">
        <f t="shared" si="291"/>
        <v>0</v>
      </c>
      <c r="AN93" s="769">
        <f t="shared" si="292"/>
        <v>0</v>
      </c>
      <c r="AO93" s="769">
        <f t="shared" si="293"/>
        <v>0</v>
      </c>
      <c r="AP93" s="769">
        <f t="shared" si="294"/>
        <v>0</v>
      </c>
      <c r="AQ93" s="769">
        <f t="shared" si="295"/>
        <v>0</v>
      </c>
      <c r="AR93" s="769">
        <f t="shared" si="296"/>
        <v>0</v>
      </c>
      <c r="AS93" s="769">
        <v>0</v>
      </c>
      <c r="AT93" s="769">
        <f t="shared" si="297"/>
        <v>0</v>
      </c>
      <c r="AU93" s="769">
        <f t="shared" si="298"/>
        <v>0</v>
      </c>
      <c r="AV93" s="769">
        <f t="shared" si="299"/>
        <v>0</v>
      </c>
      <c r="AW93" s="769">
        <f t="shared" si="300"/>
        <v>0</v>
      </c>
      <c r="AX93" s="769">
        <f t="shared" si="301"/>
        <v>0</v>
      </c>
      <c r="AY93" s="769">
        <f t="shared" si="302"/>
        <v>0</v>
      </c>
      <c r="AZ93" s="769">
        <f t="shared" si="303"/>
        <v>0</v>
      </c>
      <c r="BA93" s="769">
        <f t="shared" si="304"/>
        <v>0</v>
      </c>
      <c r="BB93" s="769">
        <f t="shared" si="305"/>
        <v>0</v>
      </c>
      <c r="BC93" s="769">
        <f t="shared" si="306"/>
        <v>0</v>
      </c>
      <c r="BD93" s="661"/>
      <c r="BF93" s="480"/>
      <c r="BG93" s="480"/>
      <c r="BH93" s="480"/>
      <c r="BI93" s="480"/>
      <c r="BJ93" s="480"/>
      <c r="BK93" s="769">
        <f t="shared" si="312"/>
        <v>0</v>
      </c>
      <c r="BL93" s="769">
        <f t="shared" si="313"/>
        <v>0</v>
      </c>
      <c r="BM93" s="769">
        <f t="shared" si="314"/>
        <v>0</v>
      </c>
      <c r="BN93" s="769">
        <f t="shared" si="315"/>
        <v>0</v>
      </c>
      <c r="BO93" s="769">
        <f t="shared" si="316"/>
        <v>0</v>
      </c>
      <c r="BP93" s="769">
        <f t="shared" si="317"/>
        <v>0</v>
      </c>
    </row>
    <row r="94" spans="1:68" s="775" customFormat="1" ht="15.6">
      <c r="A94" s="762"/>
      <c r="B94" s="763">
        <v>0</v>
      </c>
      <c r="C94" s="763">
        <v>0</v>
      </c>
      <c r="D94" s="763">
        <v>0</v>
      </c>
      <c r="E94" s="763">
        <v>0</v>
      </c>
      <c r="F94" s="763">
        <v>0</v>
      </c>
      <c r="G94" s="689">
        <f t="shared" si="307"/>
        <v>0</v>
      </c>
      <c r="H94" s="764">
        <f t="shared" si="308"/>
        <v>0</v>
      </c>
      <c r="I94" s="763">
        <v>0</v>
      </c>
      <c r="J94" s="689">
        <f t="shared" si="309"/>
        <v>0</v>
      </c>
      <c r="K94" s="764">
        <f t="shared" si="310"/>
        <v>0</v>
      </c>
      <c r="L94" s="763">
        <v>0</v>
      </c>
      <c r="M94" s="689">
        <f t="shared" si="311"/>
        <v>0</v>
      </c>
      <c r="N94" s="765"/>
      <c r="O94" s="776"/>
      <c r="P94" s="776"/>
      <c r="Q94" s="777" t="s">
        <v>260</v>
      </c>
      <c r="R94" s="762" t="s">
        <v>231</v>
      </c>
      <c r="S94" s="768">
        <v>1</v>
      </c>
      <c r="T94" s="769">
        <f t="shared" si="275"/>
        <v>0</v>
      </c>
      <c r="U94" s="772">
        <f t="shared" si="276"/>
        <v>0</v>
      </c>
      <c r="V94" s="771">
        <v>0</v>
      </c>
      <c r="W94" s="772">
        <f t="shared" si="277"/>
        <v>0</v>
      </c>
      <c r="X94" s="773"/>
      <c r="Y94" s="773"/>
      <c r="Z94" s="772">
        <f t="shared" si="278"/>
        <v>0</v>
      </c>
      <c r="AA94" s="772">
        <f t="shared" si="279"/>
        <v>0</v>
      </c>
      <c r="AB94" s="772">
        <f t="shared" si="280"/>
        <v>0</v>
      </c>
      <c r="AC94" s="772">
        <f t="shared" si="281"/>
        <v>0</v>
      </c>
      <c r="AD94" s="772">
        <f t="shared" si="282"/>
        <v>0</v>
      </c>
      <c r="AE94" s="772">
        <f t="shared" si="283"/>
        <v>0</v>
      </c>
      <c r="AF94" s="774">
        <f t="shared" si="284"/>
        <v>0</v>
      </c>
      <c r="AG94" s="772">
        <f t="shared" si="285"/>
        <v>0</v>
      </c>
      <c r="AH94" s="772">
        <f t="shared" si="286"/>
        <v>0</v>
      </c>
      <c r="AI94" s="769">
        <f t="shared" si="287"/>
        <v>0</v>
      </c>
      <c r="AJ94" s="772">
        <f t="shared" si="288"/>
        <v>0</v>
      </c>
      <c r="AK94" s="769">
        <f t="shared" si="289"/>
        <v>0</v>
      </c>
      <c r="AL94" s="769">
        <f t="shared" si="290"/>
        <v>0</v>
      </c>
      <c r="AM94" s="769">
        <f t="shared" si="291"/>
        <v>0</v>
      </c>
      <c r="AN94" s="769">
        <f t="shared" si="292"/>
        <v>0</v>
      </c>
      <c r="AO94" s="769">
        <f t="shared" si="293"/>
        <v>0</v>
      </c>
      <c r="AP94" s="769">
        <f t="shared" si="294"/>
        <v>0</v>
      </c>
      <c r="AQ94" s="769">
        <f t="shared" si="295"/>
        <v>0</v>
      </c>
      <c r="AR94" s="769">
        <f t="shared" si="296"/>
        <v>0</v>
      </c>
      <c r="AS94" s="769">
        <v>0</v>
      </c>
      <c r="AT94" s="769">
        <f t="shared" si="297"/>
        <v>0</v>
      </c>
      <c r="AU94" s="769">
        <f t="shared" si="298"/>
        <v>0</v>
      </c>
      <c r="AV94" s="769">
        <f t="shared" si="299"/>
        <v>0</v>
      </c>
      <c r="AW94" s="769">
        <f t="shared" si="300"/>
        <v>0</v>
      </c>
      <c r="AX94" s="769">
        <f t="shared" si="301"/>
        <v>0</v>
      </c>
      <c r="AY94" s="769">
        <f t="shared" si="302"/>
        <v>0</v>
      </c>
      <c r="AZ94" s="769">
        <f t="shared" si="303"/>
        <v>0</v>
      </c>
      <c r="BA94" s="769">
        <f t="shared" si="304"/>
        <v>0</v>
      </c>
      <c r="BB94" s="769">
        <f t="shared" si="305"/>
        <v>0</v>
      </c>
      <c r="BC94" s="769">
        <f t="shared" si="306"/>
        <v>0</v>
      </c>
      <c r="BD94" s="661"/>
      <c r="BF94" s="480"/>
      <c r="BG94" s="480"/>
      <c r="BH94" s="480"/>
      <c r="BI94" s="480"/>
      <c r="BJ94" s="480"/>
      <c r="BK94" s="769">
        <f t="shared" si="312"/>
        <v>0</v>
      </c>
      <c r="BL94" s="769">
        <f t="shared" si="313"/>
        <v>0</v>
      </c>
      <c r="BM94" s="769">
        <f t="shared" si="314"/>
        <v>0</v>
      </c>
      <c r="BN94" s="769">
        <f t="shared" si="315"/>
        <v>0</v>
      </c>
      <c r="BO94" s="769">
        <f t="shared" si="316"/>
        <v>0</v>
      </c>
      <c r="BP94" s="769">
        <f t="shared" si="317"/>
        <v>0</v>
      </c>
    </row>
    <row r="95" spans="1:68" s="775" customFormat="1" ht="15.6">
      <c r="A95" s="762"/>
      <c r="B95" s="763">
        <v>0</v>
      </c>
      <c r="C95" s="763">
        <v>0</v>
      </c>
      <c r="D95" s="763">
        <v>0</v>
      </c>
      <c r="E95" s="763">
        <v>0</v>
      </c>
      <c r="F95" s="763">
        <v>0</v>
      </c>
      <c r="G95" s="689">
        <f t="shared" si="307"/>
        <v>0</v>
      </c>
      <c r="H95" s="764">
        <f t="shared" si="308"/>
        <v>0</v>
      </c>
      <c r="I95" s="763">
        <v>0</v>
      </c>
      <c r="J95" s="689">
        <f t="shared" si="309"/>
        <v>0</v>
      </c>
      <c r="K95" s="764">
        <f t="shared" si="310"/>
        <v>0</v>
      </c>
      <c r="L95" s="763">
        <v>0</v>
      </c>
      <c r="M95" s="689">
        <f t="shared" si="311"/>
        <v>0</v>
      </c>
      <c r="N95" s="765"/>
      <c r="O95" s="776"/>
      <c r="P95" s="776" t="s">
        <v>264</v>
      </c>
      <c r="Q95" s="777" t="s">
        <v>257</v>
      </c>
      <c r="R95" s="762" t="s">
        <v>211</v>
      </c>
      <c r="S95" s="768">
        <v>1</v>
      </c>
      <c r="T95" s="769">
        <f t="shared" si="275"/>
        <v>0</v>
      </c>
      <c r="U95" s="772">
        <f t="shared" si="276"/>
        <v>0</v>
      </c>
      <c r="V95" s="771">
        <v>0</v>
      </c>
      <c r="W95" s="772">
        <f t="shared" si="277"/>
        <v>0</v>
      </c>
      <c r="X95" s="773"/>
      <c r="Y95" s="773"/>
      <c r="Z95" s="772">
        <f t="shared" si="278"/>
        <v>0</v>
      </c>
      <c r="AA95" s="772">
        <f t="shared" si="279"/>
        <v>0</v>
      </c>
      <c r="AB95" s="772">
        <f t="shared" si="280"/>
        <v>0</v>
      </c>
      <c r="AC95" s="772">
        <f t="shared" si="281"/>
        <v>0</v>
      </c>
      <c r="AD95" s="772">
        <f t="shared" si="282"/>
        <v>0</v>
      </c>
      <c r="AE95" s="772">
        <f t="shared" si="283"/>
        <v>0</v>
      </c>
      <c r="AF95" s="774">
        <f t="shared" si="284"/>
        <v>0</v>
      </c>
      <c r="AG95" s="772">
        <f t="shared" si="285"/>
        <v>0</v>
      </c>
      <c r="AH95" s="772">
        <f t="shared" si="286"/>
        <v>0</v>
      </c>
      <c r="AI95" s="769">
        <f t="shared" si="287"/>
        <v>0</v>
      </c>
      <c r="AJ95" s="772">
        <f t="shared" si="288"/>
        <v>0</v>
      </c>
      <c r="AK95" s="769">
        <f t="shared" si="289"/>
        <v>0</v>
      </c>
      <c r="AL95" s="769">
        <f t="shared" si="290"/>
        <v>0</v>
      </c>
      <c r="AM95" s="769">
        <f t="shared" si="291"/>
        <v>0</v>
      </c>
      <c r="AN95" s="769">
        <f t="shared" si="292"/>
        <v>0</v>
      </c>
      <c r="AO95" s="769">
        <f t="shared" si="293"/>
        <v>0</v>
      </c>
      <c r="AP95" s="769">
        <f t="shared" si="294"/>
        <v>0</v>
      </c>
      <c r="AQ95" s="769">
        <f t="shared" si="295"/>
        <v>0</v>
      </c>
      <c r="AR95" s="769">
        <f t="shared" si="296"/>
        <v>0</v>
      </c>
      <c r="AS95" s="769">
        <v>0</v>
      </c>
      <c r="AT95" s="769">
        <f t="shared" si="297"/>
        <v>0</v>
      </c>
      <c r="AU95" s="769">
        <f t="shared" si="298"/>
        <v>0</v>
      </c>
      <c r="AV95" s="769">
        <f t="shared" si="299"/>
        <v>0</v>
      </c>
      <c r="AW95" s="769">
        <f t="shared" si="300"/>
        <v>0</v>
      </c>
      <c r="AX95" s="769">
        <f t="shared" si="301"/>
        <v>0</v>
      </c>
      <c r="AY95" s="769">
        <f t="shared" si="302"/>
        <v>0</v>
      </c>
      <c r="AZ95" s="769">
        <f t="shared" si="303"/>
        <v>0</v>
      </c>
      <c r="BA95" s="769">
        <f t="shared" si="304"/>
        <v>0</v>
      </c>
      <c r="BB95" s="769">
        <f t="shared" si="305"/>
        <v>0</v>
      </c>
      <c r="BC95" s="769">
        <f t="shared" si="306"/>
        <v>0</v>
      </c>
      <c r="BD95" s="661"/>
      <c r="BF95" s="480"/>
      <c r="BG95" s="480"/>
      <c r="BH95" s="480"/>
      <c r="BI95" s="480"/>
      <c r="BJ95" s="480"/>
      <c r="BK95" s="769">
        <f t="shared" si="312"/>
        <v>0</v>
      </c>
      <c r="BL95" s="769">
        <f t="shared" si="313"/>
        <v>0</v>
      </c>
      <c r="BM95" s="769">
        <f t="shared" si="314"/>
        <v>0</v>
      </c>
      <c r="BN95" s="769">
        <f t="shared" si="315"/>
        <v>0</v>
      </c>
      <c r="BO95" s="769">
        <f t="shared" si="316"/>
        <v>0</v>
      </c>
      <c r="BP95" s="769">
        <f t="shared" si="317"/>
        <v>0</v>
      </c>
    </row>
    <row r="96" spans="1:68" s="775" customFormat="1" ht="15.6">
      <c r="A96" s="762"/>
      <c r="B96" s="763">
        <v>0</v>
      </c>
      <c r="C96" s="763">
        <v>0</v>
      </c>
      <c r="D96" s="763">
        <v>0</v>
      </c>
      <c r="E96" s="763">
        <v>0</v>
      </c>
      <c r="F96" s="763">
        <v>0</v>
      </c>
      <c r="G96" s="689">
        <f t="shared" si="307"/>
        <v>0</v>
      </c>
      <c r="H96" s="764">
        <f t="shared" si="308"/>
        <v>0</v>
      </c>
      <c r="I96" s="763">
        <v>0</v>
      </c>
      <c r="J96" s="689">
        <f t="shared" si="309"/>
        <v>0</v>
      </c>
      <c r="K96" s="764">
        <f t="shared" si="310"/>
        <v>0</v>
      </c>
      <c r="L96" s="763">
        <v>0</v>
      </c>
      <c r="M96" s="689">
        <f t="shared" si="311"/>
        <v>0</v>
      </c>
      <c r="N96" s="765"/>
      <c r="O96" s="776"/>
      <c r="P96" s="776"/>
      <c r="Q96" s="777" t="s">
        <v>262</v>
      </c>
      <c r="R96" s="762" t="s">
        <v>211</v>
      </c>
      <c r="S96" s="768">
        <v>1</v>
      </c>
      <c r="T96" s="769">
        <f t="shared" si="275"/>
        <v>0</v>
      </c>
      <c r="U96" s="772">
        <f t="shared" si="276"/>
        <v>0</v>
      </c>
      <c r="V96" s="771">
        <v>0</v>
      </c>
      <c r="W96" s="772">
        <f t="shared" si="277"/>
        <v>0</v>
      </c>
      <c r="X96" s="773"/>
      <c r="Y96" s="773"/>
      <c r="Z96" s="772">
        <f t="shared" si="278"/>
        <v>0</v>
      </c>
      <c r="AA96" s="772">
        <f t="shared" si="279"/>
        <v>0</v>
      </c>
      <c r="AB96" s="772">
        <f t="shared" si="280"/>
        <v>0</v>
      </c>
      <c r="AC96" s="772">
        <f t="shared" si="281"/>
        <v>0</v>
      </c>
      <c r="AD96" s="772">
        <f t="shared" si="282"/>
        <v>0</v>
      </c>
      <c r="AE96" s="772">
        <f t="shared" si="283"/>
        <v>0</v>
      </c>
      <c r="AF96" s="774">
        <f t="shared" si="284"/>
        <v>0</v>
      </c>
      <c r="AG96" s="772">
        <f t="shared" si="285"/>
        <v>0</v>
      </c>
      <c r="AH96" s="772">
        <f t="shared" si="286"/>
        <v>0</v>
      </c>
      <c r="AI96" s="769">
        <f t="shared" si="287"/>
        <v>0</v>
      </c>
      <c r="AJ96" s="772">
        <f t="shared" si="288"/>
        <v>0</v>
      </c>
      <c r="AK96" s="769">
        <f t="shared" si="289"/>
        <v>0</v>
      </c>
      <c r="AL96" s="769">
        <f t="shared" si="290"/>
        <v>0</v>
      </c>
      <c r="AM96" s="769">
        <f t="shared" si="291"/>
        <v>0</v>
      </c>
      <c r="AN96" s="769">
        <f t="shared" si="292"/>
        <v>0</v>
      </c>
      <c r="AO96" s="769">
        <f t="shared" si="293"/>
        <v>0</v>
      </c>
      <c r="AP96" s="769">
        <f t="shared" si="294"/>
        <v>0</v>
      </c>
      <c r="AQ96" s="769">
        <f t="shared" si="295"/>
        <v>0</v>
      </c>
      <c r="AR96" s="769">
        <f t="shared" si="296"/>
        <v>0</v>
      </c>
      <c r="AS96" s="769">
        <v>0</v>
      </c>
      <c r="AT96" s="769">
        <f t="shared" si="297"/>
        <v>0</v>
      </c>
      <c r="AU96" s="769">
        <f t="shared" si="298"/>
        <v>0</v>
      </c>
      <c r="AV96" s="769">
        <f t="shared" si="299"/>
        <v>0</v>
      </c>
      <c r="AW96" s="769">
        <f t="shared" si="300"/>
        <v>0</v>
      </c>
      <c r="AX96" s="769">
        <f t="shared" si="301"/>
        <v>0</v>
      </c>
      <c r="AY96" s="769">
        <f t="shared" si="302"/>
        <v>0</v>
      </c>
      <c r="AZ96" s="769">
        <f t="shared" si="303"/>
        <v>0</v>
      </c>
      <c r="BA96" s="769">
        <f t="shared" si="304"/>
        <v>0</v>
      </c>
      <c r="BB96" s="769">
        <f t="shared" si="305"/>
        <v>0</v>
      </c>
      <c r="BC96" s="769">
        <f t="shared" si="306"/>
        <v>0</v>
      </c>
      <c r="BD96" s="661"/>
      <c r="BF96" s="480"/>
      <c r="BG96" s="480"/>
      <c r="BH96" s="480"/>
      <c r="BI96" s="480"/>
      <c r="BJ96" s="480"/>
      <c r="BK96" s="769">
        <f t="shared" si="312"/>
        <v>0</v>
      </c>
      <c r="BL96" s="769">
        <f t="shared" si="313"/>
        <v>0</v>
      </c>
      <c r="BM96" s="769">
        <f t="shared" si="314"/>
        <v>0</v>
      </c>
      <c r="BN96" s="769">
        <f t="shared" si="315"/>
        <v>0</v>
      </c>
      <c r="BO96" s="769">
        <f t="shared" si="316"/>
        <v>0</v>
      </c>
      <c r="BP96" s="769">
        <f t="shared" si="317"/>
        <v>0</v>
      </c>
    </row>
    <row r="97" spans="1:68" s="775" customFormat="1" ht="15.6">
      <c r="A97" s="762"/>
      <c r="B97" s="763">
        <v>0</v>
      </c>
      <c r="C97" s="763">
        <v>0</v>
      </c>
      <c r="D97" s="763">
        <v>0</v>
      </c>
      <c r="E97" s="763">
        <v>0</v>
      </c>
      <c r="F97" s="763">
        <v>0</v>
      </c>
      <c r="G97" s="689">
        <f t="shared" si="307"/>
        <v>0</v>
      </c>
      <c r="H97" s="764">
        <f t="shared" si="308"/>
        <v>0</v>
      </c>
      <c r="I97" s="763">
        <v>0</v>
      </c>
      <c r="J97" s="689">
        <f t="shared" si="309"/>
        <v>0</v>
      </c>
      <c r="K97" s="764">
        <f t="shared" si="310"/>
        <v>0</v>
      </c>
      <c r="L97" s="763">
        <v>0</v>
      </c>
      <c r="M97" s="689">
        <f t="shared" si="311"/>
        <v>0</v>
      </c>
      <c r="N97" s="765"/>
      <c r="O97" s="776"/>
      <c r="P97" s="776"/>
      <c r="Q97" s="777" t="s">
        <v>265</v>
      </c>
      <c r="R97" s="762" t="s">
        <v>211</v>
      </c>
      <c r="S97" s="768">
        <v>1</v>
      </c>
      <c r="T97" s="769">
        <f t="shared" si="275"/>
        <v>0</v>
      </c>
      <c r="U97" s="772">
        <f t="shared" si="276"/>
        <v>0</v>
      </c>
      <c r="V97" s="771">
        <v>0</v>
      </c>
      <c r="W97" s="772">
        <f t="shared" si="277"/>
        <v>0</v>
      </c>
      <c r="X97" s="773"/>
      <c r="Y97" s="773"/>
      <c r="Z97" s="772">
        <f t="shared" si="278"/>
        <v>0</v>
      </c>
      <c r="AA97" s="772">
        <f t="shared" si="279"/>
        <v>0</v>
      </c>
      <c r="AB97" s="772">
        <f t="shared" si="280"/>
        <v>0</v>
      </c>
      <c r="AC97" s="772">
        <f t="shared" si="281"/>
        <v>0</v>
      </c>
      <c r="AD97" s="772">
        <f t="shared" si="282"/>
        <v>0</v>
      </c>
      <c r="AE97" s="772">
        <f t="shared" si="283"/>
        <v>0</v>
      </c>
      <c r="AF97" s="774">
        <f t="shared" si="284"/>
        <v>0</v>
      </c>
      <c r="AG97" s="772">
        <f t="shared" si="285"/>
        <v>0</v>
      </c>
      <c r="AH97" s="772">
        <f t="shared" si="286"/>
        <v>0</v>
      </c>
      <c r="AI97" s="769">
        <f t="shared" si="287"/>
        <v>0</v>
      </c>
      <c r="AJ97" s="772">
        <f t="shared" si="288"/>
        <v>0</v>
      </c>
      <c r="AK97" s="769">
        <f t="shared" si="289"/>
        <v>0</v>
      </c>
      <c r="AL97" s="769">
        <f t="shared" si="290"/>
        <v>0</v>
      </c>
      <c r="AM97" s="769">
        <f t="shared" si="291"/>
        <v>0</v>
      </c>
      <c r="AN97" s="769">
        <f t="shared" si="292"/>
        <v>0</v>
      </c>
      <c r="AO97" s="769">
        <f t="shared" si="293"/>
        <v>0</v>
      </c>
      <c r="AP97" s="769">
        <f t="shared" si="294"/>
        <v>0</v>
      </c>
      <c r="AQ97" s="769">
        <f t="shared" si="295"/>
        <v>0</v>
      </c>
      <c r="AR97" s="769">
        <f t="shared" si="296"/>
        <v>0</v>
      </c>
      <c r="AS97" s="769">
        <v>0</v>
      </c>
      <c r="AT97" s="769">
        <f t="shared" si="297"/>
        <v>0</v>
      </c>
      <c r="AU97" s="769">
        <f t="shared" si="298"/>
        <v>0</v>
      </c>
      <c r="AV97" s="769">
        <f t="shared" si="299"/>
        <v>0</v>
      </c>
      <c r="AW97" s="769">
        <f t="shared" si="300"/>
        <v>0</v>
      </c>
      <c r="AX97" s="769">
        <f t="shared" si="301"/>
        <v>0</v>
      </c>
      <c r="AY97" s="769">
        <f t="shared" si="302"/>
        <v>0</v>
      </c>
      <c r="AZ97" s="769">
        <f t="shared" si="303"/>
        <v>0</v>
      </c>
      <c r="BA97" s="769">
        <f t="shared" si="304"/>
        <v>0</v>
      </c>
      <c r="BB97" s="769">
        <f t="shared" si="305"/>
        <v>0</v>
      </c>
      <c r="BC97" s="769">
        <f t="shared" si="306"/>
        <v>0</v>
      </c>
      <c r="BD97" s="661"/>
      <c r="BF97" s="480"/>
      <c r="BG97" s="480"/>
      <c r="BH97" s="480"/>
      <c r="BI97" s="480"/>
      <c r="BJ97" s="480"/>
      <c r="BK97" s="769">
        <f t="shared" si="312"/>
        <v>0</v>
      </c>
      <c r="BL97" s="769">
        <f t="shared" si="313"/>
        <v>0</v>
      </c>
      <c r="BM97" s="769">
        <f t="shared" si="314"/>
        <v>0</v>
      </c>
      <c r="BN97" s="769">
        <f t="shared" si="315"/>
        <v>0</v>
      </c>
      <c r="BO97" s="769">
        <f t="shared" si="316"/>
        <v>0</v>
      </c>
      <c r="BP97" s="769">
        <f t="shared" si="317"/>
        <v>0</v>
      </c>
    </row>
    <row r="98" spans="1:68" s="775" customFormat="1" ht="15.6">
      <c r="A98" s="762"/>
      <c r="B98" s="763">
        <v>0</v>
      </c>
      <c r="C98" s="763">
        <v>0</v>
      </c>
      <c r="D98" s="763">
        <v>0</v>
      </c>
      <c r="E98" s="763">
        <v>0</v>
      </c>
      <c r="F98" s="763">
        <v>0</v>
      </c>
      <c r="G98" s="689">
        <f t="shared" si="307"/>
        <v>0</v>
      </c>
      <c r="H98" s="764">
        <f t="shared" si="308"/>
        <v>0</v>
      </c>
      <c r="I98" s="763">
        <v>0</v>
      </c>
      <c r="J98" s="689">
        <f t="shared" si="309"/>
        <v>0</v>
      </c>
      <c r="K98" s="764">
        <f t="shared" si="310"/>
        <v>0</v>
      </c>
      <c r="L98" s="763">
        <v>0</v>
      </c>
      <c r="M98" s="689">
        <f t="shared" si="311"/>
        <v>0</v>
      </c>
      <c r="N98" s="765"/>
      <c r="O98" s="776"/>
      <c r="P98" s="776"/>
      <c r="Q98" s="777" t="s">
        <v>266</v>
      </c>
      <c r="R98" s="762" t="s">
        <v>211</v>
      </c>
      <c r="S98" s="768">
        <v>1</v>
      </c>
      <c r="T98" s="769">
        <f t="shared" si="275"/>
        <v>0</v>
      </c>
      <c r="U98" s="772">
        <f t="shared" si="276"/>
        <v>0</v>
      </c>
      <c r="V98" s="771">
        <v>0</v>
      </c>
      <c r="W98" s="772">
        <f t="shared" si="277"/>
        <v>0</v>
      </c>
      <c r="X98" s="773"/>
      <c r="Y98" s="773"/>
      <c r="Z98" s="772">
        <f t="shared" si="278"/>
        <v>0</v>
      </c>
      <c r="AA98" s="772">
        <f t="shared" si="279"/>
        <v>0</v>
      </c>
      <c r="AB98" s="772">
        <f t="shared" si="280"/>
        <v>0</v>
      </c>
      <c r="AC98" s="772">
        <f t="shared" si="281"/>
        <v>0</v>
      </c>
      <c r="AD98" s="772">
        <f t="shared" si="282"/>
        <v>0</v>
      </c>
      <c r="AE98" s="772">
        <f t="shared" si="283"/>
        <v>0</v>
      </c>
      <c r="AF98" s="774">
        <f t="shared" si="284"/>
        <v>0</v>
      </c>
      <c r="AG98" s="772">
        <f t="shared" si="285"/>
        <v>0</v>
      </c>
      <c r="AH98" s="772">
        <f t="shared" si="286"/>
        <v>0</v>
      </c>
      <c r="AI98" s="769">
        <f t="shared" si="287"/>
        <v>0</v>
      </c>
      <c r="AJ98" s="772">
        <f t="shared" si="288"/>
        <v>0</v>
      </c>
      <c r="AK98" s="769">
        <f t="shared" si="289"/>
        <v>0</v>
      </c>
      <c r="AL98" s="769">
        <f t="shared" si="290"/>
        <v>0</v>
      </c>
      <c r="AM98" s="769">
        <f t="shared" si="291"/>
        <v>0</v>
      </c>
      <c r="AN98" s="769">
        <f t="shared" si="292"/>
        <v>0</v>
      </c>
      <c r="AO98" s="769">
        <f t="shared" si="293"/>
        <v>0</v>
      </c>
      <c r="AP98" s="769">
        <f t="shared" si="294"/>
        <v>0</v>
      </c>
      <c r="AQ98" s="769">
        <f t="shared" si="295"/>
        <v>0</v>
      </c>
      <c r="AR98" s="769">
        <f t="shared" si="296"/>
        <v>0</v>
      </c>
      <c r="AS98" s="769">
        <v>0</v>
      </c>
      <c r="AT98" s="769">
        <f t="shared" si="297"/>
        <v>0</v>
      </c>
      <c r="AU98" s="769">
        <f t="shared" si="298"/>
        <v>0</v>
      </c>
      <c r="AV98" s="769">
        <f t="shared" si="299"/>
        <v>0</v>
      </c>
      <c r="AW98" s="769">
        <f t="shared" si="300"/>
        <v>0</v>
      </c>
      <c r="AX98" s="769">
        <f t="shared" si="301"/>
        <v>0</v>
      </c>
      <c r="AY98" s="769">
        <f t="shared" si="302"/>
        <v>0</v>
      </c>
      <c r="AZ98" s="769">
        <f t="shared" si="303"/>
        <v>0</v>
      </c>
      <c r="BA98" s="769">
        <f t="shared" si="304"/>
        <v>0</v>
      </c>
      <c r="BB98" s="769">
        <f t="shared" si="305"/>
        <v>0</v>
      </c>
      <c r="BC98" s="769">
        <f t="shared" si="306"/>
        <v>0</v>
      </c>
      <c r="BD98" s="661"/>
      <c r="BF98" s="480"/>
      <c r="BG98" s="480"/>
      <c r="BH98" s="480"/>
      <c r="BI98" s="480"/>
      <c r="BJ98" s="480"/>
      <c r="BK98" s="769">
        <f t="shared" si="312"/>
        <v>0</v>
      </c>
      <c r="BL98" s="769">
        <f t="shared" si="313"/>
        <v>0</v>
      </c>
      <c r="BM98" s="769">
        <f t="shared" si="314"/>
        <v>0</v>
      </c>
      <c r="BN98" s="769">
        <f t="shared" si="315"/>
        <v>0</v>
      </c>
      <c r="BO98" s="769">
        <f t="shared" si="316"/>
        <v>0</v>
      </c>
      <c r="BP98" s="769">
        <f t="shared" si="317"/>
        <v>0</v>
      </c>
    </row>
    <row r="99" spans="1:68" s="775" customFormat="1" ht="15.6">
      <c r="A99" s="762"/>
      <c r="B99" s="763">
        <v>0</v>
      </c>
      <c r="C99" s="763">
        <v>0</v>
      </c>
      <c r="D99" s="763">
        <v>0</v>
      </c>
      <c r="E99" s="763">
        <v>0</v>
      </c>
      <c r="F99" s="763">
        <v>0</v>
      </c>
      <c r="G99" s="689">
        <f t="shared" si="307"/>
        <v>0</v>
      </c>
      <c r="H99" s="764">
        <f t="shared" si="308"/>
        <v>0</v>
      </c>
      <c r="I99" s="763">
        <v>0</v>
      </c>
      <c r="J99" s="689">
        <f t="shared" si="309"/>
        <v>0</v>
      </c>
      <c r="K99" s="764">
        <f t="shared" si="310"/>
        <v>0</v>
      </c>
      <c r="L99" s="763">
        <v>0</v>
      </c>
      <c r="M99" s="689">
        <f t="shared" si="311"/>
        <v>0</v>
      </c>
      <c r="N99" s="765"/>
      <c r="O99" s="776"/>
      <c r="P99" s="776" t="s">
        <v>267</v>
      </c>
      <c r="Q99" s="777" t="s">
        <v>257</v>
      </c>
      <c r="R99" s="762" t="s">
        <v>211</v>
      </c>
      <c r="S99" s="768">
        <v>1</v>
      </c>
      <c r="T99" s="769">
        <f t="shared" si="275"/>
        <v>0</v>
      </c>
      <c r="U99" s="772">
        <f t="shared" si="276"/>
        <v>0</v>
      </c>
      <c r="V99" s="771">
        <v>0</v>
      </c>
      <c r="W99" s="772">
        <f t="shared" si="277"/>
        <v>0</v>
      </c>
      <c r="X99" s="773"/>
      <c r="Y99" s="773"/>
      <c r="Z99" s="772">
        <f t="shared" si="278"/>
        <v>0</v>
      </c>
      <c r="AA99" s="772">
        <f t="shared" si="279"/>
        <v>0</v>
      </c>
      <c r="AB99" s="772">
        <f t="shared" si="280"/>
        <v>0</v>
      </c>
      <c r="AC99" s="772">
        <f t="shared" si="281"/>
        <v>0</v>
      </c>
      <c r="AD99" s="772">
        <f t="shared" si="282"/>
        <v>0</v>
      </c>
      <c r="AE99" s="772">
        <f t="shared" si="283"/>
        <v>0</v>
      </c>
      <c r="AF99" s="774">
        <f t="shared" si="284"/>
        <v>0</v>
      </c>
      <c r="AG99" s="772">
        <f t="shared" si="285"/>
        <v>0</v>
      </c>
      <c r="AH99" s="772">
        <f t="shared" si="286"/>
        <v>0</v>
      </c>
      <c r="AI99" s="769">
        <f t="shared" si="287"/>
        <v>0</v>
      </c>
      <c r="AJ99" s="772">
        <f t="shared" si="288"/>
        <v>0</v>
      </c>
      <c r="AK99" s="769">
        <f t="shared" si="289"/>
        <v>0</v>
      </c>
      <c r="AL99" s="769">
        <f t="shared" si="290"/>
        <v>0</v>
      </c>
      <c r="AM99" s="769">
        <f t="shared" si="291"/>
        <v>0</v>
      </c>
      <c r="AN99" s="769">
        <f t="shared" si="292"/>
        <v>0</v>
      </c>
      <c r="AO99" s="769">
        <f t="shared" si="293"/>
        <v>0</v>
      </c>
      <c r="AP99" s="769">
        <f t="shared" si="294"/>
        <v>0</v>
      </c>
      <c r="AQ99" s="769">
        <f t="shared" si="295"/>
        <v>0</v>
      </c>
      <c r="AR99" s="769">
        <f t="shared" si="296"/>
        <v>0</v>
      </c>
      <c r="AS99" s="769">
        <v>0</v>
      </c>
      <c r="AT99" s="769">
        <f t="shared" si="297"/>
        <v>0</v>
      </c>
      <c r="AU99" s="769">
        <f t="shared" si="298"/>
        <v>0</v>
      </c>
      <c r="AV99" s="769">
        <f t="shared" si="299"/>
        <v>0</v>
      </c>
      <c r="AW99" s="769">
        <f t="shared" si="300"/>
        <v>0</v>
      </c>
      <c r="AX99" s="769">
        <f t="shared" si="301"/>
        <v>0</v>
      </c>
      <c r="AY99" s="769">
        <f t="shared" si="302"/>
        <v>0</v>
      </c>
      <c r="AZ99" s="769">
        <f t="shared" si="303"/>
        <v>0</v>
      </c>
      <c r="BA99" s="769">
        <f t="shared" si="304"/>
        <v>0</v>
      </c>
      <c r="BB99" s="769">
        <f t="shared" si="305"/>
        <v>0</v>
      </c>
      <c r="BC99" s="769">
        <f t="shared" si="306"/>
        <v>0</v>
      </c>
      <c r="BD99" s="661"/>
      <c r="BF99" s="480"/>
      <c r="BG99" s="480"/>
      <c r="BH99" s="480"/>
      <c r="BI99" s="480"/>
      <c r="BJ99" s="480"/>
      <c r="BK99" s="769">
        <f t="shared" si="312"/>
        <v>0</v>
      </c>
      <c r="BL99" s="769">
        <f t="shared" si="313"/>
        <v>0</v>
      </c>
      <c r="BM99" s="769">
        <f t="shared" si="314"/>
        <v>0</v>
      </c>
      <c r="BN99" s="769">
        <f t="shared" si="315"/>
        <v>0</v>
      </c>
      <c r="BO99" s="769">
        <f t="shared" si="316"/>
        <v>0</v>
      </c>
      <c r="BP99" s="769">
        <f t="shared" si="317"/>
        <v>0</v>
      </c>
    </row>
    <row r="100" spans="1:68" s="775" customFormat="1" ht="15.6">
      <c r="A100" s="762"/>
      <c r="B100" s="763">
        <v>0</v>
      </c>
      <c r="C100" s="763">
        <v>0</v>
      </c>
      <c r="D100" s="763">
        <v>0</v>
      </c>
      <c r="E100" s="763">
        <v>0</v>
      </c>
      <c r="F100" s="763">
        <v>0</v>
      </c>
      <c r="G100" s="689">
        <f t="shared" si="307"/>
        <v>0</v>
      </c>
      <c r="H100" s="764">
        <f t="shared" si="308"/>
        <v>0</v>
      </c>
      <c r="I100" s="763">
        <v>0</v>
      </c>
      <c r="J100" s="689">
        <f t="shared" si="309"/>
        <v>0</v>
      </c>
      <c r="K100" s="764">
        <f t="shared" si="310"/>
        <v>0</v>
      </c>
      <c r="L100" s="763">
        <v>0</v>
      </c>
      <c r="M100" s="689">
        <f t="shared" si="311"/>
        <v>0</v>
      </c>
      <c r="N100" s="765"/>
      <c r="O100" s="776"/>
      <c r="P100" s="776"/>
      <c r="Q100" s="777" t="s">
        <v>268</v>
      </c>
      <c r="R100" s="762" t="s">
        <v>211</v>
      </c>
      <c r="S100" s="768">
        <v>1</v>
      </c>
      <c r="T100" s="769">
        <f t="shared" si="275"/>
        <v>0</v>
      </c>
      <c r="U100" s="772">
        <f t="shared" si="276"/>
        <v>0</v>
      </c>
      <c r="V100" s="771">
        <v>0</v>
      </c>
      <c r="W100" s="772">
        <f t="shared" si="277"/>
        <v>0</v>
      </c>
      <c r="X100" s="773"/>
      <c r="Y100" s="773"/>
      <c r="Z100" s="772">
        <f t="shared" si="278"/>
        <v>0</v>
      </c>
      <c r="AA100" s="772">
        <f t="shared" si="279"/>
        <v>0</v>
      </c>
      <c r="AB100" s="772">
        <f t="shared" si="280"/>
        <v>0</v>
      </c>
      <c r="AC100" s="772">
        <f t="shared" si="281"/>
        <v>0</v>
      </c>
      <c r="AD100" s="772">
        <f t="shared" si="282"/>
        <v>0</v>
      </c>
      <c r="AE100" s="772">
        <f t="shared" si="283"/>
        <v>0</v>
      </c>
      <c r="AF100" s="774">
        <f t="shared" si="284"/>
        <v>0</v>
      </c>
      <c r="AG100" s="772">
        <f t="shared" si="285"/>
        <v>0</v>
      </c>
      <c r="AH100" s="772">
        <f t="shared" si="286"/>
        <v>0</v>
      </c>
      <c r="AI100" s="769">
        <f t="shared" si="287"/>
        <v>0</v>
      </c>
      <c r="AJ100" s="772">
        <f t="shared" si="288"/>
        <v>0</v>
      </c>
      <c r="AK100" s="769">
        <f t="shared" si="289"/>
        <v>0</v>
      </c>
      <c r="AL100" s="769">
        <f t="shared" si="290"/>
        <v>0</v>
      </c>
      <c r="AM100" s="769">
        <f t="shared" si="291"/>
        <v>0</v>
      </c>
      <c r="AN100" s="769">
        <f t="shared" si="292"/>
        <v>0</v>
      </c>
      <c r="AO100" s="769">
        <f t="shared" si="293"/>
        <v>0</v>
      </c>
      <c r="AP100" s="769">
        <f t="shared" si="294"/>
        <v>0</v>
      </c>
      <c r="AQ100" s="769">
        <f t="shared" si="295"/>
        <v>0</v>
      </c>
      <c r="AR100" s="769">
        <f t="shared" si="296"/>
        <v>0</v>
      </c>
      <c r="AS100" s="769">
        <v>0</v>
      </c>
      <c r="AT100" s="769">
        <f t="shared" si="297"/>
        <v>0</v>
      </c>
      <c r="AU100" s="769">
        <f t="shared" si="298"/>
        <v>0</v>
      </c>
      <c r="AV100" s="769">
        <f t="shared" si="299"/>
        <v>0</v>
      </c>
      <c r="AW100" s="769">
        <f t="shared" si="300"/>
        <v>0</v>
      </c>
      <c r="AX100" s="769">
        <f t="shared" si="301"/>
        <v>0</v>
      </c>
      <c r="AY100" s="769">
        <f t="shared" si="302"/>
        <v>0</v>
      </c>
      <c r="AZ100" s="769">
        <f t="shared" si="303"/>
        <v>0</v>
      </c>
      <c r="BA100" s="769">
        <f t="shared" si="304"/>
        <v>0</v>
      </c>
      <c r="BB100" s="769">
        <f t="shared" si="305"/>
        <v>0</v>
      </c>
      <c r="BC100" s="769">
        <f t="shared" si="306"/>
        <v>0</v>
      </c>
      <c r="BD100" s="661"/>
      <c r="BF100" s="480"/>
      <c r="BG100" s="480"/>
      <c r="BH100" s="480"/>
      <c r="BI100" s="480"/>
      <c r="BJ100" s="480"/>
      <c r="BK100" s="769">
        <f t="shared" si="312"/>
        <v>0</v>
      </c>
      <c r="BL100" s="769">
        <f t="shared" si="313"/>
        <v>0</v>
      </c>
      <c r="BM100" s="769">
        <f t="shared" si="314"/>
        <v>0</v>
      </c>
      <c r="BN100" s="769">
        <f t="shared" si="315"/>
        <v>0</v>
      </c>
      <c r="BO100" s="769">
        <f t="shared" si="316"/>
        <v>0</v>
      </c>
      <c r="BP100" s="769">
        <f t="shared" si="317"/>
        <v>0</v>
      </c>
    </row>
    <row r="101" spans="1:68" s="775" customFormat="1" ht="15.6">
      <c r="A101" s="762"/>
      <c r="B101" s="763">
        <v>0</v>
      </c>
      <c r="C101" s="763">
        <v>0</v>
      </c>
      <c r="D101" s="763">
        <v>0</v>
      </c>
      <c r="E101" s="763">
        <v>0</v>
      </c>
      <c r="F101" s="763">
        <v>0</v>
      </c>
      <c r="G101" s="689">
        <f t="shared" si="307"/>
        <v>0</v>
      </c>
      <c r="H101" s="764">
        <f t="shared" si="308"/>
        <v>0</v>
      </c>
      <c r="I101" s="763">
        <v>0</v>
      </c>
      <c r="J101" s="689">
        <f t="shared" si="309"/>
        <v>0</v>
      </c>
      <c r="K101" s="764">
        <f t="shared" si="310"/>
        <v>0</v>
      </c>
      <c r="L101" s="763">
        <v>0</v>
      </c>
      <c r="M101" s="689">
        <f t="shared" si="311"/>
        <v>0</v>
      </c>
      <c r="N101" s="765"/>
      <c r="O101" s="776"/>
      <c r="P101" s="776"/>
      <c r="Q101" s="777" t="s">
        <v>269</v>
      </c>
      <c r="R101" s="762" t="s">
        <v>249</v>
      </c>
      <c r="S101" s="768">
        <v>1</v>
      </c>
      <c r="T101" s="769">
        <f t="shared" si="275"/>
        <v>0</v>
      </c>
      <c r="U101" s="772">
        <f t="shared" si="276"/>
        <v>0</v>
      </c>
      <c r="V101" s="771">
        <v>0</v>
      </c>
      <c r="W101" s="772">
        <f t="shared" si="277"/>
        <v>0</v>
      </c>
      <c r="X101" s="773"/>
      <c r="Y101" s="773"/>
      <c r="Z101" s="772">
        <f t="shared" si="278"/>
        <v>0</v>
      </c>
      <c r="AA101" s="772">
        <f t="shared" si="279"/>
        <v>0</v>
      </c>
      <c r="AB101" s="772">
        <f t="shared" si="280"/>
        <v>0</v>
      </c>
      <c r="AC101" s="772">
        <f t="shared" si="281"/>
        <v>0</v>
      </c>
      <c r="AD101" s="772">
        <f t="shared" si="282"/>
        <v>0</v>
      </c>
      <c r="AE101" s="772">
        <f t="shared" si="283"/>
        <v>0</v>
      </c>
      <c r="AF101" s="774">
        <f t="shared" si="284"/>
        <v>0</v>
      </c>
      <c r="AG101" s="772">
        <f t="shared" si="285"/>
        <v>0</v>
      </c>
      <c r="AH101" s="772">
        <f t="shared" si="286"/>
        <v>0</v>
      </c>
      <c r="AI101" s="769">
        <f t="shared" si="287"/>
        <v>0</v>
      </c>
      <c r="AJ101" s="772">
        <f t="shared" si="288"/>
        <v>0</v>
      </c>
      <c r="AK101" s="769">
        <f t="shared" si="289"/>
        <v>0</v>
      </c>
      <c r="AL101" s="769">
        <f t="shared" si="290"/>
        <v>0</v>
      </c>
      <c r="AM101" s="769">
        <f t="shared" si="291"/>
        <v>0</v>
      </c>
      <c r="AN101" s="769">
        <f t="shared" si="292"/>
        <v>0</v>
      </c>
      <c r="AO101" s="769">
        <f t="shared" si="293"/>
        <v>0</v>
      </c>
      <c r="AP101" s="769">
        <f t="shared" si="294"/>
        <v>0</v>
      </c>
      <c r="AQ101" s="769">
        <f t="shared" si="295"/>
        <v>0</v>
      </c>
      <c r="AR101" s="769">
        <f t="shared" si="296"/>
        <v>0</v>
      </c>
      <c r="AS101" s="769">
        <v>0</v>
      </c>
      <c r="AT101" s="769">
        <f t="shared" si="297"/>
        <v>0</v>
      </c>
      <c r="AU101" s="769">
        <f t="shared" si="298"/>
        <v>0</v>
      </c>
      <c r="AV101" s="769">
        <f t="shared" si="299"/>
        <v>0</v>
      </c>
      <c r="AW101" s="769">
        <f t="shared" si="300"/>
        <v>0</v>
      </c>
      <c r="AX101" s="769">
        <f t="shared" si="301"/>
        <v>0</v>
      </c>
      <c r="AY101" s="769">
        <f t="shared" si="302"/>
        <v>0</v>
      </c>
      <c r="AZ101" s="769">
        <f t="shared" si="303"/>
        <v>0</v>
      </c>
      <c r="BA101" s="769">
        <f t="shared" si="304"/>
        <v>0</v>
      </c>
      <c r="BB101" s="769">
        <f t="shared" si="305"/>
        <v>0</v>
      </c>
      <c r="BC101" s="769">
        <f t="shared" si="306"/>
        <v>0</v>
      </c>
      <c r="BD101" s="661"/>
      <c r="BF101" s="480"/>
      <c r="BG101" s="480"/>
      <c r="BH101" s="480"/>
      <c r="BI101" s="480"/>
      <c r="BJ101" s="480"/>
      <c r="BK101" s="769">
        <f t="shared" si="312"/>
        <v>0</v>
      </c>
      <c r="BL101" s="769">
        <f t="shared" si="313"/>
        <v>0</v>
      </c>
      <c r="BM101" s="769">
        <f t="shared" si="314"/>
        <v>0</v>
      </c>
      <c r="BN101" s="769">
        <f t="shared" si="315"/>
        <v>0</v>
      </c>
      <c r="BO101" s="769">
        <f t="shared" si="316"/>
        <v>0</v>
      </c>
      <c r="BP101" s="769">
        <f t="shared" si="317"/>
        <v>0</v>
      </c>
    </row>
    <row r="102" spans="1:68" s="775" customFormat="1" ht="15.6">
      <c r="A102" s="762"/>
      <c r="B102" s="763">
        <v>0</v>
      </c>
      <c r="C102" s="763">
        <v>0</v>
      </c>
      <c r="D102" s="763">
        <v>0</v>
      </c>
      <c r="E102" s="763">
        <v>0</v>
      </c>
      <c r="F102" s="763">
        <v>0</v>
      </c>
      <c r="G102" s="689">
        <f t="shared" si="307"/>
        <v>0</v>
      </c>
      <c r="H102" s="764">
        <f t="shared" si="308"/>
        <v>0</v>
      </c>
      <c r="I102" s="763">
        <v>0</v>
      </c>
      <c r="J102" s="689">
        <f t="shared" si="309"/>
        <v>0</v>
      </c>
      <c r="K102" s="764">
        <f t="shared" si="310"/>
        <v>0</v>
      </c>
      <c r="L102" s="763">
        <v>0</v>
      </c>
      <c r="M102" s="689">
        <f t="shared" si="311"/>
        <v>0</v>
      </c>
      <c r="N102" s="765"/>
      <c r="O102" s="776"/>
      <c r="P102" s="776"/>
      <c r="Q102" s="777" t="s">
        <v>270</v>
      </c>
      <c r="R102" s="762" t="s">
        <v>211</v>
      </c>
      <c r="S102" s="768">
        <v>1</v>
      </c>
      <c r="T102" s="769">
        <f t="shared" si="275"/>
        <v>0</v>
      </c>
      <c r="U102" s="772">
        <f t="shared" si="276"/>
        <v>0</v>
      </c>
      <c r="V102" s="771">
        <v>0</v>
      </c>
      <c r="W102" s="772">
        <f t="shared" si="277"/>
        <v>0</v>
      </c>
      <c r="X102" s="773"/>
      <c r="Y102" s="773"/>
      <c r="Z102" s="772">
        <f t="shared" si="278"/>
        <v>0</v>
      </c>
      <c r="AA102" s="772">
        <f t="shared" si="279"/>
        <v>0</v>
      </c>
      <c r="AB102" s="772">
        <f t="shared" si="280"/>
        <v>0</v>
      </c>
      <c r="AC102" s="772">
        <f t="shared" si="281"/>
        <v>0</v>
      </c>
      <c r="AD102" s="772">
        <f t="shared" si="282"/>
        <v>0</v>
      </c>
      <c r="AE102" s="772">
        <f t="shared" si="283"/>
        <v>0</v>
      </c>
      <c r="AF102" s="774">
        <f t="shared" si="284"/>
        <v>0</v>
      </c>
      <c r="AG102" s="772">
        <f t="shared" si="285"/>
        <v>0</v>
      </c>
      <c r="AH102" s="772">
        <f t="shared" si="286"/>
        <v>0</v>
      </c>
      <c r="AI102" s="769">
        <f t="shared" si="287"/>
        <v>0</v>
      </c>
      <c r="AJ102" s="772">
        <f t="shared" si="288"/>
        <v>0</v>
      </c>
      <c r="AK102" s="769">
        <f t="shared" si="289"/>
        <v>0</v>
      </c>
      <c r="AL102" s="769">
        <f t="shared" si="290"/>
        <v>0</v>
      </c>
      <c r="AM102" s="769">
        <f t="shared" si="291"/>
        <v>0</v>
      </c>
      <c r="AN102" s="769">
        <f t="shared" si="292"/>
        <v>0</v>
      </c>
      <c r="AO102" s="769">
        <f t="shared" si="293"/>
        <v>0</v>
      </c>
      <c r="AP102" s="769">
        <f t="shared" si="294"/>
        <v>0</v>
      </c>
      <c r="AQ102" s="769">
        <f t="shared" si="295"/>
        <v>0</v>
      </c>
      <c r="AR102" s="769">
        <f t="shared" si="296"/>
        <v>0</v>
      </c>
      <c r="AS102" s="769">
        <v>0</v>
      </c>
      <c r="AT102" s="769">
        <f t="shared" si="297"/>
        <v>0</v>
      </c>
      <c r="AU102" s="769">
        <f t="shared" si="298"/>
        <v>0</v>
      </c>
      <c r="AV102" s="769">
        <f t="shared" si="299"/>
        <v>0</v>
      </c>
      <c r="AW102" s="769">
        <f t="shared" si="300"/>
        <v>0</v>
      </c>
      <c r="AX102" s="769">
        <f t="shared" si="301"/>
        <v>0</v>
      </c>
      <c r="AY102" s="769">
        <f t="shared" si="302"/>
        <v>0</v>
      </c>
      <c r="AZ102" s="769">
        <f t="shared" si="303"/>
        <v>0</v>
      </c>
      <c r="BA102" s="769">
        <f t="shared" si="304"/>
        <v>0</v>
      </c>
      <c r="BB102" s="769">
        <f t="shared" si="305"/>
        <v>0</v>
      </c>
      <c r="BC102" s="769">
        <f t="shared" si="306"/>
        <v>0</v>
      </c>
      <c r="BD102" s="661"/>
      <c r="BF102" s="480"/>
      <c r="BG102" s="480"/>
      <c r="BH102" s="480"/>
      <c r="BI102" s="480"/>
      <c r="BJ102" s="480"/>
      <c r="BK102" s="769">
        <f t="shared" si="312"/>
        <v>0</v>
      </c>
      <c r="BL102" s="769">
        <f t="shared" si="313"/>
        <v>0</v>
      </c>
      <c r="BM102" s="769">
        <f t="shared" si="314"/>
        <v>0</v>
      </c>
      <c r="BN102" s="769">
        <f t="shared" si="315"/>
        <v>0</v>
      </c>
      <c r="BO102" s="769">
        <f t="shared" si="316"/>
        <v>0</v>
      </c>
      <c r="BP102" s="769">
        <f t="shared" si="317"/>
        <v>0</v>
      </c>
    </row>
    <row r="103" spans="1:68" s="775" customFormat="1" ht="15.6">
      <c r="A103" s="762"/>
      <c r="B103" s="763">
        <v>0</v>
      </c>
      <c r="C103" s="763">
        <v>0</v>
      </c>
      <c r="D103" s="763">
        <v>0</v>
      </c>
      <c r="E103" s="763">
        <v>0</v>
      </c>
      <c r="F103" s="763">
        <v>0</v>
      </c>
      <c r="G103" s="689">
        <f t="shared" si="307"/>
        <v>0</v>
      </c>
      <c r="H103" s="764">
        <f t="shared" si="308"/>
        <v>0</v>
      </c>
      <c r="I103" s="763">
        <v>0</v>
      </c>
      <c r="J103" s="689">
        <f t="shared" si="309"/>
        <v>0</v>
      </c>
      <c r="K103" s="764">
        <f t="shared" si="310"/>
        <v>0</v>
      </c>
      <c r="L103" s="763">
        <v>0</v>
      </c>
      <c r="M103" s="689">
        <f t="shared" si="311"/>
        <v>0</v>
      </c>
      <c r="N103" s="765"/>
      <c r="O103" s="776"/>
      <c r="P103" s="776"/>
      <c r="Q103" s="777" t="s">
        <v>271</v>
      </c>
      <c r="R103" s="762" t="s">
        <v>249</v>
      </c>
      <c r="S103" s="768">
        <v>1</v>
      </c>
      <c r="T103" s="769">
        <f t="shared" si="275"/>
        <v>0</v>
      </c>
      <c r="U103" s="772">
        <f t="shared" si="276"/>
        <v>0</v>
      </c>
      <c r="V103" s="771">
        <v>0</v>
      </c>
      <c r="W103" s="772">
        <f t="shared" si="277"/>
        <v>0</v>
      </c>
      <c r="X103" s="773"/>
      <c r="Y103" s="773"/>
      <c r="Z103" s="772">
        <f t="shared" si="278"/>
        <v>0</v>
      </c>
      <c r="AA103" s="772">
        <f t="shared" si="279"/>
        <v>0</v>
      </c>
      <c r="AB103" s="772">
        <f t="shared" si="280"/>
        <v>0</v>
      </c>
      <c r="AC103" s="772">
        <f t="shared" si="281"/>
        <v>0</v>
      </c>
      <c r="AD103" s="772">
        <f t="shared" si="282"/>
        <v>0</v>
      </c>
      <c r="AE103" s="772">
        <f t="shared" si="283"/>
        <v>0</v>
      </c>
      <c r="AF103" s="774">
        <f t="shared" si="284"/>
        <v>0</v>
      </c>
      <c r="AG103" s="772">
        <f t="shared" si="285"/>
        <v>0</v>
      </c>
      <c r="AH103" s="772">
        <f t="shared" si="286"/>
        <v>0</v>
      </c>
      <c r="AI103" s="769">
        <f t="shared" si="287"/>
        <v>0</v>
      </c>
      <c r="AJ103" s="772">
        <f t="shared" si="288"/>
        <v>0</v>
      </c>
      <c r="AK103" s="769">
        <f t="shared" si="289"/>
        <v>0</v>
      </c>
      <c r="AL103" s="769">
        <f t="shared" si="290"/>
        <v>0</v>
      </c>
      <c r="AM103" s="769">
        <f t="shared" si="291"/>
        <v>0</v>
      </c>
      <c r="AN103" s="769">
        <f t="shared" si="292"/>
        <v>0</v>
      </c>
      <c r="AO103" s="769">
        <f t="shared" si="293"/>
        <v>0</v>
      </c>
      <c r="AP103" s="769">
        <f t="shared" si="294"/>
        <v>0</v>
      </c>
      <c r="AQ103" s="769">
        <f t="shared" si="295"/>
        <v>0</v>
      </c>
      <c r="AR103" s="769">
        <f t="shared" si="296"/>
        <v>0</v>
      </c>
      <c r="AS103" s="769">
        <v>0</v>
      </c>
      <c r="AT103" s="769">
        <f t="shared" si="297"/>
        <v>0</v>
      </c>
      <c r="AU103" s="769">
        <f t="shared" si="298"/>
        <v>0</v>
      </c>
      <c r="AV103" s="769">
        <f t="shared" si="299"/>
        <v>0</v>
      </c>
      <c r="AW103" s="769">
        <f t="shared" si="300"/>
        <v>0</v>
      </c>
      <c r="AX103" s="769">
        <f t="shared" si="301"/>
        <v>0</v>
      </c>
      <c r="AY103" s="769">
        <f t="shared" si="302"/>
        <v>0</v>
      </c>
      <c r="AZ103" s="769">
        <f t="shared" si="303"/>
        <v>0</v>
      </c>
      <c r="BA103" s="769">
        <f t="shared" si="304"/>
        <v>0</v>
      </c>
      <c r="BB103" s="769">
        <f t="shared" si="305"/>
        <v>0</v>
      </c>
      <c r="BC103" s="769">
        <f t="shared" si="306"/>
        <v>0</v>
      </c>
      <c r="BD103" s="661"/>
      <c r="BF103" s="480"/>
      <c r="BG103" s="480"/>
      <c r="BH103" s="480"/>
      <c r="BI103" s="480"/>
      <c r="BJ103" s="480"/>
      <c r="BK103" s="769">
        <f t="shared" si="312"/>
        <v>0</v>
      </c>
      <c r="BL103" s="769">
        <f t="shared" si="313"/>
        <v>0</v>
      </c>
      <c r="BM103" s="769">
        <f t="shared" si="314"/>
        <v>0</v>
      </c>
      <c r="BN103" s="769">
        <f t="shared" si="315"/>
        <v>0</v>
      </c>
      <c r="BO103" s="769">
        <f t="shared" si="316"/>
        <v>0</v>
      </c>
      <c r="BP103" s="769">
        <f t="shared" si="317"/>
        <v>0</v>
      </c>
    </row>
    <row r="104" spans="1:68" s="775" customFormat="1" ht="15.6">
      <c r="A104" s="762"/>
      <c r="B104" s="763"/>
      <c r="C104" s="763"/>
      <c r="D104" s="763"/>
      <c r="E104" s="763"/>
      <c r="F104" s="763"/>
      <c r="G104" s="689"/>
      <c r="H104" s="764"/>
      <c r="I104" s="763"/>
      <c r="J104" s="689"/>
      <c r="K104" s="764"/>
      <c r="L104" s="763"/>
      <c r="M104" s="689"/>
      <c r="N104" s="765"/>
      <c r="O104" s="776"/>
      <c r="P104" s="776"/>
      <c r="Q104" s="777"/>
      <c r="R104" s="762"/>
      <c r="S104" s="768"/>
      <c r="T104" s="769"/>
      <c r="U104" s="772"/>
      <c r="V104" s="771"/>
      <c r="W104" s="772"/>
      <c r="X104" s="773"/>
      <c r="Y104" s="773"/>
      <c r="Z104" s="772"/>
      <c r="AA104" s="772"/>
      <c r="AB104" s="772"/>
      <c r="AC104" s="772"/>
      <c r="AD104" s="772"/>
      <c r="AE104" s="772"/>
      <c r="AF104" s="774"/>
      <c r="AG104" s="772"/>
      <c r="AH104" s="772"/>
      <c r="AI104" s="769"/>
      <c r="AJ104" s="772"/>
      <c r="AK104" s="769"/>
      <c r="AL104" s="769"/>
      <c r="AM104" s="769"/>
      <c r="AN104" s="769"/>
      <c r="AO104" s="769"/>
      <c r="AP104" s="769"/>
      <c r="AQ104" s="769"/>
      <c r="AR104" s="769"/>
      <c r="AS104" s="769"/>
      <c r="AT104" s="769"/>
      <c r="AU104" s="769"/>
      <c r="AV104" s="769"/>
      <c r="AW104" s="769"/>
      <c r="AX104" s="769"/>
      <c r="AY104" s="769"/>
      <c r="AZ104" s="769"/>
      <c r="BA104" s="769"/>
      <c r="BB104" s="769"/>
      <c r="BC104" s="769"/>
      <c r="BD104" s="661"/>
      <c r="BF104" s="480"/>
      <c r="BG104" s="480"/>
      <c r="BH104" s="480"/>
      <c r="BI104" s="480"/>
      <c r="BJ104" s="480"/>
      <c r="BK104" s="769"/>
      <c r="BL104" s="769"/>
      <c r="BM104" s="769"/>
      <c r="BN104" s="769"/>
      <c r="BO104" s="769"/>
      <c r="BP104" s="769"/>
    </row>
    <row r="105" spans="1:68" s="775" customFormat="1" ht="15.6">
      <c r="A105" s="762"/>
      <c r="B105" s="763"/>
      <c r="C105" s="763"/>
      <c r="D105" s="763"/>
      <c r="E105" s="763"/>
      <c r="F105" s="763"/>
      <c r="G105" s="689"/>
      <c r="H105" s="764"/>
      <c r="I105" s="763"/>
      <c r="J105" s="689"/>
      <c r="K105" s="764"/>
      <c r="L105" s="763"/>
      <c r="M105" s="689"/>
      <c r="N105" s="765"/>
      <c r="O105" s="766">
        <v>11</v>
      </c>
      <c r="P105" s="766" t="s">
        <v>272</v>
      </c>
      <c r="Q105" s="767"/>
      <c r="R105" s="762"/>
      <c r="S105" s="768"/>
      <c r="T105" s="769"/>
      <c r="U105" s="770" t="s">
        <v>437</v>
      </c>
      <c r="V105" s="771"/>
      <c r="W105" s="772"/>
      <c r="X105" s="773"/>
      <c r="Y105" s="773"/>
      <c r="Z105" s="772"/>
      <c r="AA105" s="772"/>
      <c r="AB105" s="772"/>
      <c r="AC105" s="772"/>
      <c r="AD105" s="772"/>
      <c r="AE105" s="772"/>
      <c r="AF105" s="774"/>
      <c r="AG105" s="772"/>
      <c r="AH105" s="772"/>
      <c r="AI105" s="769"/>
      <c r="AJ105" s="772"/>
      <c r="AK105" s="769"/>
      <c r="AL105" s="769"/>
      <c r="AM105" s="769"/>
      <c r="AN105" s="769"/>
      <c r="AO105" s="769"/>
      <c r="AP105" s="769"/>
      <c r="AQ105" s="769"/>
      <c r="AR105" s="769"/>
      <c r="AS105" s="769"/>
      <c r="AT105" s="769"/>
      <c r="AU105" s="769"/>
      <c r="AV105" s="769"/>
      <c r="AW105" s="769"/>
      <c r="AX105" s="769"/>
      <c r="AY105" s="769"/>
      <c r="AZ105" s="769"/>
      <c r="BA105" s="769"/>
      <c r="BB105" s="769"/>
      <c r="BC105" s="769"/>
      <c r="BD105" s="661"/>
      <c r="BF105" s="480"/>
      <c r="BG105" s="480"/>
      <c r="BH105" s="480"/>
      <c r="BI105" s="480"/>
      <c r="BJ105" s="480"/>
      <c r="BK105" s="769"/>
      <c r="BL105" s="769"/>
      <c r="BM105" s="769"/>
      <c r="BN105" s="769"/>
      <c r="BO105" s="769"/>
      <c r="BP105" s="769"/>
    </row>
    <row r="106" spans="1:68" s="775" customFormat="1" ht="15.6">
      <c r="A106" s="762"/>
      <c r="B106" s="763"/>
      <c r="C106" s="763"/>
      <c r="D106" s="763"/>
      <c r="E106" s="763"/>
      <c r="F106" s="763"/>
      <c r="G106" s="689"/>
      <c r="H106" s="764"/>
      <c r="I106" s="763"/>
      <c r="J106" s="689"/>
      <c r="K106" s="764"/>
      <c r="L106" s="763"/>
      <c r="M106" s="689"/>
      <c r="N106" s="765"/>
      <c r="O106" s="776"/>
      <c r="P106" s="776"/>
      <c r="Q106" s="777"/>
      <c r="R106" s="762"/>
      <c r="S106" s="768"/>
      <c r="T106" s="769"/>
      <c r="U106" s="772"/>
      <c r="V106" s="771"/>
      <c r="W106" s="772"/>
      <c r="X106" s="773"/>
      <c r="Y106" s="773"/>
      <c r="Z106" s="772"/>
      <c r="AA106" s="772"/>
      <c r="AB106" s="772"/>
      <c r="AC106" s="772"/>
      <c r="AD106" s="772"/>
      <c r="AE106" s="772"/>
      <c r="AF106" s="774"/>
      <c r="AG106" s="772"/>
      <c r="AH106" s="772"/>
      <c r="AI106" s="769"/>
      <c r="AJ106" s="772"/>
      <c r="AK106" s="769"/>
      <c r="AL106" s="769"/>
      <c r="AM106" s="769"/>
      <c r="AN106" s="769"/>
      <c r="AO106" s="769"/>
      <c r="AP106" s="769"/>
      <c r="AQ106" s="769"/>
      <c r="AR106" s="769"/>
      <c r="AS106" s="769"/>
      <c r="AT106" s="769"/>
      <c r="AU106" s="769"/>
      <c r="AV106" s="769"/>
      <c r="AW106" s="769"/>
      <c r="AX106" s="769"/>
      <c r="AY106" s="769"/>
      <c r="AZ106" s="769"/>
      <c r="BA106" s="769"/>
      <c r="BB106" s="769"/>
      <c r="BC106" s="769"/>
      <c r="BD106" s="661"/>
      <c r="BF106" s="480"/>
      <c r="BG106" s="480"/>
      <c r="BH106" s="480"/>
      <c r="BI106" s="480"/>
      <c r="BJ106" s="480"/>
      <c r="BK106" s="769"/>
      <c r="BL106" s="769"/>
      <c r="BM106" s="769"/>
      <c r="BN106" s="769"/>
      <c r="BO106" s="769"/>
      <c r="BP106" s="769"/>
    </row>
    <row r="107" spans="1:68" s="775" customFormat="1" ht="15.6">
      <c r="A107" s="762"/>
      <c r="B107" s="763">
        <v>0</v>
      </c>
      <c r="C107" s="763">
        <v>0</v>
      </c>
      <c r="D107" s="763">
        <v>0</v>
      </c>
      <c r="E107" s="763">
        <v>0</v>
      </c>
      <c r="F107" s="763">
        <v>0</v>
      </c>
      <c r="G107" s="689">
        <f>+G$4</f>
        <v>0</v>
      </c>
      <c r="H107" s="764">
        <f>AM107+AN107</f>
        <v>0</v>
      </c>
      <c r="I107" s="763">
        <v>0</v>
      </c>
      <c r="J107" s="689">
        <f>+J$4</f>
        <v>0</v>
      </c>
      <c r="K107" s="764">
        <f>AR107+AT107+AV107+AX107</f>
        <v>0</v>
      </c>
      <c r="L107" s="763">
        <v>0</v>
      </c>
      <c r="M107" s="689">
        <f>+M$4</f>
        <v>0</v>
      </c>
      <c r="N107" s="765"/>
      <c r="O107" s="776"/>
      <c r="P107" s="776"/>
      <c r="Q107" s="777" t="s">
        <v>273</v>
      </c>
      <c r="R107" s="762" t="s">
        <v>211</v>
      </c>
      <c r="S107" s="768">
        <v>1</v>
      </c>
      <c r="T107" s="769">
        <f>_xlfn.IFNA(ROUNDUP(AF107+AJ107+AO107+AQ107+L107+AS107+AU107+AW107+F107+AZ107+BB107,2),0)</f>
        <v>0</v>
      </c>
      <c r="U107" s="772">
        <f t="shared" ref="U107" si="318">ROUND(T107*ROUNDUP(S107,1),2)</f>
        <v>0</v>
      </c>
      <c r="V107" s="771">
        <v>0</v>
      </c>
      <c r="W107" s="772">
        <f t="shared" ref="W107" si="319">ROUND(+U107*V107,2)</f>
        <v>0</v>
      </c>
      <c r="X107" s="773"/>
      <c r="Y107" s="773"/>
      <c r="Z107" s="772">
        <f>_xlfn.IFNA(ROUNDUP(AJ107*U107,2),0)</f>
        <v>0</v>
      </c>
      <c r="AA107" s="772">
        <f>_xlfn.IFNA(ROUNDUP(AK107*V107,2),0)</f>
        <v>0</v>
      </c>
      <c r="AB107" s="772">
        <f t="shared" ref="AB107" si="320">ROUNDUP((AP107+AL107)*V107,2)</f>
        <v>0</v>
      </c>
      <c r="AC107" s="772">
        <f>_xlfn.IFNA(ROUNDUP((AT107+AV107+AR107)*V107,2),0)</f>
        <v>0</v>
      </c>
      <c r="AD107" s="772">
        <f>_xlfn.IFNA(ROUNDUP((BA107+AY107)*V107,2),0)</f>
        <v>0</v>
      </c>
      <c r="AE107" s="772">
        <f>_xlfn.IFNA((BC107+AX107+AG107)*V107,0)</f>
        <v>0</v>
      </c>
      <c r="AF107" s="774">
        <f>+_xlfn.IFNA(D107,0)</f>
        <v>0</v>
      </c>
      <c r="AG107" s="772">
        <f>_xlfn.IFNA(ROUNDUP(D107*S107,2),0)</f>
        <v>0</v>
      </c>
      <c r="AH107" s="772">
        <f>+_xlfn.IFNA(C107,0)</f>
        <v>0</v>
      </c>
      <c r="AI107" s="769">
        <f>_xlfn.IFNA(C107*S107,0)</f>
        <v>0</v>
      </c>
      <c r="AJ107" s="772">
        <f>+_xlfn.IFNA(E107,0)</f>
        <v>0</v>
      </c>
      <c r="AK107" s="769">
        <f>_xlfn.IFNA(E107*S107,0)</f>
        <v>0</v>
      </c>
      <c r="AL107" s="769">
        <f t="shared" ref="AL107" si="321">ROUNDUP(S107*AQ107,2)</f>
        <v>0</v>
      </c>
      <c r="AM107" s="769">
        <f t="shared" ref="AM107" si="322">ROUNDUP(+I107*S107,2)</f>
        <v>0</v>
      </c>
      <c r="AN107" s="769">
        <f t="shared" ref="AN107" si="323">J107*I107*S107</f>
        <v>0</v>
      </c>
      <c r="AO107" s="769">
        <f t="shared" ref="AO107" si="324">ROUNDUP(I107*I$4*J107,2)</f>
        <v>0</v>
      </c>
      <c r="AP107" s="769">
        <f t="shared" ref="AP107" si="325">AO107*S107</f>
        <v>0</v>
      </c>
      <c r="AQ107" s="769">
        <f t="shared" ref="AQ107" si="326">IF(I107=0,0,ROUNDUP(I$4*I107,2))</f>
        <v>0</v>
      </c>
      <c r="AR107" s="769">
        <f>+_xlfn.IFNA(ROUNDUP(L107*ROUNDUP(S107,1),2),0)</f>
        <v>0</v>
      </c>
      <c r="AS107" s="769">
        <v>0</v>
      </c>
      <c r="AT107" s="769">
        <f t="shared" ref="AT107" si="327">+ROUNDUP(AS107*S107,2)</f>
        <v>0</v>
      </c>
      <c r="AU107" s="769">
        <f>_xlfn.IFNA(ROUNDUP((L107+AS107)*M107,2),0)</f>
        <v>0</v>
      </c>
      <c r="AV107" s="769">
        <f t="shared" ref="AV107" si="328">ROUNDUP(AU107*S107,2)</f>
        <v>0</v>
      </c>
      <c r="AW107" s="769">
        <f>_xlfn.IFNA(ROUNDUP((L107+AS107+AU107)*(L$4)*L$3,2),0)</f>
        <v>0</v>
      </c>
      <c r="AX107" s="769">
        <f t="shared" ref="AX107" si="329">ROUNDUP(+AW107*ROUNDUP(S107,1),2)</f>
        <v>0</v>
      </c>
      <c r="AY107" s="769">
        <f>_xlfn.IFNA(ROUNDUP(F107*S107,2),0)</f>
        <v>0</v>
      </c>
      <c r="AZ107" s="769">
        <f>_xlfn.IFNA(ROUNDUP(F107*G107,2),0)</f>
        <v>0</v>
      </c>
      <c r="BA107" s="769">
        <f t="shared" ref="BA107" si="330">ROUNDUP(AZ107*S107,2)</f>
        <v>0</v>
      </c>
      <c r="BB107" s="769">
        <f>_xlfn.IFNA(ROUNDUP((ROUNDUP(F107+AZ107,2)*F$4)*F$3,2),0)</f>
        <v>0</v>
      </c>
      <c r="BC107" s="769">
        <f t="shared" ref="BC107" si="331">BB107*S107</f>
        <v>0</v>
      </c>
      <c r="BD107" s="661"/>
      <c r="BF107" s="480"/>
      <c r="BG107" s="480"/>
      <c r="BH107" s="480"/>
      <c r="BI107" s="480"/>
      <c r="BJ107" s="480"/>
      <c r="BK107" s="769">
        <f>IF(BK$7=$Y107,(+$AL107+$AP107),(0))</f>
        <v>0</v>
      </c>
      <c r="BL107" s="769">
        <f>IF(BL$7=$Y107,(+BK107*$V107),(0))</f>
        <v>0</v>
      </c>
      <c r="BM107" s="769">
        <f>IF(BM$7=$Y107,(+$AR107+$AT107+$AV107),(0))</f>
        <v>0</v>
      </c>
      <c r="BN107" s="769">
        <f>IF(BN$7=$Y107,(+BM107*$V107),(0))</f>
        <v>0</v>
      </c>
      <c r="BO107" s="769">
        <f>IF(BO$7=$X107,($AY107+$BA107),(0))</f>
        <v>0</v>
      </c>
      <c r="BP107" s="769">
        <f>IF(BP$7=$X107,(+BO107*$V107),(0))</f>
        <v>0</v>
      </c>
    </row>
    <row r="108" spans="1:68" s="775" customFormat="1" ht="15.6">
      <c r="A108" s="762"/>
      <c r="B108" s="763"/>
      <c r="C108" s="763"/>
      <c r="D108" s="763"/>
      <c r="E108" s="763"/>
      <c r="F108" s="763"/>
      <c r="G108" s="689"/>
      <c r="H108" s="764"/>
      <c r="I108" s="763"/>
      <c r="J108" s="689"/>
      <c r="K108" s="764"/>
      <c r="L108" s="763"/>
      <c r="M108" s="689"/>
      <c r="N108" s="765"/>
      <c r="O108" s="776"/>
      <c r="P108" s="776"/>
      <c r="Q108" s="777"/>
      <c r="R108" s="762"/>
      <c r="S108" s="768"/>
      <c r="T108" s="769"/>
      <c r="U108" s="772"/>
      <c r="V108" s="771"/>
      <c r="W108" s="772"/>
      <c r="X108" s="773"/>
      <c r="Y108" s="773"/>
      <c r="Z108" s="772"/>
      <c r="AA108" s="772"/>
      <c r="AB108" s="772"/>
      <c r="AC108" s="772"/>
      <c r="AD108" s="772"/>
      <c r="AE108" s="772"/>
      <c r="AF108" s="774"/>
      <c r="AG108" s="772"/>
      <c r="AH108" s="772"/>
      <c r="AI108" s="769"/>
      <c r="AJ108" s="772"/>
      <c r="AK108" s="769"/>
      <c r="AL108" s="769"/>
      <c r="AM108" s="769"/>
      <c r="AN108" s="769"/>
      <c r="AO108" s="769"/>
      <c r="AP108" s="769"/>
      <c r="AQ108" s="769"/>
      <c r="AR108" s="769"/>
      <c r="AS108" s="769"/>
      <c r="AT108" s="769"/>
      <c r="AU108" s="769"/>
      <c r="AV108" s="769"/>
      <c r="AW108" s="769"/>
      <c r="AX108" s="769"/>
      <c r="AY108" s="769"/>
      <c r="AZ108" s="769"/>
      <c r="BA108" s="769"/>
      <c r="BB108" s="769"/>
      <c r="BC108" s="769"/>
      <c r="BD108" s="661"/>
      <c r="BF108" s="480"/>
      <c r="BG108" s="480"/>
      <c r="BH108" s="480"/>
      <c r="BI108" s="480"/>
      <c r="BJ108" s="480"/>
      <c r="BK108" s="769"/>
      <c r="BL108" s="769"/>
      <c r="BM108" s="769"/>
      <c r="BN108" s="769"/>
      <c r="BO108" s="769"/>
      <c r="BP108" s="769"/>
    </row>
    <row r="109" spans="1:68" s="775" customFormat="1" ht="15.6">
      <c r="A109" s="762"/>
      <c r="B109" s="763"/>
      <c r="C109" s="763"/>
      <c r="D109" s="763"/>
      <c r="E109" s="763"/>
      <c r="F109" s="763"/>
      <c r="G109" s="689"/>
      <c r="H109" s="764"/>
      <c r="I109" s="763"/>
      <c r="J109" s="689"/>
      <c r="K109" s="764"/>
      <c r="L109" s="763"/>
      <c r="M109" s="689"/>
      <c r="N109" s="765"/>
      <c r="O109" s="766">
        <v>12</v>
      </c>
      <c r="P109" s="766" t="s">
        <v>274</v>
      </c>
      <c r="Q109" s="767"/>
      <c r="R109" s="762"/>
      <c r="S109" s="768"/>
      <c r="T109" s="769"/>
      <c r="U109" s="770" t="s">
        <v>437</v>
      </c>
      <c r="V109" s="771"/>
      <c r="W109" s="772"/>
      <c r="X109" s="773"/>
      <c r="Y109" s="773"/>
      <c r="Z109" s="772"/>
      <c r="AA109" s="772"/>
      <c r="AB109" s="772"/>
      <c r="AC109" s="772"/>
      <c r="AD109" s="772"/>
      <c r="AE109" s="772"/>
      <c r="AF109" s="774"/>
      <c r="AG109" s="772"/>
      <c r="AH109" s="772"/>
      <c r="AI109" s="769"/>
      <c r="AJ109" s="772"/>
      <c r="AK109" s="769"/>
      <c r="AL109" s="769"/>
      <c r="AM109" s="769"/>
      <c r="AN109" s="769"/>
      <c r="AO109" s="769"/>
      <c r="AP109" s="769"/>
      <c r="AQ109" s="769"/>
      <c r="AR109" s="769"/>
      <c r="AS109" s="769"/>
      <c r="AT109" s="769"/>
      <c r="AU109" s="769"/>
      <c r="AV109" s="769"/>
      <c r="AW109" s="769"/>
      <c r="AX109" s="769"/>
      <c r="AY109" s="769"/>
      <c r="AZ109" s="769"/>
      <c r="BA109" s="769"/>
      <c r="BB109" s="769"/>
      <c r="BC109" s="769"/>
      <c r="BD109" s="661"/>
      <c r="BF109" s="480"/>
      <c r="BG109" s="480"/>
      <c r="BH109" s="480"/>
      <c r="BI109" s="480"/>
      <c r="BJ109" s="480"/>
      <c r="BK109" s="769"/>
      <c r="BL109" s="769"/>
      <c r="BM109" s="769"/>
      <c r="BN109" s="769"/>
      <c r="BO109" s="769"/>
      <c r="BP109" s="769"/>
    </row>
    <row r="110" spans="1:68" s="775" customFormat="1" ht="15.6">
      <c r="A110" s="762"/>
      <c r="B110" s="763"/>
      <c r="C110" s="763"/>
      <c r="D110" s="763"/>
      <c r="E110" s="763"/>
      <c r="F110" s="763"/>
      <c r="G110" s="689"/>
      <c r="H110" s="764"/>
      <c r="I110" s="763"/>
      <c r="J110" s="689"/>
      <c r="K110" s="764"/>
      <c r="L110" s="763"/>
      <c r="M110" s="689"/>
      <c r="N110" s="765"/>
      <c r="O110" s="776"/>
      <c r="P110" s="776"/>
      <c r="Q110" s="777"/>
      <c r="R110" s="762"/>
      <c r="S110" s="768"/>
      <c r="T110" s="769"/>
      <c r="U110" s="772"/>
      <c r="V110" s="771"/>
      <c r="W110" s="772"/>
      <c r="X110" s="773"/>
      <c r="Y110" s="773"/>
      <c r="Z110" s="772"/>
      <c r="AA110" s="772"/>
      <c r="AB110" s="772"/>
      <c r="AC110" s="772"/>
      <c r="AD110" s="772"/>
      <c r="AE110" s="772"/>
      <c r="AF110" s="774"/>
      <c r="AG110" s="772"/>
      <c r="AH110" s="772"/>
      <c r="AI110" s="769"/>
      <c r="AJ110" s="772"/>
      <c r="AK110" s="769"/>
      <c r="AL110" s="769"/>
      <c r="AM110" s="769"/>
      <c r="AN110" s="769"/>
      <c r="AO110" s="769"/>
      <c r="AP110" s="769"/>
      <c r="AQ110" s="769"/>
      <c r="AR110" s="769"/>
      <c r="AS110" s="769"/>
      <c r="AT110" s="769"/>
      <c r="AU110" s="769"/>
      <c r="AV110" s="769"/>
      <c r="AW110" s="769"/>
      <c r="AX110" s="769"/>
      <c r="AY110" s="769"/>
      <c r="AZ110" s="769"/>
      <c r="BA110" s="769"/>
      <c r="BB110" s="769"/>
      <c r="BC110" s="769"/>
      <c r="BD110" s="661"/>
      <c r="BF110" s="480"/>
      <c r="BG110" s="480"/>
      <c r="BH110" s="480"/>
      <c r="BI110" s="480"/>
      <c r="BJ110" s="480"/>
      <c r="BK110" s="769"/>
      <c r="BL110" s="769"/>
      <c r="BM110" s="769"/>
      <c r="BN110" s="769"/>
      <c r="BO110" s="769"/>
      <c r="BP110" s="769"/>
    </row>
    <row r="111" spans="1:68" s="775" customFormat="1" ht="15.6">
      <c r="A111" s="762"/>
      <c r="B111" s="763">
        <v>0</v>
      </c>
      <c r="C111" s="763">
        <v>0</v>
      </c>
      <c r="D111" s="763">
        <v>0</v>
      </c>
      <c r="E111" s="763">
        <v>0</v>
      </c>
      <c r="F111" s="763">
        <v>0</v>
      </c>
      <c r="G111" s="689">
        <f>+G$4</f>
        <v>0</v>
      </c>
      <c r="H111" s="764">
        <f>AM111+AN111</f>
        <v>0</v>
      </c>
      <c r="I111" s="763">
        <v>0</v>
      </c>
      <c r="J111" s="689">
        <f>+J$4</f>
        <v>0</v>
      </c>
      <c r="K111" s="764">
        <f>AR111+AT111+AV111+AX111</f>
        <v>0</v>
      </c>
      <c r="L111" s="763">
        <v>0</v>
      </c>
      <c r="M111" s="689">
        <f>+M$4</f>
        <v>0</v>
      </c>
      <c r="N111" s="765"/>
      <c r="O111" s="776"/>
      <c r="P111" s="776"/>
      <c r="Q111" s="777" t="s">
        <v>275</v>
      </c>
      <c r="R111" s="762" t="s">
        <v>211</v>
      </c>
      <c r="S111" s="768">
        <v>1</v>
      </c>
      <c r="T111" s="769">
        <f t="shared" ref="T111:T113" si="332">_xlfn.IFNA(ROUNDUP(AF111+AJ111+AO111+AQ111+L111+AS111+AU111+AW111+F111+AZ111+BB111,2),0)</f>
        <v>0</v>
      </c>
      <c r="U111" s="772">
        <f t="shared" ref="U111:U113" si="333">ROUND(T111*ROUNDUP(S111,1),2)</f>
        <v>0</v>
      </c>
      <c r="V111" s="771">
        <v>0</v>
      </c>
      <c r="W111" s="772">
        <f t="shared" ref="W111:W113" si="334">ROUND(+U111*V111,2)</f>
        <v>0</v>
      </c>
      <c r="X111" s="773"/>
      <c r="Y111" s="773"/>
      <c r="Z111" s="772">
        <f t="shared" ref="Z111:Z113" si="335">_xlfn.IFNA(ROUNDUP(AJ111*U111,2),0)</f>
        <v>0</v>
      </c>
      <c r="AA111" s="772">
        <f t="shared" ref="AA111:AA113" si="336">_xlfn.IFNA(ROUNDUP(AK111*V111,2),0)</f>
        <v>0</v>
      </c>
      <c r="AB111" s="772">
        <f t="shared" ref="AB111:AB113" si="337">ROUNDUP((AP111+AL111)*V111,2)</f>
        <v>0</v>
      </c>
      <c r="AC111" s="772">
        <f t="shared" ref="AC111:AC113" si="338">_xlfn.IFNA(ROUNDUP((AT111+AV111+AR111)*V111,2),0)</f>
        <v>0</v>
      </c>
      <c r="AD111" s="772">
        <f t="shared" ref="AD111:AD113" si="339">_xlfn.IFNA(ROUNDUP((BA111+AY111)*V111,2),0)</f>
        <v>0</v>
      </c>
      <c r="AE111" s="772">
        <f t="shared" ref="AE111:AE113" si="340">_xlfn.IFNA((BC111+AX111+AG111)*V111,0)</f>
        <v>0</v>
      </c>
      <c r="AF111" s="774">
        <f t="shared" ref="AF111:AF113" si="341">+_xlfn.IFNA(D111,0)</f>
        <v>0</v>
      </c>
      <c r="AG111" s="772">
        <f t="shared" ref="AG111:AG113" si="342">_xlfn.IFNA(ROUNDUP(D111*S111,2),0)</f>
        <v>0</v>
      </c>
      <c r="AH111" s="772">
        <f t="shared" ref="AH111:AH113" si="343">+_xlfn.IFNA(C111,0)</f>
        <v>0</v>
      </c>
      <c r="AI111" s="769">
        <f t="shared" ref="AI111:AI113" si="344">_xlfn.IFNA(C111*S111,0)</f>
        <v>0</v>
      </c>
      <c r="AJ111" s="772">
        <f t="shared" ref="AJ111:AJ113" si="345">+_xlfn.IFNA(E111,0)</f>
        <v>0</v>
      </c>
      <c r="AK111" s="769">
        <f t="shared" ref="AK111:AK113" si="346">_xlfn.IFNA(E111*S111,0)</f>
        <v>0</v>
      </c>
      <c r="AL111" s="769">
        <f t="shared" ref="AL111:AL113" si="347">ROUNDUP(S111*AQ111,2)</f>
        <v>0</v>
      </c>
      <c r="AM111" s="769">
        <f t="shared" ref="AM111:AM113" si="348">ROUNDUP(+I111*S111,2)</f>
        <v>0</v>
      </c>
      <c r="AN111" s="769">
        <f t="shared" ref="AN111:AN113" si="349">J111*I111*S111</f>
        <v>0</v>
      </c>
      <c r="AO111" s="769">
        <f t="shared" ref="AO111:AO113" si="350">ROUNDUP(I111*I$4*J111,2)</f>
        <v>0</v>
      </c>
      <c r="AP111" s="769">
        <f t="shared" ref="AP111:AP113" si="351">AO111*S111</f>
        <v>0</v>
      </c>
      <c r="AQ111" s="769">
        <f t="shared" ref="AQ111:AQ113" si="352">IF(I111=0,0,ROUNDUP(I$4*I111,2))</f>
        <v>0</v>
      </c>
      <c r="AR111" s="769">
        <f t="shared" ref="AR111:AR113" si="353">+_xlfn.IFNA(ROUNDUP(L111*ROUNDUP(S111,1),2),0)</f>
        <v>0</v>
      </c>
      <c r="AS111" s="769">
        <v>0</v>
      </c>
      <c r="AT111" s="769">
        <f t="shared" ref="AT111:AT113" si="354">+ROUNDUP(AS111*S111,2)</f>
        <v>0</v>
      </c>
      <c r="AU111" s="769">
        <f t="shared" ref="AU111:AU113" si="355">_xlfn.IFNA(ROUNDUP((L111+AS111)*M111,2),0)</f>
        <v>0</v>
      </c>
      <c r="AV111" s="769">
        <f t="shared" ref="AV111:AV113" si="356">ROUNDUP(AU111*S111,2)</f>
        <v>0</v>
      </c>
      <c r="AW111" s="769">
        <f t="shared" ref="AW111:AW113" si="357">_xlfn.IFNA(ROUNDUP((L111+AS111+AU111)*(L$4)*L$3,2),0)</f>
        <v>0</v>
      </c>
      <c r="AX111" s="769">
        <f t="shared" ref="AX111:AX113" si="358">ROUNDUP(+AW111*ROUNDUP(S111,1),2)</f>
        <v>0</v>
      </c>
      <c r="AY111" s="769">
        <f t="shared" ref="AY111:AY113" si="359">_xlfn.IFNA(ROUNDUP(F111*S111,2),0)</f>
        <v>0</v>
      </c>
      <c r="AZ111" s="769">
        <f t="shared" ref="AZ111:AZ113" si="360">_xlfn.IFNA(ROUNDUP(F111*G111,2),0)</f>
        <v>0</v>
      </c>
      <c r="BA111" s="769">
        <f t="shared" ref="BA111:BA113" si="361">ROUNDUP(AZ111*S111,2)</f>
        <v>0</v>
      </c>
      <c r="BB111" s="769">
        <f t="shared" ref="BB111:BB113" si="362">_xlfn.IFNA(ROUNDUP((ROUNDUP(F111+AZ111,2)*F$4)*F$3,2),0)</f>
        <v>0</v>
      </c>
      <c r="BC111" s="769">
        <f t="shared" ref="BC111:BC113" si="363">BB111*S111</f>
        <v>0</v>
      </c>
      <c r="BD111" s="661"/>
      <c r="BF111" s="480"/>
      <c r="BG111" s="480"/>
      <c r="BH111" s="480"/>
      <c r="BI111" s="480"/>
      <c r="BJ111" s="480"/>
      <c r="BK111" s="769">
        <f>IF(BK$7=$Y111,(+$AL111+$AP111),(0))</f>
        <v>0</v>
      </c>
      <c r="BL111" s="769">
        <f>IF(BL$7=$Y111,(+BK111*$V111),(0))</f>
        <v>0</v>
      </c>
      <c r="BM111" s="769">
        <f>IF(BM$7=$Y111,(+$AR111+$AT111+$AV111),(0))</f>
        <v>0</v>
      </c>
      <c r="BN111" s="769">
        <f>IF(BN$7=$Y111,(+BM111*$V111),(0))</f>
        <v>0</v>
      </c>
      <c r="BO111" s="769">
        <f>IF(BO$7=$X111,($AY111+$BA111),(0))</f>
        <v>0</v>
      </c>
      <c r="BP111" s="769">
        <f>IF(BP$7=$X111,(+BO111*$V111),(0))</f>
        <v>0</v>
      </c>
    </row>
    <row r="112" spans="1:68" s="775" customFormat="1" ht="15.6">
      <c r="A112" s="762"/>
      <c r="B112" s="763">
        <v>0</v>
      </c>
      <c r="C112" s="763">
        <v>0</v>
      </c>
      <c r="D112" s="763">
        <v>0</v>
      </c>
      <c r="E112" s="763">
        <v>0</v>
      </c>
      <c r="F112" s="763">
        <v>0</v>
      </c>
      <c r="G112" s="689">
        <f>+G$4</f>
        <v>0</v>
      </c>
      <c r="H112" s="764">
        <f>AM112+AN112</f>
        <v>0</v>
      </c>
      <c r="I112" s="763">
        <v>0</v>
      </c>
      <c r="J112" s="689">
        <f>+J$4</f>
        <v>0</v>
      </c>
      <c r="K112" s="764">
        <f>AR112+AT112+AV112+AX112</f>
        <v>0</v>
      </c>
      <c r="L112" s="763">
        <v>0</v>
      </c>
      <c r="M112" s="689">
        <f>+M$4</f>
        <v>0</v>
      </c>
      <c r="N112" s="765"/>
      <c r="O112" s="776"/>
      <c r="P112" s="776"/>
      <c r="Q112" s="777" t="s">
        <v>180</v>
      </c>
      <c r="R112" s="762" t="s">
        <v>211</v>
      </c>
      <c r="S112" s="768">
        <v>1</v>
      </c>
      <c r="T112" s="769">
        <f t="shared" si="332"/>
        <v>0</v>
      </c>
      <c r="U112" s="772">
        <f t="shared" si="333"/>
        <v>0</v>
      </c>
      <c r="V112" s="771">
        <v>0</v>
      </c>
      <c r="W112" s="772">
        <f t="shared" si="334"/>
        <v>0</v>
      </c>
      <c r="X112" s="773"/>
      <c r="Y112" s="773"/>
      <c r="Z112" s="772">
        <f t="shared" si="335"/>
        <v>0</v>
      </c>
      <c r="AA112" s="772">
        <f t="shared" si="336"/>
        <v>0</v>
      </c>
      <c r="AB112" s="772">
        <f t="shared" si="337"/>
        <v>0</v>
      </c>
      <c r="AC112" s="772">
        <f t="shared" si="338"/>
        <v>0</v>
      </c>
      <c r="AD112" s="772">
        <f t="shared" si="339"/>
        <v>0</v>
      </c>
      <c r="AE112" s="772">
        <f t="shared" si="340"/>
        <v>0</v>
      </c>
      <c r="AF112" s="774">
        <f t="shared" si="341"/>
        <v>0</v>
      </c>
      <c r="AG112" s="772">
        <f t="shared" si="342"/>
        <v>0</v>
      </c>
      <c r="AH112" s="772">
        <f t="shared" si="343"/>
        <v>0</v>
      </c>
      <c r="AI112" s="769">
        <f t="shared" si="344"/>
        <v>0</v>
      </c>
      <c r="AJ112" s="772">
        <f t="shared" si="345"/>
        <v>0</v>
      </c>
      <c r="AK112" s="769">
        <f t="shared" si="346"/>
        <v>0</v>
      </c>
      <c r="AL112" s="769">
        <f t="shared" si="347"/>
        <v>0</v>
      </c>
      <c r="AM112" s="769">
        <f t="shared" si="348"/>
        <v>0</v>
      </c>
      <c r="AN112" s="769">
        <f t="shared" si="349"/>
        <v>0</v>
      </c>
      <c r="AO112" s="769">
        <f t="shared" si="350"/>
        <v>0</v>
      </c>
      <c r="AP112" s="769">
        <f t="shared" si="351"/>
        <v>0</v>
      </c>
      <c r="AQ112" s="769">
        <f t="shared" si="352"/>
        <v>0</v>
      </c>
      <c r="AR112" s="769">
        <f t="shared" si="353"/>
        <v>0</v>
      </c>
      <c r="AS112" s="769">
        <v>0</v>
      </c>
      <c r="AT112" s="769">
        <f t="shared" si="354"/>
        <v>0</v>
      </c>
      <c r="AU112" s="769">
        <f t="shared" si="355"/>
        <v>0</v>
      </c>
      <c r="AV112" s="769">
        <f t="shared" si="356"/>
        <v>0</v>
      </c>
      <c r="AW112" s="769">
        <f t="shared" si="357"/>
        <v>0</v>
      </c>
      <c r="AX112" s="769">
        <f t="shared" si="358"/>
        <v>0</v>
      </c>
      <c r="AY112" s="769">
        <f t="shared" si="359"/>
        <v>0</v>
      </c>
      <c r="AZ112" s="769">
        <f t="shared" si="360"/>
        <v>0</v>
      </c>
      <c r="BA112" s="769">
        <f t="shared" si="361"/>
        <v>0</v>
      </c>
      <c r="BB112" s="769">
        <f t="shared" si="362"/>
        <v>0</v>
      </c>
      <c r="BC112" s="769">
        <f t="shared" si="363"/>
        <v>0</v>
      </c>
      <c r="BD112" s="661"/>
      <c r="BF112" s="480"/>
      <c r="BG112" s="480"/>
      <c r="BH112" s="480"/>
      <c r="BI112" s="480"/>
      <c r="BJ112" s="480"/>
      <c r="BK112" s="769">
        <f>IF(BK$7=$Y112,(+$AL112+$AP112),(0))</f>
        <v>0</v>
      </c>
      <c r="BL112" s="769">
        <f>IF(BL$7=$Y112,(+BK112*$V112),(0))</f>
        <v>0</v>
      </c>
      <c r="BM112" s="769">
        <f>IF(BM$7=$Y112,(+$AR112+$AT112+$AV112),(0))</f>
        <v>0</v>
      </c>
      <c r="BN112" s="769">
        <f>IF(BN$7=$Y112,(+BM112*$V112),(0))</f>
        <v>0</v>
      </c>
      <c r="BO112" s="769">
        <f>IF(BO$7=$X112,($AY112+$BA112),(0))</f>
        <v>0</v>
      </c>
      <c r="BP112" s="769">
        <f>IF(BP$7=$X112,(+BO112*$V112),(0))</f>
        <v>0</v>
      </c>
    </row>
    <row r="113" spans="1:68" s="775" customFormat="1" ht="15.6">
      <c r="A113" s="762"/>
      <c r="B113" s="763">
        <v>0</v>
      </c>
      <c r="C113" s="763">
        <v>0</v>
      </c>
      <c r="D113" s="763">
        <v>0</v>
      </c>
      <c r="E113" s="763">
        <v>0</v>
      </c>
      <c r="F113" s="763">
        <v>0</v>
      </c>
      <c r="G113" s="689">
        <f>+G$4</f>
        <v>0</v>
      </c>
      <c r="H113" s="764">
        <f>AM113+AN113</f>
        <v>0</v>
      </c>
      <c r="I113" s="763">
        <v>0</v>
      </c>
      <c r="J113" s="689">
        <f>+J$4</f>
        <v>0</v>
      </c>
      <c r="K113" s="764">
        <f>AR113+AT113+AV113+AX113</f>
        <v>0</v>
      </c>
      <c r="L113" s="763">
        <v>0</v>
      </c>
      <c r="M113" s="689">
        <f>+M$4</f>
        <v>0</v>
      </c>
      <c r="N113" s="765"/>
      <c r="O113" s="776"/>
      <c r="P113" s="776"/>
      <c r="Q113" s="777" t="s">
        <v>273</v>
      </c>
      <c r="R113" s="762" t="s">
        <v>211</v>
      </c>
      <c r="S113" s="768">
        <v>1</v>
      </c>
      <c r="T113" s="769">
        <f t="shared" si="332"/>
        <v>0</v>
      </c>
      <c r="U113" s="772">
        <f t="shared" si="333"/>
        <v>0</v>
      </c>
      <c r="V113" s="771">
        <v>0</v>
      </c>
      <c r="W113" s="772">
        <f t="shared" si="334"/>
        <v>0</v>
      </c>
      <c r="X113" s="773"/>
      <c r="Y113" s="773"/>
      <c r="Z113" s="772">
        <f t="shared" si="335"/>
        <v>0</v>
      </c>
      <c r="AA113" s="772">
        <f t="shared" si="336"/>
        <v>0</v>
      </c>
      <c r="AB113" s="772">
        <f t="shared" si="337"/>
        <v>0</v>
      </c>
      <c r="AC113" s="772">
        <f t="shared" si="338"/>
        <v>0</v>
      </c>
      <c r="AD113" s="772">
        <f t="shared" si="339"/>
        <v>0</v>
      </c>
      <c r="AE113" s="772">
        <f t="shared" si="340"/>
        <v>0</v>
      </c>
      <c r="AF113" s="774">
        <f t="shared" si="341"/>
        <v>0</v>
      </c>
      <c r="AG113" s="772">
        <f t="shared" si="342"/>
        <v>0</v>
      </c>
      <c r="AH113" s="772">
        <f t="shared" si="343"/>
        <v>0</v>
      </c>
      <c r="AI113" s="769">
        <f t="shared" si="344"/>
        <v>0</v>
      </c>
      <c r="AJ113" s="772">
        <f t="shared" si="345"/>
        <v>0</v>
      </c>
      <c r="AK113" s="769">
        <f t="shared" si="346"/>
        <v>0</v>
      </c>
      <c r="AL113" s="769">
        <f t="shared" si="347"/>
        <v>0</v>
      </c>
      <c r="AM113" s="769">
        <f t="shared" si="348"/>
        <v>0</v>
      </c>
      <c r="AN113" s="769">
        <f t="shared" si="349"/>
        <v>0</v>
      </c>
      <c r="AO113" s="769">
        <f t="shared" si="350"/>
        <v>0</v>
      </c>
      <c r="AP113" s="769">
        <f t="shared" si="351"/>
        <v>0</v>
      </c>
      <c r="AQ113" s="769">
        <f t="shared" si="352"/>
        <v>0</v>
      </c>
      <c r="AR113" s="769">
        <f t="shared" si="353"/>
        <v>0</v>
      </c>
      <c r="AS113" s="769">
        <v>0</v>
      </c>
      <c r="AT113" s="769">
        <f t="shared" si="354"/>
        <v>0</v>
      </c>
      <c r="AU113" s="769">
        <f t="shared" si="355"/>
        <v>0</v>
      </c>
      <c r="AV113" s="769">
        <f t="shared" si="356"/>
        <v>0</v>
      </c>
      <c r="AW113" s="769">
        <f t="shared" si="357"/>
        <v>0</v>
      </c>
      <c r="AX113" s="769">
        <f t="shared" si="358"/>
        <v>0</v>
      </c>
      <c r="AY113" s="769">
        <f t="shared" si="359"/>
        <v>0</v>
      </c>
      <c r="AZ113" s="769">
        <f t="shared" si="360"/>
        <v>0</v>
      </c>
      <c r="BA113" s="769">
        <f t="shared" si="361"/>
        <v>0</v>
      </c>
      <c r="BB113" s="769">
        <f t="shared" si="362"/>
        <v>0</v>
      </c>
      <c r="BC113" s="769">
        <f t="shared" si="363"/>
        <v>0</v>
      </c>
      <c r="BD113" s="661"/>
      <c r="BF113" s="480"/>
      <c r="BG113" s="480"/>
      <c r="BH113" s="480"/>
      <c r="BI113" s="480"/>
      <c r="BJ113" s="480"/>
      <c r="BK113" s="769">
        <f>IF(BK$7=$Y113,(+$AL113+$AP113),(0))</f>
        <v>0</v>
      </c>
      <c r="BL113" s="769">
        <f>IF(BL$7=$Y113,(+BK113*$V113),(0))</f>
        <v>0</v>
      </c>
      <c r="BM113" s="769">
        <f>IF(BM$7=$Y113,(+$AR113+$AT113+$AV113),(0))</f>
        <v>0</v>
      </c>
      <c r="BN113" s="769">
        <f>IF(BN$7=$Y113,(+BM113*$V113),(0))</f>
        <v>0</v>
      </c>
      <c r="BO113" s="769">
        <f>IF(BO$7=$X113,($AY113+$BA113),(0))</f>
        <v>0</v>
      </c>
      <c r="BP113" s="769">
        <f>IF(BP$7=$X113,(+BO113*$V113),(0))</f>
        <v>0</v>
      </c>
    </row>
    <row r="114" spans="1:68" s="775" customFormat="1" ht="15.6">
      <c r="A114" s="762"/>
      <c r="B114" s="763"/>
      <c r="C114" s="763"/>
      <c r="D114" s="763"/>
      <c r="E114" s="763"/>
      <c r="F114" s="763"/>
      <c r="G114" s="689"/>
      <c r="H114" s="764"/>
      <c r="I114" s="763"/>
      <c r="J114" s="689"/>
      <c r="K114" s="764"/>
      <c r="L114" s="763"/>
      <c r="M114" s="689"/>
      <c r="N114" s="765"/>
      <c r="O114" s="776"/>
      <c r="P114" s="776"/>
      <c r="Q114" s="777"/>
      <c r="R114" s="762"/>
      <c r="S114" s="768"/>
      <c r="T114" s="769"/>
      <c r="U114" s="772"/>
      <c r="V114" s="771"/>
      <c r="W114" s="772"/>
      <c r="X114" s="773"/>
      <c r="Y114" s="773"/>
      <c r="Z114" s="772"/>
      <c r="AA114" s="772"/>
      <c r="AB114" s="772"/>
      <c r="AC114" s="772"/>
      <c r="AD114" s="772"/>
      <c r="AE114" s="772"/>
      <c r="AF114" s="774"/>
      <c r="AG114" s="772"/>
      <c r="AH114" s="772"/>
      <c r="AI114" s="769"/>
      <c r="AJ114" s="772"/>
      <c r="AK114" s="769"/>
      <c r="AL114" s="769"/>
      <c r="AM114" s="769"/>
      <c r="AN114" s="769"/>
      <c r="AO114" s="769"/>
      <c r="AP114" s="769"/>
      <c r="AQ114" s="769"/>
      <c r="AR114" s="769"/>
      <c r="AS114" s="769"/>
      <c r="AT114" s="769"/>
      <c r="AU114" s="769"/>
      <c r="AV114" s="769"/>
      <c r="AW114" s="769"/>
      <c r="AX114" s="769"/>
      <c r="AY114" s="769"/>
      <c r="AZ114" s="769"/>
      <c r="BA114" s="769"/>
      <c r="BB114" s="769"/>
      <c r="BC114" s="769"/>
      <c r="BD114" s="661"/>
      <c r="BF114" s="480"/>
      <c r="BG114" s="480"/>
      <c r="BH114" s="480"/>
      <c r="BI114" s="480"/>
      <c r="BJ114" s="480"/>
      <c r="BK114" s="769"/>
      <c r="BL114" s="769"/>
      <c r="BM114" s="769"/>
      <c r="BN114" s="769"/>
      <c r="BO114" s="769"/>
      <c r="BP114" s="769"/>
    </row>
    <row r="115" spans="1:68" s="775" customFormat="1" ht="15.6">
      <c r="A115" s="762"/>
      <c r="B115" s="763"/>
      <c r="C115" s="763"/>
      <c r="D115" s="763"/>
      <c r="E115" s="763"/>
      <c r="F115" s="763"/>
      <c r="G115" s="689"/>
      <c r="H115" s="764"/>
      <c r="I115" s="763"/>
      <c r="J115" s="689"/>
      <c r="K115" s="764"/>
      <c r="L115" s="763"/>
      <c r="M115" s="689"/>
      <c r="N115" s="765"/>
      <c r="O115" s="766">
        <v>13</v>
      </c>
      <c r="P115" s="766" t="s">
        <v>276</v>
      </c>
      <c r="Q115" s="767"/>
      <c r="R115" s="762"/>
      <c r="S115" s="768"/>
      <c r="T115" s="769"/>
      <c r="U115" s="770" t="s">
        <v>437</v>
      </c>
      <c r="V115" s="771"/>
      <c r="W115" s="772"/>
      <c r="X115" s="773"/>
      <c r="Y115" s="773"/>
      <c r="Z115" s="772"/>
      <c r="AA115" s="772"/>
      <c r="AB115" s="772"/>
      <c r="AC115" s="772"/>
      <c r="AD115" s="772"/>
      <c r="AE115" s="772"/>
      <c r="AF115" s="774"/>
      <c r="AG115" s="772"/>
      <c r="AH115" s="772"/>
      <c r="AI115" s="769"/>
      <c r="AJ115" s="772"/>
      <c r="AK115" s="769"/>
      <c r="AL115" s="769"/>
      <c r="AM115" s="769"/>
      <c r="AN115" s="769"/>
      <c r="AO115" s="769"/>
      <c r="AP115" s="769"/>
      <c r="AQ115" s="769"/>
      <c r="AR115" s="769"/>
      <c r="AS115" s="769"/>
      <c r="AT115" s="769"/>
      <c r="AU115" s="769"/>
      <c r="AV115" s="769"/>
      <c r="AW115" s="769"/>
      <c r="AX115" s="769"/>
      <c r="AY115" s="769"/>
      <c r="AZ115" s="769"/>
      <c r="BA115" s="769"/>
      <c r="BB115" s="769"/>
      <c r="BC115" s="769"/>
      <c r="BD115" s="661"/>
      <c r="BF115" s="480"/>
      <c r="BG115" s="480"/>
      <c r="BH115" s="480"/>
      <c r="BI115" s="480"/>
      <c r="BJ115" s="480"/>
      <c r="BK115" s="769"/>
      <c r="BL115" s="769"/>
      <c r="BM115" s="769"/>
      <c r="BN115" s="769"/>
      <c r="BO115" s="769"/>
      <c r="BP115" s="769"/>
    </row>
    <row r="116" spans="1:68" s="775" customFormat="1" ht="15.6">
      <c r="A116" s="762"/>
      <c r="B116" s="763"/>
      <c r="C116" s="763"/>
      <c r="D116" s="763"/>
      <c r="E116" s="763"/>
      <c r="F116" s="763"/>
      <c r="G116" s="689"/>
      <c r="H116" s="764"/>
      <c r="I116" s="763"/>
      <c r="J116" s="689"/>
      <c r="K116" s="764"/>
      <c r="L116" s="763"/>
      <c r="M116" s="689"/>
      <c r="N116" s="765"/>
      <c r="O116" s="776"/>
      <c r="P116" s="776"/>
      <c r="Q116" s="777"/>
      <c r="R116" s="762"/>
      <c r="S116" s="768"/>
      <c r="T116" s="769"/>
      <c r="U116" s="772"/>
      <c r="V116" s="771"/>
      <c r="W116" s="772"/>
      <c r="X116" s="773"/>
      <c r="Y116" s="773"/>
      <c r="Z116" s="772"/>
      <c r="AA116" s="772"/>
      <c r="AB116" s="772"/>
      <c r="AC116" s="772"/>
      <c r="AD116" s="772"/>
      <c r="AE116" s="772"/>
      <c r="AF116" s="774"/>
      <c r="AG116" s="772"/>
      <c r="AH116" s="772"/>
      <c r="AI116" s="769"/>
      <c r="AJ116" s="772"/>
      <c r="AK116" s="769"/>
      <c r="AL116" s="769"/>
      <c r="AM116" s="769"/>
      <c r="AN116" s="769"/>
      <c r="AO116" s="769"/>
      <c r="AP116" s="769"/>
      <c r="AQ116" s="769"/>
      <c r="AR116" s="769"/>
      <c r="AS116" s="769"/>
      <c r="AT116" s="769"/>
      <c r="AU116" s="769"/>
      <c r="AV116" s="769"/>
      <c r="AW116" s="769"/>
      <c r="AX116" s="769"/>
      <c r="AY116" s="769"/>
      <c r="AZ116" s="769"/>
      <c r="BA116" s="769"/>
      <c r="BB116" s="769"/>
      <c r="BC116" s="769"/>
      <c r="BD116" s="661"/>
      <c r="BF116" s="480"/>
      <c r="BG116" s="480"/>
      <c r="BH116" s="480"/>
      <c r="BI116" s="480"/>
      <c r="BJ116" s="480"/>
      <c r="BK116" s="769"/>
      <c r="BL116" s="769"/>
      <c r="BM116" s="769"/>
      <c r="BN116" s="769"/>
      <c r="BO116" s="769"/>
      <c r="BP116" s="769"/>
    </row>
    <row r="117" spans="1:68" s="775" customFormat="1" ht="15.6">
      <c r="A117" s="762"/>
      <c r="B117" s="763">
        <v>0</v>
      </c>
      <c r="C117" s="763">
        <v>0</v>
      </c>
      <c r="D117" s="763">
        <v>0</v>
      </c>
      <c r="E117" s="763">
        <v>0</v>
      </c>
      <c r="F117" s="763">
        <v>0</v>
      </c>
      <c r="G117" s="689">
        <f t="shared" ref="G117:G123" si="364">+G$4</f>
        <v>0</v>
      </c>
      <c r="H117" s="764">
        <f t="shared" ref="H117:H123" si="365">AM117+AN117</f>
        <v>0</v>
      </c>
      <c r="I117" s="763">
        <v>0</v>
      </c>
      <c r="J117" s="689">
        <f t="shared" ref="J117:J123" si="366">+J$4</f>
        <v>0</v>
      </c>
      <c r="K117" s="764">
        <f t="shared" ref="K117:K123" si="367">AR117+AT117+AV117+AX117</f>
        <v>0</v>
      </c>
      <c r="L117" s="763">
        <v>0</v>
      </c>
      <c r="M117" s="689">
        <f t="shared" ref="M117:M123" si="368">+M$4</f>
        <v>0</v>
      </c>
      <c r="N117" s="765"/>
      <c r="O117" s="776"/>
      <c r="P117" s="776"/>
      <c r="Q117" s="777" t="s">
        <v>277</v>
      </c>
      <c r="R117" s="762" t="s">
        <v>211</v>
      </c>
      <c r="S117" s="768">
        <v>1</v>
      </c>
      <c r="T117" s="769">
        <f t="shared" ref="T117:T123" si="369">_xlfn.IFNA(ROUNDUP(AF117+AJ117+AO117+AQ117+L117+AS117+AU117+AW117+F117+AZ117+BB117,2),0)</f>
        <v>0</v>
      </c>
      <c r="U117" s="772">
        <f t="shared" ref="U117:U123" si="370">ROUND(T117*ROUNDUP(S117,1),2)</f>
        <v>0</v>
      </c>
      <c r="V117" s="771">
        <v>0</v>
      </c>
      <c r="W117" s="772">
        <f t="shared" ref="W117:W123" si="371">ROUND(+U117*V117,2)</f>
        <v>0</v>
      </c>
      <c r="X117" s="773"/>
      <c r="Y117" s="773"/>
      <c r="Z117" s="772">
        <f t="shared" ref="Z117:Z123" si="372">_xlfn.IFNA(ROUNDUP(AJ117*U117,2),0)</f>
        <v>0</v>
      </c>
      <c r="AA117" s="772">
        <f t="shared" ref="AA117:AA123" si="373">_xlfn.IFNA(ROUNDUP(AK117*V117,2),0)</f>
        <v>0</v>
      </c>
      <c r="AB117" s="772">
        <f t="shared" ref="AB117:AB123" si="374">ROUNDUP((AP117+AL117)*V117,2)</f>
        <v>0</v>
      </c>
      <c r="AC117" s="772">
        <f t="shared" ref="AC117:AC123" si="375">_xlfn.IFNA(ROUNDUP((AT117+AV117+AR117)*V117,2),0)</f>
        <v>0</v>
      </c>
      <c r="AD117" s="772">
        <f t="shared" ref="AD117:AD123" si="376">_xlfn.IFNA(ROUNDUP((BA117+AY117)*V117,2),0)</f>
        <v>0</v>
      </c>
      <c r="AE117" s="772">
        <f t="shared" ref="AE117:AE123" si="377">_xlfn.IFNA((BC117+AX117+AG117)*V117,0)</f>
        <v>0</v>
      </c>
      <c r="AF117" s="774">
        <f t="shared" ref="AF117:AF123" si="378">+_xlfn.IFNA(D117,0)</f>
        <v>0</v>
      </c>
      <c r="AG117" s="772">
        <f t="shared" ref="AG117:AG123" si="379">_xlfn.IFNA(ROUNDUP(D117*S117,2),0)</f>
        <v>0</v>
      </c>
      <c r="AH117" s="772">
        <f t="shared" ref="AH117:AH123" si="380">+_xlfn.IFNA(C117,0)</f>
        <v>0</v>
      </c>
      <c r="AI117" s="769">
        <f t="shared" ref="AI117:AI123" si="381">_xlfn.IFNA(C117*S117,0)</f>
        <v>0</v>
      </c>
      <c r="AJ117" s="772">
        <f t="shared" ref="AJ117:AJ123" si="382">+_xlfn.IFNA(E117,0)</f>
        <v>0</v>
      </c>
      <c r="AK117" s="769">
        <f t="shared" ref="AK117:AK123" si="383">_xlfn.IFNA(E117*S117,0)</f>
        <v>0</v>
      </c>
      <c r="AL117" s="769">
        <f t="shared" ref="AL117:AL123" si="384">ROUNDUP(S117*AQ117,2)</f>
        <v>0</v>
      </c>
      <c r="AM117" s="769">
        <f t="shared" ref="AM117:AM123" si="385">ROUNDUP(+I117*S117,2)</f>
        <v>0</v>
      </c>
      <c r="AN117" s="769">
        <f t="shared" ref="AN117:AN123" si="386">J117*I117*S117</f>
        <v>0</v>
      </c>
      <c r="AO117" s="769">
        <f t="shared" ref="AO117:AO123" si="387">ROUNDUP(I117*I$4*J117,2)</f>
        <v>0</v>
      </c>
      <c r="AP117" s="769">
        <f t="shared" ref="AP117:AP123" si="388">AO117*S117</f>
        <v>0</v>
      </c>
      <c r="AQ117" s="769">
        <f t="shared" ref="AQ117:AQ123" si="389">IF(I117=0,0,ROUNDUP(I$4*I117,2))</f>
        <v>0</v>
      </c>
      <c r="AR117" s="769">
        <f t="shared" ref="AR117:AR123" si="390">+_xlfn.IFNA(ROUNDUP(L117*ROUNDUP(S117,1),2),0)</f>
        <v>0</v>
      </c>
      <c r="AS117" s="769">
        <v>0</v>
      </c>
      <c r="AT117" s="769">
        <f t="shared" ref="AT117:AT123" si="391">+ROUNDUP(AS117*S117,2)</f>
        <v>0</v>
      </c>
      <c r="AU117" s="769">
        <f t="shared" ref="AU117:AU123" si="392">_xlfn.IFNA(ROUNDUP((L117+AS117)*M117,2),0)</f>
        <v>0</v>
      </c>
      <c r="AV117" s="769">
        <f t="shared" ref="AV117:AV123" si="393">ROUNDUP(AU117*S117,2)</f>
        <v>0</v>
      </c>
      <c r="AW117" s="769">
        <f t="shared" ref="AW117:AW123" si="394">_xlfn.IFNA(ROUNDUP((L117+AS117+AU117)*(L$4)*L$3,2),0)</f>
        <v>0</v>
      </c>
      <c r="AX117" s="769">
        <f t="shared" ref="AX117:AX123" si="395">ROUNDUP(+AW117*ROUNDUP(S117,1),2)</f>
        <v>0</v>
      </c>
      <c r="AY117" s="769">
        <f t="shared" ref="AY117:AY123" si="396">_xlfn.IFNA(ROUNDUP(F117*S117,2),0)</f>
        <v>0</v>
      </c>
      <c r="AZ117" s="769">
        <f t="shared" ref="AZ117:AZ123" si="397">_xlfn.IFNA(ROUNDUP(F117*G117,2),0)</f>
        <v>0</v>
      </c>
      <c r="BA117" s="769">
        <f t="shared" ref="BA117:BA123" si="398">ROUNDUP(AZ117*S117,2)</f>
        <v>0</v>
      </c>
      <c r="BB117" s="769">
        <f t="shared" ref="BB117:BB123" si="399">_xlfn.IFNA(ROUNDUP((ROUNDUP(F117+AZ117,2)*F$4)*F$3,2),0)</f>
        <v>0</v>
      </c>
      <c r="BC117" s="769">
        <f t="shared" ref="BC117:BC123" si="400">BB117*S117</f>
        <v>0</v>
      </c>
      <c r="BD117" s="661"/>
      <c r="BF117" s="480"/>
      <c r="BG117" s="480"/>
      <c r="BH117" s="480"/>
      <c r="BI117" s="480"/>
      <c r="BJ117" s="480"/>
      <c r="BK117" s="769">
        <f t="shared" ref="BK117:BK123" si="401">IF(BK$7=$Y117,(+$AL117+$AP117),(0))</f>
        <v>0</v>
      </c>
      <c r="BL117" s="769">
        <f t="shared" ref="BL117:BL123" si="402">IF(BL$7=$Y117,(+BK117*$V117),(0))</f>
        <v>0</v>
      </c>
      <c r="BM117" s="769">
        <f t="shared" ref="BM117:BM123" si="403">IF(BM$7=$Y117,(+$AR117+$AT117+$AV117),(0))</f>
        <v>0</v>
      </c>
      <c r="BN117" s="769">
        <f t="shared" ref="BN117:BN123" si="404">IF(BN$7=$Y117,(+BM117*$V117),(0))</f>
        <v>0</v>
      </c>
      <c r="BO117" s="769">
        <f t="shared" ref="BO117:BO123" si="405">IF(BO$7=$X117,($AY117+$BA117),(0))</f>
        <v>0</v>
      </c>
      <c r="BP117" s="769">
        <f t="shared" ref="BP117:BP123" si="406">IF(BP$7=$X117,(+BO117*$V117),(0))</f>
        <v>0</v>
      </c>
    </row>
    <row r="118" spans="1:68" s="775" customFormat="1" ht="15.6">
      <c r="A118" s="762"/>
      <c r="B118" s="763">
        <v>0</v>
      </c>
      <c r="C118" s="763">
        <v>0</v>
      </c>
      <c r="D118" s="763">
        <v>0</v>
      </c>
      <c r="E118" s="763">
        <v>0</v>
      </c>
      <c r="F118" s="763">
        <v>0</v>
      </c>
      <c r="G118" s="689">
        <f t="shared" si="364"/>
        <v>0</v>
      </c>
      <c r="H118" s="764">
        <f t="shared" si="365"/>
        <v>0</v>
      </c>
      <c r="I118" s="763">
        <v>0</v>
      </c>
      <c r="J118" s="689">
        <f t="shared" si="366"/>
        <v>0</v>
      </c>
      <c r="K118" s="764">
        <f t="shared" si="367"/>
        <v>0</v>
      </c>
      <c r="L118" s="763">
        <v>0</v>
      </c>
      <c r="M118" s="689">
        <f t="shared" si="368"/>
        <v>0</v>
      </c>
      <c r="N118" s="765"/>
      <c r="O118" s="776"/>
      <c r="P118" s="776"/>
      <c r="Q118" s="777" t="s">
        <v>278</v>
      </c>
      <c r="R118" s="762" t="s">
        <v>279</v>
      </c>
      <c r="S118" s="768">
        <v>1</v>
      </c>
      <c r="T118" s="769">
        <f t="shared" si="369"/>
        <v>0</v>
      </c>
      <c r="U118" s="772">
        <f t="shared" si="370"/>
        <v>0</v>
      </c>
      <c r="V118" s="771">
        <v>0</v>
      </c>
      <c r="W118" s="772">
        <f t="shared" si="371"/>
        <v>0</v>
      </c>
      <c r="X118" s="773"/>
      <c r="Y118" s="773"/>
      <c r="Z118" s="772">
        <f t="shared" si="372"/>
        <v>0</v>
      </c>
      <c r="AA118" s="772">
        <f t="shared" si="373"/>
        <v>0</v>
      </c>
      <c r="AB118" s="772">
        <f t="shared" si="374"/>
        <v>0</v>
      </c>
      <c r="AC118" s="772">
        <f t="shared" si="375"/>
        <v>0</v>
      </c>
      <c r="AD118" s="772">
        <f t="shared" si="376"/>
        <v>0</v>
      </c>
      <c r="AE118" s="772">
        <f t="shared" si="377"/>
        <v>0</v>
      </c>
      <c r="AF118" s="774">
        <f t="shared" si="378"/>
        <v>0</v>
      </c>
      <c r="AG118" s="772">
        <f t="shared" si="379"/>
        <v>0</v>
      </c>
      <c r="AH118" s="772">
        <f t="shared" si="380"/>
        <v>0</v>
      </c>
      <c r="AI118" s="769">
        <f t="shared" si="381"/>
        <v>0</v>
      </c>
      <c r="AJ118" s="772">
        <f t="shared" si="382"/>
        <v>0</v>
      </c>
      <c r="AK118" s="769">
        <f t="shared" si="383"/>
        <v>0</v>
      </c>
      <c r="AL118" s="769">
        <f t="shared" si="384"/>
        <v>0</v>
      </c>
      <c r="AM118" s="769">
        <f t="shared" si="385"/>
        <v>0</v>
      </c>
      <c r="AN118" s="769">
        <f t="shared" si="386"/>
        <v>0</v>
      </c>
      <c r="AO118" s="769">
        <f t="shared" si="387"/>
        <v>0</v>
      </c>
      <c r="AP118" s="769">
        <f t="shared" si="388"/>
        <v>0</v>
      </c>
      <c r="AQ118" s="769">
        <f t="shared" si="389"/>
        <v>0</v>
      </c>
      <c r="AR118" s="769">
        <f t="shared" si="390"/>
        <v>0</v>
      </c>
      <c r="AS118" s="769">
        <v>0</v>
      </c>
      <c r="AT118" s="769">
        <f t="shared" si="391"/>
        <v>0</v>
      </c>
      <c r="AU118" s="769">
        <f t="shared" si="392"/>
        <v>0</v>
      </c>
      <c r="AV118" s="769">
        <f t="shared" si="393"/>
        <v>0</v>
      </c>
      <c r="AW118" s="769">
        <f t="shared" si="394"/>
        <v>0</v>
      </c>
      <c r="AX118" s="769">
        <f t="shared" si="395"/>
        <v>0</v>
      </c>
      <c r="AY118" s="769">
        <f t="shared" si="396"/>
        <v>0</v>
      </c>
      <c r="AZ118" s="769">
        <f t="shared" si="397"/>
        <v>0</v>
      </c>
      <c r="BA118" s="769">
        <f t="shared" si="398"/>
        <v>0</v>
      </c>
      <c r="BB118" s="769">
        <f t="shared" si="399"/>
        <v>0</v>
      </c>
      <c r="BC118" s="769">
        <f t="shared" si="400"/>
        <v>0</v>
      </c>
      <c r="BD118" s="661"/>
      <c r="BF118" s="480"/>
      <c r="BG118" s="480"/>
      <c r="BH118" s="480"/>
      <c r="BI118" s="480"/>
      <c r="BJ118" s="480"/>
      <c r="BK118" s="769">
        <f t="shared" si="401"/>
        <v>0</v>
      </c>
      <c r="BL118" s="769">
        <f t="shared" si="402"/>
        <v>0</v>
      </c>
      <c r="BM118" s="769">
        <f t="shared" si="403"/>
        <v>0</v>
      </c>
      <c r="BN118" s="769">
        <f t="shared" si="404"/>
        <v>0</v>
      </c>
      <c r="BO118" s="769">
        <f t="shared" si="405"/>
        <v>0</v>
      </c>
      <c r="BP118" s="769">
        <f t="shared" si="406"/>
        <v>0</v>
      </c>
    </row>
    <row r="119" spans="1:68" s="775" customFormat="1" ht="15.6">
      <c r="A119" s="762"/>
      <c r="B119" s="763">
        <v>0</v>
      </c>
      <c r="C119" s="763">
        <v>0</v>
      </c>
      <c r="D119" s="763">
        <v>0</v>
      </c>
      <c r="E119" s="763">
        <v>0</v>
      </c>
      <c r="F119" s="763">
        <v>0</v>
      </c>
      <c r="G119" s="689">
        <f t="shared" si="364"/>
        <v>0</v>
      </c>
      <c r="H119" s="764">
        <f t="shared" si="365"/>
        <v>0</v>
      </c>
      <c r="I119" s="763">
        <v>0</v>
      </c>
      <c r="J119" s="689">
        <f t="shared" si="366"/>
        <v>0</v>
      </c>
      <c r="K119" s="764">
        <f t="shared" si="367"/>
        <v>0</v>
      </c>
      <c r="L119" s="763">
        <v>0</v>
      </c>
      <c r="M119" s="689">
        <f t="shared" si="368"/>
        <v>0</v>
      </c>
      <c r="N119" s="765"/>
      <c r="O119" s="776"/>
      <c r="P119" s="776"/>
      <c r="Q119" s="777" t="s">
        <v>280</v>
      </c>
      <c r="R119" s="762" t="s">
        <v>211</v>
      </c>
      <c r="S119" s="768">
        <v>1</v>
      </c>
      <c r="T119" s="769">
        <f t="shared" si="369"/>
        <v>0</v>
      </c>
      <c r="U119" s="772">
        <f t="shared" si="370"/>
        <v>0</v>
      </c>
      <c r="V119" s="771">
        <v>0</v>
      </c>
      <c r="W119" s="772">
        <f t="shared" si="371"/>
        <v>0</v>
      </c>
      <c r="X119" s="773"/>
      <c r="Y119" s="773"/>
      <c r="Z119" s="772">
        <f t="shared" si="372"/>
        <v>0</v>
      </c>
      <c r="AA119" s="772">
        <f t="shared" si="373"/>
        <v>0</v>
      </c>
      <c r="AB119" s="772">
        <f t="shared" si="374"/>
        <v>0</v>
      </c>
      <c r="AC119" s="772">
        <f t="shared" si="375"/>
        <v>0</v>
      </c>
      <c r="AD119" s="772">
        <f t="shared" si="376"/>
        <v>0</v>
      </c>
      <c r="AE119" s="772">
        <f t="shared" si="377"/>
        <v>0</v>
      </c>
      <c r="AF119" s="774">
        <f t="shared" si="378"/>
        <v>0</v>
      </c>
      <c r="AG119" s="772">
        <f t="shared" si="379"/>
        <v>0</v>
      </c>
      <c r="AH119" s="772">
        <f t="shared" si="380"/>
        <v>0</v>
      </c>
      <c r="AI119" s="769">
        <f t="shared" si="381"/>
        <v>0</v>
      </c>
      <c r="AJ119" s="772">
        <f t="shared" si="382"/>
        <v>0</v>
      </c>
      <c r="AK119" s="769">
        <f t="shared" si="383"/>
        <v>0</v>
      </c>
      <c r="AL119" s="769">
        <f t="shared" si="384"/>
        <v>0</v>
      </c>
      <c r="AM119" s="769">
        <f t="shared" si="385"/>
        <v>0</v>
      </c>
      <c r="AN119" s="769">
        <f t="shared" si="386"/>
        <v>0</v>
      </c>
      <c r="AO119" s="769">
        <f t="shared" si="387"/>
        <v>0</v>
      </c>
      <c r="AP119" s="769">
        <f t="shared" si="388"/>
        <v>0</v>
      </c>
      <c r="AQ119" s="769">
        <f t="shared" si="389"/>
        <v>0</v>
      </c>
      <c r="AR119" s="769">
        <f t="shared" si="390"/>
        <v>0</v>
      </c>
      <c r="AS119" s="769">
        <v>0</v>
      </c>
      <c r="AT119" s="769">
        <f t="shared" si="391"/>
        <v>0</v>
      </c>
      <c r="AU119" s="769">
        <f t="shared" si="392"/>
        <v>0</v>
      </c>
      <c r="AV119" s="769">
        <f t="shared" si="393"/>
        <v>0</v>
      </c>
      <c r="AW119" s="769">
        <f t="shared" si="394"/>
        <v>0</v>
      </c>
      <c r="AX119" s="769">
        <f t="shared" si="395"/>
        <v>0</v>
      </c>
      <c r="AY119" s="769">
        <f t="shared" si="396"/>
        <v>0</v>
      </c>
      <c r="AZ119" s="769">
        <f t="shared" si="397"/>
        <v>0</v>
      </c>
      <c r="BA119" s="769">
        <f t="shared" si="398"/>
        <v>0</v>
      </c>
      <c r="BB119" s="769">
        <f t="shared" si="399"/>
        <v>0</v>
      </c>
      <c r="BC119" s="769">
        <f t="shared" si="400"/>
        <v>0</v>
      </c>
      <c r="BD119" s="661"/>
      <c r="BF119" s="480"/>
      <c r="BG119" s="480"/>
      <c r="BH119" s="480"/>
      <c r="BI119" s="480"/>
      <c r="BJ119" s="480"/>
      <c r="BK119" s="769">
        <f t="shared" si="401"/>
        <v>0</v>
      </c>
      <c r="BL119" s="769">
        <f t="shared" si="402"/>
        <v>0</v>
      </c>
      <c r="BM119" s="769">
        <f t="shared" si="403"/>
        <v>0</v>
      </c>
      <c r="BN119" s="769">
        <f t="shared" si="404"/>
        <v>0</v>
      </c>
      <c r="BO119" s="769">
        <f t="shared" si="405"/>
        <v>0</v>
      </c>
      <c r="BP119" s="769">
        <f t="shared" si="406"/>
        <v>0</v>
      </c>
    </row>
    <row r="120" spans="1:68" s="775" customFormat="1" ht="15.6">
      <c r="A120" s="762"/>
      <c r="B120" s="763">
        <v>0</v>
      </c>
      <c r="C120" s="763">
        <v>0</v>
      </c>
      <c r="D120" s="763">
        <v>0</v>
      </c>
      <c r="E120" s="763">
        <v>0</v>
      </c>
      <c r="F120" s="763">
        <v>0</v>
      </c>
      <c r="G120" s="689">
        <f t="shared" si="364"/>
        <v>0</v>
      </c>
      <c r="H120" s="764">
        <f t="shared" si="365"/>
        <v>0</v>
      </c>
      <c r="I120" s="763">
        <v>0</v>
      </c>
      <c r="J120" s="689">
        <f t="shared" si="366"/>
        <v>0</v>
      </c>
      <c r="K120" s="764">
        <f t="shared" si="367"/>
        <v>0</v>
      </c>
      <c r="L120" s="763">
        <v>0</v>
      </c>
      <c r="M120" s="689">
        <f t="shared" si="368"/>
        <v>0</v>
      </c>
      <c r="N120" s="765"/>
      <c r="O120" s="776"/>
      <c r="P120" s="776"/>
      <c r="Q120" s="777" t="s">
        <v>281</v>
      </c>
      <c r="R120" s="762" t="s">
        <v>211</v>
      </c>
      <c r="S120" s="768">
        <v>1</v>
      </c>
      <c r="T120" s="769">
        <f t="shared" si="369"/>
        <v>0</v>
      </c>
      <c r="U120" s="772">
        <f t="shared" si="370"/>
        <v>0</v>
      </c>
      <c r="V120" s="771">
        <v>0</v>
      </c>
      <c r="W120" s="772">
        <f t="shared" si="371"/>
        <v>0</v>
      </c>
      <c r="X120" s="773"/>
      <c r="Y120" s="773"/>
      <c r="Z120" s="772">
        <f t="shared" si="372"/>
        <v>0</v>
      </c>
      <c r="AA120" s="772">
        <f t="shared" si="373"/>
        <v>0</v>
      </c>
      <c r="AB120" s="772">
        <f t="shared" si="374"/>
        <v>0</v>
      </c>
      <c r="AC120" s="772">
        <f t="shared" si="375"/>
        <v>0</v>
      </c>
      <c r="AD120" s="772">
        <f t="shared" si="376"/>
        <v>0</v>
      </c>
      <c r="AE120" s="772">
        <f t="shared" si="377"/>
        <v>0</v>
      </c>
      <c r="AF120" s="774">
        <f t="shared" si="378"/>
        <v>0</v>
      </c>
      <c r="AG120" s="772">
        <f t="shared" si="379"/>
        <v>0</v>
      </c>
      <c r="AH120" s="772">
        <f t="shared" si="380"/>
        <v>0</v>
      </c>
      <c r="AI120" s="769">
        <f t="shared" si="381"/>
        <v>0</v>
      </c>
      <c r="AJ120" s="772">
        <f t="shared" si="382"/>
        <v>0</v>
      </c>
      <c r="AK120" s="769">
        <f t="shared" si="383"/>
        <v>0</v>
      </c>
      <c r="AL120" s="769">
        <f t="shared" si="384"/>
        <v>0</v>
      </c>
      <c r="AM120" s="769">
        <f t="shared" si="385"/>
        <v>0</v>
      </c>
      <c r="AN120" s="769">
        <f t="shared" si="386"/>
        <v>0</v>
      </c>
      <c r="AO120" s="769">
        <f t="shared" si="387"/>
        <v>0</v>
      </c>
      <c r="AP120" s="769">
        <f t="shared" si="388"/>
        <v>0</v>
      </c>
      <c r="AQ120" s="769">
        <f t="shared" si="389"/>
        <v>0</v>
      </c>
      <c r="AR120" s="769">
        <f t="shared" si="390"/>
        <v>0</v>
      </c>
      <c r="AS120" s="769">
        <v>0</v>
      </c>
      <c r="AT120" s="769">
        <f t="shared" si="391"/>
        <v>0</v>
      </c>
      <c r="AU120" s="769">
        <f t="shared" si="392"/>
        <v>0</v>
      </c>
      <c r="AV120" s="769">
        <f t="shared" si="393"/>
        <v>0</v>
      </c>
      <c r="AW120" s="769">
        <f t="shared" si="394"/>
        <v>0</v>
      </c>
      <c r="AX120" s="769">
        <f t="shared" si="395"/>
        <v>0</v>
      </c>
      <c r="AY120" s="769">
        <f t="shared" si="396"/>
        <v>0</v>
      </c>
      <c r="AZ120" s="769">
        <f t="shared" si="397"/>
        <v>0</v>
      </c>
      <c r="BA120" s="769">
        <f t="shared" si="398"/>
        <v>0</v>
      </c>
      <c r="BB120" s="769">
        <f t="shared" si="399"/>
        <v>0</v>
      </c>
      <c r="BC120" s="769">
        <f t="shared" si="400"/>
        <v>0</v>
      </c>
      <c r="BD120" s="661"/>
      <c r="BF120" s="480"/>
      <c r="BG120" s="480"/>
      <c r="BH120" s="480"/>
      <c r="BI120" s="480"/>
      <c r="BJ120" s="480"/>
      <c r="BK120" s="769">
        <f t="shared" si="401"/>
        <v>0</v>
      </c>
      <c r="BL120" s="769">
        <f t="shared" si="402"/>
        <v>0</v>
      </c>
      <c r="BM120" s="769">
        <f t="shared" si="403"/>
        <v>0</v>
      </c>
      <c r="BN120" s="769">
        <f t="shared" si="404"/>
        <v>0</v>
      </c>
      <c r="BO120" s="769">
        <f t="shared" si="405"/>
        <v>0</v>
      </c>
      <c r="BP120" s="769">
        <f t="shared" si="406"/>
        <v>0</v>
      </c>
    </row>
    <row r="121" spans="1:68" s="775" customFormat="1" ht="15.6">
      <c r="A121" s="762"/>
      <c r="B121" s="763">
        <v>0</v>
      </c>
      <c r="C121" s="763">
        <v>0</v>
      </c>
      <c r="D121" s="763">
        <v>0</v>
      </c>
      <c r="E121" s="763">
        <v>0</v>
      </c>
      <c r="F121" s="763">
        <v>0</v>
      </c>
      <c r="G121" s="689">
        <f t="shared" si="364"/>
        <v>0</v>
      </c>
      <c r="H121" s="764">
        <f t="shared" si="365"/>
        <v>0</v>
      </c>
      <c r="I121" s="763">
        <v>0</v>
      </c>
      <c r="J121" s="689">
        <f t="shared" si="366"/>
        <v>0</v>
      </c>
      <c r="K121" s="764">
        <f t="shared" si="367"/>
        <v>0</v>
      </c>
      <c r="L121" s="763">
        <v>0</v>
      </c>
      <c r="M121" s="689">
        <f t="shared" si="368"/>
        <v>0</v>
      </c>
      <c r="N121" s="765"/>
      <c r="O121" s="776"/>
      <c r="P121" s="776"/>
      <c r="Q121" s="777" t="s">
        <v>282</v>
      </c>
      <c r="R121" s="762" t="s">
        <v>211</v>
      </c>
      <c r="S121" s="768">
        <v>1</v>
      </c>
      <c r="T121" s="769">
        <f t="shared" si="369"/>
        <v>0</v>
      </c>
      <c r="U121" s="772">
        <f t="shared" si="370"/>
        <v>0</v>
      </c>
      <c r="V121" s="771">
        <v>0</v>
      </c>
      <c r="W121" s="772">
        <f t="shared" si="371"/>
        <v>0</v>
      </c>
      <c r="X121" s="773"/>
      <c r="Y121" s="773"/>
      <c r="Z121" s="772">
        <f t="shared" si="372"/>
        <v>0</v>
      </c>
      <c r="AA121" s="772">
        <f t="shared" si="373"/>
        <v>0</v>
      </c>
      <c r="AB121" s="772">
        <f t="shared" si="374"/>
        <v>0</v>
      </c>
      <c r="AC121" s="772">
        <f t="shared" si="375"/>
        <v>0</v>
      </c>
      <c r="AD121" s="772">
        <f t="shared" si="376"/>
        <v>0</v>
      </c>
      <c r="AE121" s="772">
        <f t="shared" si="377"/>
        <v>0</v>
      </c>
      <c r="AF121" s="774">
        <f t="shared" si="378"/>
        <v>0</v>
      </c>
      <c r="AG121" s="772">
        <f t="shared" si="379"/>
        <v>0</v>
      </c>
      <c r="AH121" s="772">
        <f t="shared" si="380"/>
        <v>0</v>
      </c>
      <c r="AI121" s="769">
        <f t="shared" si="381"/>
        <v>0</v>
      </c>
      <c r="AJ121" s="772">
        <f t="shared" si="382"/>
        <v>0</v>
      </c>
      <c r="AK121" s="769">
        <f t="shared" si="383"/>
        <v>0</v>
      </c>
      <c r="AL121" s="769">
        <f t="shared" si="384"/>
        <v>0</v>
      </c>
      <c r="AM121" s="769">
        <f t="shared" si="385"/>
        <v>0</v>
      </c>
      <c r="AN121" s="769">
        <f t="shared" si="386"/>
        <v>0</v>
      </c>
      <c r="AO121" s="769">
        <f t="shared" si="387"/>
        <v>0</v>
      </c>
      <c r="AP121" s="769">
        <f t="shared" si="388"/>
        <v>0</v>
      </c>
      <c r="AQ121" s="769">
        <f t="shared" si="389"/>
        <v>0</v>
      </c>
      <c r="AR121" s="769">
        <f t="shared" si="390"/>
        <v>0</v>
      </c>
      <c r="AS121" s="769">
        <v>0</v>
      </c>
      <c r="AT121" s="769">
        <f t="shared" si="391"/>
        <v>0</v>
      </c>
      <c r="AU121" s="769">
        <f t="shared" si="392"/>
        <v>0</v>
      </c>
      <c r="AV121" s="769">
        <f t="shared" si="393"/>
        <v>0</v>
      </c>
      <c r="AW121" s="769">
        <f t="shared" si="394"/>
        <v>0</v>
      </c>
      <c r="AX121" s="769">
        <f t="shared" si="395"/>
        <v>0</v>
      </c>
      <c r="AY121" s="769">
        <f t="shared" si="396"/>
        <v>0</v>
      </c>
      <c r="AZ121" s="769">
        <f t="shared" si="397"/>
        <v>0</v>
      </c>
      <c r="BA121" s="769">
        <f t="shared" si="398"/>
        <v>0</v>
      </c>
      <c r="BB121" s="769">
        <f t="shared" si="399"/>
        <v>0</v>
      </c>
      <c r="BC121" s="769">
        <f t="shared" si="400"/>
        <v>0</v>
      </c>
      <c r="BD121" s="661"/>
      <c r="BF121" s="480"/>
      <c r="BG121" s="480"/>
      <c r="BH121" s="480"/>
      <c r="BI121" s="480"/>
      <c r="BJ121" s="480"/>
      <c r="BK121" s="769">
        <f t="shared" si="401"/>
        <v>0</v>
      </c>
      <c r="BL121" s="769">
        <f t="shared" si="402"/>
        <v>0</v>
      </c>
      <c r="BM121" s="769">
        <f t="shared" si="403"/>
        <v>0</v>
      </c>
      <c r="BN121" s="769">
        <f t="shared" si="404"/>
        <v>0</v>
      </c>
      <c r="BO121" s="769">
        <f t="shared" si="405"/>
        <v>0</v>
      </c>
      <c r="BP121" s="769">
        <f t="shared" si="406"/>
        <v>0</v>
      </c>
    </row>
    <row r="122" spans="1:68" s="775" customFormat="1" ht="15.6">
      <c r="A122" s="762"/>
      <c r="B122" s="763">
        <v>0</v>
      </c>
      <c r="C122" s="763">
        <v>0</v>
      </c>
      <c r="D122" s="763">
        <v>0</v>
      </c>
      <c r="E122" s="763">
        <v>0</v>
      </c>
      <c r="F122" s="763">
        <v>0</v>
      </c>
      <c r="G122" s="689">
        <f t="shared" si="364"/>
        <v>0</v>
      </c>
      <c r="H122" s="764">
        <f t="shared" si="365"/>
        <v>0</v>
      </c>
      <c r="I122" s="763">
        <v>0</v>
      </c>
      <c r="J122" s="689">
        <f t="shared" si="366"/>
        <v>0</v>
      </c>
      <c r="K122" s="764">
        <f t="shared" si="367"/>
        <v>0</v>
      </c>
      <c r="L122" s="763">
        <v>0</v>
      </c>
      <c r="M122" s="689">
        <f t="shared" si="368"/>
        <v>0</v>
      </c>
      <c r="N122" s="765"/>
      <c r="O122" s="776"/>
      <c r="P122" s="776"/>
      <c r="Q122" s="777" t="s">
        <v>283</v>
      </c>
      <c r="R122" s="762" t="s">
        <v>211</v>
      </c>
      <c r="S122" s="768">
        <v>1</v>
      </c>
      <c r="T122" s="769">
        <f t="shared" si="369"/>
        <v>0</v>
      </c>
      <c r="U122" s="772">
        <f t="shared" si="370"/>
        <v>0</v>
      </c>
      <c r="V122" s="771">
        <v>0</v>
      </c>
      <c r="W122" s="772">
        <f t="shared" si="371"/>
        <v>0</v>
      </c>
      <c r="X122" s="773"/>
      <c r="Y122" s="773"/>
      <c r="Z122" s="772">
        <f t="shared" si="372"/>
        <v>0</v>
      </c>
      <c r="AA122" s="772">
        <f t="shared" si="373"/>
        <v>0</v>
      </c>
      <c r="AB122" s="772">
        <f t="shared" si="374"/>
        <v>0</v>
      </c>
      <c r="AC122" s="772">
        <f t="shared" si="375"/>
        <v>0</v>
      </c>
      <c r="AD122" s="772">
        <f t="shared" si="376"/>
        <v>0</v>
      </c>
      <c r="AE122" s="772">
        <f t="shared" si="377"/>
        <v>0</v>
      </c>
      <c r="AF122" s="774">
        <f t="shared" si="378"/>
        <v>0</v>
      </c>
      <c r="AG122" s="772">
        <f t="shared" si="379"/>
        <v>0</v>
      </c>
      <c r="AH122" s="772">
        <f t="shared" si="380"/>
        <v>0</v>
      </c>
      <c r="AI122" s="769">
        <f t="shared" si="381"/>
        <v>0</v>
      </c>
      <c r="AJ122" s="772">
        <f t="shared" si="382"/>
        <v>0</v>
      </c>
      <c r="AK122" s="769">
        <f t="shared" si="383"/>
        <v>0</v>
      </c>
      <c r="AL122" s="769">
        <f t="shared" si="384"/>
        <v>0</v>
      </c>
      <c r="AM122" s="769">
        <f t="shared" si="385"/>
        <v>0</v>
      </c>
      <c r="AN122" s="769">
        <f t="shared" si="386"/>
        <v>0</v>
      </c>
      <c r="AO122" s="769">
        <f t="shared" si="387"/>
        <v>0</v>
      </c>
      <c r="AP122" s="769">
        <f t="shared" si="388"/>
        <v>0</v>
      </c>
      <c r="AQ122" s="769">
        <f t="shared" si="389"/>
        <v>0</v>
      </c>
      <c r="AR122" s="769">
        <f t="shared" si="390"/>
        <v>0</v>
      </c>
      <c r="AS122" s="769">
        <v>0</v>
      </c>
      <c r="AT122" s="769">
        <f t="shared" si="391"/>
        <v>0</v>
      </c>
      <c r="AU122" s="769">
        <f t="shared" si="392"/>
        <v>0</v>
      </c>
      <c r="AV122" s="769">
        <f t="shared" si="393"/>
        <v>0</v>
      </c>
      <c r="AW122" s="769">
        <f t="shared" si="394"/>
        <v>0</v>
      </c>
      <c r="AX122" s="769">
        <f t="shared" si="395"/>
        <v>0</v>
      </c>
      <c r="AY122" s="769">
        <f t="shared" si="396"/>
        <v>0</v>
      </c>
      <c r="AZ122" s="769">
        <f t="shared" si="397"/>
        <v>0</v>
      </c>
      <c r="BA122" s="769">
        <f t="shared" si="398"/>
        <v>0</v>
      </c>
      <c r="BB122" s="769">
        <f t="shared" si="399"/>
        <v>0</v>
      </c>
      <c r="BC122" s="769">
        <f t="shared" si="400"/>
        <v>0</v>
      </c>
      <c r="BD122" s="661"/>
      <c r="BF122" s="480"/>
      <c r="BG122" s="480"/>
      <c r="BH122" s="480"/>
      <c r="BI122" s="480"/>
      <c r="BJ122" s="480"/>
      <c r="BK122" s="769">
        <f t="shared" si="401"/>
        <v>0</v>
      </c>
      <c r="BL122" s="769">
        <f t="shared" si="402"/>
        <v>0</v>
      </c>
      <c r="BM122" s="769">
        <f t="shared" si="403"/>
        <v>0</v>
      </c>
      <c r="BN122" s="769">
        <f t="shared" si="404"/>
        <v>0</v>
      </c>
      <c r="BO122" s="769">
        <f t="shared" si="405"/>
        <v>0</v>
      </c>
      <c r="BP122" s="769">
        <f t="shared" si="406"/>
        <v>0</v>
      </c>
    </row>
    <row r="123" spans="1:68" s="775" customFormat="1" ht="15.6">
      <c r="A123" s="762"/>
      <c r="B123" s="763">
        <v>0</v>
      </c>
      <c r="C123" s="763">
        <v>0</v>
      </c>
      <c r="D123" s="763">
        <v>0</v>
      </c>
      <c r="E123" s="763">
        <v>0</v>
      </c>
      <c r="F123" s="763">
        <v>0</v>
      </c>
      <c r="G123" s="689">
        <f t="shared" si="364"/>
        <v>0</v>
      </c>
      <c r="H123" s="764">
        <f t="shared" si="365"/>
        <v>0</v>
      </c>
      <c r="I123" s="763">
        <v>0</v>
      </c>
      <c r="J123" s="689">
        <f t="shared" si="366"/>
        <v>0</v>
      </c>
      <c r="K123" s="764">
        <f t="shared" si="367"/>
        <v>0</v>
      </c>
      <c r="L123" s="763">
        <v>0</v>
      </c>
      <c r="M123" s="689">
        <f t="shared" si="368"/>
        <v>0</v>
      </c>
      <c r="N123" s="765"/>
      <c r="O123" s="776"/>
      <c r="P123" s="776"/>
      <c r="Q123" s="777" t="s">
        <v>284</v>
      </c>
      <c r="R123" s="762" t="s">
        <v>211</v>
      </c>
      <c r="S123" s="768">
        <v>1</v>
      </c>
      <c r="T123" s="769">
        <f t="shared" si="369"/>
        <v>0</v>
      </c>
      <c r="U123" s="772">
        <f t="shared" si="370"/>
        <v>0</v>
      </c>
      <c r="V123" s="771">
        <v>0</v>
      </c>
      <c r="W123" s="772">
        <f t="shared" si="371"/>
        <v>0</v>
      </c>
      <c r="X123" s="773"/>
      <c r="Y123" s="773"/>
      <c r="Z123" s="772">
        <f t="shared" si="372"/>
        <v>0</v>
      </c>
      <c r="AA123" s="772">
        <f t="shared" si="373"/>
        <v>0</v>
      </c>
      <c r="AB123" s="772">
        <f t="shared" si="374"/>
        <v>0</v>
      </c>
      <c r="AC123" s="772">
        <f t="shared" si="375"/>
        <v>0</v>
      </c>
      <c r="AD123" s="772">
        <f t="shared" si="376"/>
        <v>0</v>
      </c>
      <c r="AE123" s="772">
        <f t="shared" si="377"/>
        <v>0</v>
      </c>
      <c r="AF123" s="774">
        <f t="shared" si="378"/>
        <v>0</v>
      </c>
      <c r="AG123" s="772">
        <f t="shared" si="379"/>
        <v>0</v>
      </c>
      <c r="AH123" s="772">
        <f t="shared" si="380"/>
        <v>0</v>
      </c>
      <c r="AI123" s="769">
        <f t="shared" si="381"/>
        <v>0</v>
      </c>
      <c r="AJ123" s="772">
        <f t="shared" si="382"/>
        <v>0</v>
      </c>
      <c r="AK123" s="769">
        <f t="shared" si="383"/>
        <v>0</v>
      </c>
      <c r="AL123" s="769">
        <f t="shared" si="384"/>
        <v>0</v>
      </c>
      <c r="AM123" s="769">
        <f t="shared" si="385"/>
        <v>0</v>
      </c>
      <c r="AN123" s="769">
        <f t="shared" si="386"/>
        <v>0</v>
      </c>
      <c r="AO123" s="769">
        <f t="shared" si="387"/>
        <v>0</v>
      </c>
      <c r="AP123" s="769">
        <f t="shared" si="388"/>
        <v>0</v>
      </c>
      <c r="AQ123" s="769">
        <f t="shared" si="389"/>
        <v>0</v>
      </c>
      <c r="AR123" s="769">
        <f t="shared" si="390"/>
        <v>0</v>
      </c>
      <c r="AS123" s="769">
        <v>0</v>
      </c>
      <c r="AT123" s="769">
        <f t="shared" si="391"/>
        <v>0</v>
      </c>
      <c r="AU123" s="769">
        <f t="shared" si="392"/>
        <v>0</v>
      </c>
      <c r="AV123" s="769">
        <f t="shared" si="393"/>
        <v>0</v>
      </c>
      <c r="AW123" s="769">
        <f t="shared" si="394"/>
        <v>0</v>
      </c>
      <c r="AX123" s="769">
        <f t="shared" si="395"/>
        <v>0</v>
      </c>
      <c r="AY123" s="769">
        <f t="shared" si="396"/>
        <v>0</v>
      </c>
      <c r="AZ123" s="769">
        <f t="shared" si="397"/>
        <v>0</v>
      </c>
      <c r="BA123" s="769">
        <f t="shared" si="398"/>
        <v>0</v>
      </c>
      <c r="BB123" s="769">
        <f t="shared" si="399"/>
        <v>0</v>
      </c>
      <c r="BC123" s="769">
        <f t="shared" si="400"/>
        <v>0</v>
      </c>
      <c r="BD123" s="661"/>
      <c r="BF123" s="480"/>
      <c r="BG123" s="480"/>
      <c r="BH123" s="480"/>
      <c r="BI123" s="480"/>
      <c r="BJ123" s="480"/>
      <c r="BK123" s="769">
        <f t="shared" si="401"/>
        <v>0</v>
      </c>
      <c r="BL123" s="769">
        <f t="shared" si="402"/>
        <v>0</v>
      </c>
      <c r="BM123" s="769">
        <f t="shared" si="403"/>
        <v>0</v>
      </c>
      <c r="BN123" s="769">
        <f t="shared" si="404"/>
        <v>0</v>
      </c>
      <c r="BO123" s="769">
        <f t="shared" si="405"/>
        <v>0</v>
      </c>
      <c r="BP123" s="769">
        <f t="shared" si="406"/>
        <v>0</v>
      </c>
    </row>
    <row r="124" spans="1:68" s="775" customFormat="1" ht="15.6">
      <c r="A124" s="762"/>
      <c r="B124" s="763"/>
      <c r="C124" s="763"/>
      <c r="D124" s="763"/>
      <c r="E124" s="763"/>
      <c r="F124" s="763"/>
      <c r="G124" s="689"/>
      <c r="H124" s="764"/>
      <c r="I124" s="763"/>
      <c r="J124" s="689"/>
      <c r="K124" s="764"/>
      <c r="L124" s="763"/>
      <c r="M124" s="689"/>
      <c r="N124" s="765"/>
      <c r="O124" s="776"/>
      <c r="P124" s="776"/>
      <c r="Q124" s="777"/>
      <c r="R124" s="762"/>
      <c r="S124" s="768"/>
      <c r="T124" s="769"/>
      <c r="U124" s="772"/>
      <c r="V124" s="771"/>
      <c r="W124" s="772"/>
      <c r="X124" s="773"/>
      <c r="Y124" s="773"/>
      <c r="Z124" s="772"/>
      <c r="AA124" s="772"/>
      <c r="AB124" s="772"/>
      <c r="AC124" s="772"/>
      <c r="AD124" s="772"/>
      <c r="AE124" s="772"/>
      <c r="AF124" s="774"/>
      <c r="AG124" s="772"/>
      <c r="AH124" s="772"/>
      <c r="AI124" s="769"/>
      <c r="AJ124" s="772"/>
      <c r="AK124" s="769"/>
      <c r="AL124" s="769"/>
      <c r="AM124" s="769"/>
      <c r="AN124" s="769"/>
      <c r="AO124" s="769"/>
      <c r="AP124" s="769"/>
      <c r="AQ124" s="769"/>
      <c r="AR124" s="769"/>
      <c r="AS124" s="769"/>
      <c r="AT124" s="769"/>
      <c r="AU124" s="769"/>
      <c r="AV124" s="769"/>
      <c r="AW124" s="769"/>
      <c r="AX124" s="769"/>
      <c r="AY124" s="769"/>
      <c r="AZ124" s="769"/>
      <c r="BA124" s="769"/>
      <c r="BB124" s="769"/>
      <c r="BC124" s="769"/>
      <c r="BD124" s="661"/>
      <c r="BF124" s="480"/>
      <c r="BG124" s="480"/>
      <c r="BH124" s="480"/>
      <c r="BI124" s="480"/>
      <c r="BJ124" s="480"/>
      <c r="BK124" s="769"/>
      <c r="BL124" s="769"/>
      <c r="BM124" s="769"/>
      <c r="BN124" s="769"/>
      <c r="BO124" s="769"/>
      <c r="BP124" s="769"/>
    </row>
    <row r="125" spans="1:68" s="775" customFormat="1" ht="15.6">
      <c r="A125" s="762"/>
      <c r="B125" s="763"/>
      <c r="C125" s="763"/>
      <c r="D125" s="763"/>
      <c r="E125" s="763"/>
      <c r="F125" s="763"/>
      <c r="G125" s="689"/>
      <c r="H125" s="764"/>
      <c r="I125" s="763"/>
      <c r="J125" s="689"/>
      <c r="K125" s="764"/>
      <c r="L125" s="763"/>
      <c r="M125" s="689"/>
      <c r="N125" s="765"/>
      <c r="O125" s="766">
        <v>14</v>
      </c>
      <c r="P125" s="766" t="s">
        <v>285</v>
      </c>
      <c r="Q125" s="767"/>
      <c r="R125" s="762"/>
      <c r="S125" s="768"/>
      <c r="T125" s="769"/>
      <c r="U125" s="770" t="s">
        <v>437</v>
      </c>
      <c r="V125" s="771"/>
      <c r="W125" s="772"/>
      <c r="X125" s="773"/>
      <c r="Y125" s="773"/>
      <c r="Z125" s="772"/>
      <c r="AA125" s="772"/>
      <c r="AB125" s="772"/>
      <c r="AC125" s="772"/>
      <c r="AD125" s="772"/>
      <c r="AE125" s="772"/>
      <c r="AF125" s="774"/>
      <c r="AG125" s="772"/>
      <c r="AH125" s="772"/>
      <c r="AI125" s="769"/>
      <c r="AJ125" s="772"/>
      <c r="AK125" s="769"/>
      <c r="AL125" s="769"/>
      <c r="AM125" s="769"/>
      <c r="AN125" s="769"/>
      <c r="AO125" s="769"/>
      <c r="AP125" s="769"/>
      <c r="AQ125" s="769"/>
      <c r="AR125" s="769"/>
      <c r="AS125" s="769"/>
      <c r="AT125" s="769"/>
      <c r="AU125" s="769"/>
      <c r="AV125" s="769"/>
      <c r="AW125" s="769"/>
      <c r="AX125" s="769"/>
      <c r="AY125" s="769"/>
      <c r="AZ125" s="769"/>
      <c r="BA125" s="769"/>
      <c r="BB125" s="769"/>
      <c r="BC125" s="769"/>
      <c r="BD125" s="661"/>
      <c r="BF125" s="480"/>
      <c r="BG125" s="480"/>
      <c r="BH125" s="480"/>
      <c r="BI125" s="480"/>
      <c r="BJ125" s="480"/>
      <c r="BK125" s="769"/>
      <c r="BL125" s="769"/>
      <c r="BM125" s="769"/>
      <c r="BN125" s="769"/>
      <c r="BO125" s="769"/>
      <c r="BP125" s="769"/>
    </row>
    <row r="126" spans="1:68" s="775" customFormat="1" ht="15.6">
      <c r="A126" s="762"/>
      <c r="B126" s="763"/>
      <c r="C126" s="763"/>
      <c r="D126" s="763"/>
      <c r="E126" s="763"/>
      <c r="F126" s="763"/>
      <c r="G126" s="689"/>
      <c r="H126" s="764"/>
      <c r="I126" s="763"/>
      <c r="J126" s="689"/>
      <c r="K126" s="764"/>
      <c r="L126" s="763"/>
      <c r="M126" s="689"/>
      <c r="N126" s="765"/>
      <c r="O126" s="776"/>
      <c r="P126" s="776"/>
      <c r="Q126" s="777"/>
      <c r="R126" s="762"/>
      <c r="S126" s="768"/>
      <c r="T126" s="769"/>
      <c r="U126" s="772"/>
      <c r="V126" s="771"/>
      <c r="W126" s="772"/>
      <c r="X126" s="773"/>
      <c r="Y126" s="773"/>
      <c r="Z126" s="772"/>
      <c r="AA126" s="772"/>
      <c r="AB126" s="772"/>
      <c r="AC126" s="772"/>
      <c r="AD126" s="772"/>
      <c r="AE126" s="772"/>
      <c r="AF126" s="774"/>
      <c r="AG126" s="772"/>
      <c r="AH126" s="772"/>
      <c r="AI126" s="769"/>
      <c r="AJ126" s="772"/>
      <c r="AK126" s="769"/>
      <c r="AL126" s="769"/>
      <c r="AM126" s="769"/>
      <c r="AN126" s="769"/>
      <c r="AO126" s="769"/>
      <c r="AP126" s="769"/>
      <c r="AQ126" s="769"/>
      <c r="AR126" s="769"/>
      <c r="AS126" s="769"/>
      <c r="AT126" s="769"/>
      <c r="AU126" s="769"/>
      <c r="AV126" s="769"/>
      <c r="AW126" s="769"/>
      <c r="AX126" s="769"/>
      <c r="AY126" s="769"/>
      <c r="AZ126" s="769"/>
      <c r="BA126" s="769"/>
      <c r="BB126" s="769"/>
      <c r="BC126" s="769"/>
      <c r="BD126" s="661"/>
      <c r="BF126" s="480"/>
      <c r="BG126" s="480"/>
      <c r="BH126" s="480"/>
      <c r="BI126" s="480"/>
      <c r="BJ126" s="480"/>
      <c r="BK126" s="769"/>
      <c r="BL126" s="769"/>
      <c r="BM126" s="769"/>
      <c r="BN126" s="769"/>
      <c r="BO126" s="769"/>
      <c r="BP126" s="769"/>
    </row>
    <row r="127" spans="1:68" s="775" customFormat="1" ht="15.6">
      <c r="A127" s="762"/>
      <c r="B127" s="763">
        <v>0</v>
      </c>
      <c r="C127" s="763">
        <v>0</v>
      </c>
      <c r="D127" s="763">
        <v>0</v>
      </c>
      <c r="E127" s="763">
        <v>0</v>
      </c>
      <c r="F127" s="763">
        <v>0</v>
      </c>
      <c r="G127" s="689">
        <f>+G$4</f>
        <v>0</v>
      </c>
      <c r="H127" s="764">
        <f>AM127+AN127</f>
        <v>0</v>
      </c>
      <c r="I127" s="763">
        <v>0</v>
      </c>
      <c r="J127" s="689">
        <f>+J$4</f>
        <v>0</v>
      </c>
      <c r="K127" s="764">
        <f>AR127+AT127+AV127+AX127</f>
        <v>0</v>
      </c>
      <c r="L127" s="763">
        <v>0</v>
      </c>
      <c r="M127" s="689">
        <f>+M$4</f>
        <v>0</v>
      </c>
      <c r="N127" s="765"/>
      <c r="O127" s="776"/>
      <c r="P127" s="776"/>
      <c r="Q127" s="777" t="s">
        <v>286</v>
      </c>
      <c r="R127" s="762" t="s">
        <v>211</v>
      </c>
      <c r="S127" s="768">
        <v>1</v>
      </c>
      <c r="T127" s="769">
        <f t="shared" ref="T127:T128" si="407">_xlfn.IFNA(ROUNDUP(AF127+AJ127+AO127+AQ127+L127+AS127+AU127+AW127+F127+AZ127+BB127,2),0)</f>
        <v>0</v>
      </c>
      <c r="U127" s="772">
        <f t="shared" ref="U127:U128" si="408">ROUND(T127*ROUNDUP(S127,1),2)</f>
        <v>0</v>
      </c>
      <c r="V127" s="771">
        <v>0</v>
      </c>
      <c r="W127" s="772">
        <f t="shared" ref="W127:W128" si="409">ROUND(+U127*V127,2)</f>
        <v>0</v>
      </c>
      <c r="X127" s="773"/>
      <c r="Y127" s="773"/>
      <c r="Z127" s="772">
        <f t="shared" ref="Z127:Z128" si="410">_xlfn.IFNA(ROUNDUP(AJ127*U127,2),0)</f>
        <v>0</v>
      </c>
      <c r="AA127" s="772">
        <f t="shared" ref="AA127:AA128" si="411">_xlfn.IFNA(ROUNDUP(AK127*V127,2),0)</f>
        <v>0</v>
      </c>
      <c r="AB127" s="772">
        <f t="shared" ref="AB127:AB128" si="412">ROUNDUP((AP127+AL127)*V127,2)</f>
        <v>0</v>
      </c>
      <c r="AC127" s="772">
        <f t="shared" ref="AC127:AC128" si="413">_xlfn.IFNA(ROUNDUP((AT127+AV127+AR127)*V127,2),0)</f>
        <v>0</v>
      </c>
      <c r="AD127" s="772">
        <f t="shared" ref="AD127:AD128" si="414">_xlfn.IFNA(ROUNDUP((BA127+AY127)*V127,2),0)</f>
        <v>0</v>
      </c>
      <c r="AE127" s="772">
        <f t="shared" ref="AE127:AE128" si="415">_xlfn.IFNA((BC127+AX127+AG127)*V127,0)</f>
        <v>0</v>
      </c>
      <c r="AF127" s="774">
        <f t="shared" ref="AF127:AF128" si="416">+_xlfn.IFNA(D127,0)</f>
        <v>0</v>
      </c>
      <c r="AG127" s="772">
        <f t="shared" ref="AG127:AG128" si="417">_xlfn.IFNA(ROUNDUP(D127*S127,2),0)</f>
        <v>0</v>
      </c>
      <c r="AH127" s="772">
        <f t="shared" ref="AH127:AH128" si="418">+_xlfn.IFNA(C127,0)</f>
        <v>0</v>
      </c>
      <c r="AI127" s="769">
        <f t="shared" ref="AI127:AI128" si="419">_xlfn.IFNA(C127*S127,0)</f>
        <v>0</v>
      </c>
      <c r="AJ127" s="772">
        <f t="shared" ref="AJ127:AJ128" si="420">+_xlfn.IFNA(E127,0)</f>
        <v>0</v>
      </c>
      <c r="AK127" s="769">
        <f t="shared" ref="AK127:AK128" si="421">_xlfn.IFNA(E127*S127,0)</f>
        <v>0</v>
      </c>
      <c r="AL127" s="769">
        <f t="shared" ref="AL127:AL128" si="422">ROUNDUP(S127*AQ127,2)</f>
        <v>0</v>
      </c>
      <c r="AM127" s="769">
        <f t="shared" ref="AM127:AM128" si="423">ROUNDUP(+I127*S127,2)</f>
        <v>0</v>
      </c>
      <c r="AN127" s="769">
        <f t="shared" ref="AN127:AN128" si="424">J127*I127*S127</f>
        <v>0</v>
      </c>
      <c r="AO127" s="769">
        <f t="shared" ref="AO127:AO128" si="425">ROUNDUP(I127*I$4*J127,2)</f>
        <v>0</v>
      </c>
      <c r="AP127" s="769">
        <f t="shared" ref="AP127:AP128" si="426">AO127*S127</f>
        <v>0</v>
      </c>
      <c r="AQ127" s="769">
        <f t="shared" ref="AQ127:AQ128" si="427">IF(I127=0,0,ROUNDUP(I$4*I127,2))</f>
        <v>0</v>
      </c>
      <c r="AR127" s="769">
        <f t="shared" ref="AR127:AR128" si="428">+_xlfn.IFNA(ROUNDUP(L127*ROUNDUP(S127,1),2),0)</f>
        <v>0</v>
      </c>
      <c r="AS127" s="769">
        <v>0</v>
      </c>
      <c r="AT127" s="769">
        <f t="shared" ref="AT127:AT128" si="429">+ROUNDUP(AS127*S127,2)</f>
        <v>0</v>
      </c>
      <c r="AU127" s="769">
        <f t="shared" ref="AU127:AU128" si="430">_xlfn.IFNA(ROUNDUP((L127+AS127)*M127,2),0)</f>
        <v>0</v>
      </c>
      <c r="AV127" s="769">
        <f t="shared" ref="AV127:AV128" si="431">ROUNDUP(AU127*S127,2)</f>
        <v>0</v>
      </c>
      <c r="AW127" s="769">
        <f t="shared" ref="AW127:AW128" si="432">_xlfn.IFNA(ROUNDUP((L127+AS127+AU127)*(L$4)*L$3,2),0)</f>
        <v>0</v>
      </c>
      <c r="AX127" s="769">
        <f t="shared" ref="AX127:AX128" si="433">ROUNDUP(+AW127*ROUNDUP(S127,1),2)</f>
        <v>0</v>
      </c>
      <c r="AY127" s="769">
        <f t="shared" ref="AY127:AY128" si="434">_xlfn.IFNA(ROUNDUP(F127*S127,2),0)</f>
        <v>0</v>
      </c>
      <c r="AZ127" s="769">
        <f t="shared" ref="AZ127:AZ128" si="435">_xlfn.IFNA(ROUNDUP(F127*G127,2),0)</f>
        <v>0</v>
      </c>
      <c r="BA127" s="769">
        <f t="shared" ref="BA127:BA128" si="436">ROUNDUP(AZ127*S127,2)</f>
        <v>0</v>
      </c>
      <c r="BB127" s="769">
        <f t="shared" ref="BB127:BB128" si="437">_xlfn.IFNA(ROUNDUP((ROUNDUP(F127+AZ127,2)*F$4)*F$3,2),0)</f>
        <v>0</v>
      </c>
      <c r="BC127" s="769">
        <f t="shared" ref="BC127:BC128" si="438">BB127*S127</f>
        <v>0</v>
      </c>
      <c r="BD127" s="661"/>
      <c r="BF127" s="480"/>
      <c r="BG127" s="480"/>
      <c r="BH127" s="480"/>
      <c r="BI127" s="480"/>
      <c r="BJ127" s="480"/>
      <c r="BK127" s="769">
        <f>IF(BK$7=$Y127,(+$AL127+$AP127),(0))</f>
        <v>0</v>
      </c>
      <c r="BL127" s="769">
        <f>IF(BL$7=$Y127,(+BK127*$V127),(0))</f>
        <v>0</v>
      </c>
      <c r="BM127" s="769">
        <f>IF(BM$7=$Y127,(+$AR127+$AT127+$AV127),(0))</f>
        <v>0</v>
      </c>
      <c r="BN127" s="769">
        <f>IF(BN$7=$Y127,(+BM127*$V127),(0))</f>
        <v>0</v>
      </c>
      <c r="BO127" s="769">
        <f>IF(BO$7=$X127,($AY127+$BA127),(0))</f>
        <v>0</v>
      </c>
      <c r="BP127" s="769">
        <f>IF(BP$7=$X127,(+BO127*$V127),(0))</f>
        <v>0</v>
      </c>
    </row>
    <row r="128" spans="1:68" s="775" customFormat="1" ht="15.6">
      <c r="A128" s="762"/>
      <c r="B128" s="763">
        <v>0</v>
      </c>
      <c r="C128" s="763">
        <v>0</v>
      </c>
      <c r="D128" s="763">
        <v>0</v>
      </c>
      <c r="E128" s="763">
        <v>0</v>
      </c>
      <c r="F128" s="763">
        <v>0</v>
      </c>
      <c r="G128" s="689">
        <f>+G$4</f>
        <v>0</v>
      </c>
      <c r="H128" s="764">
        <f>AM128+AN128</f>
        <v>0</v>
      </c>
      <c r="I128" s="763">
        <v>0</v>
      </c>
      <c r="J128" s="689">
        <f>+J$4</f>
        <v>0</v>
      </c>
      <c r="K128" s="764">
        <f>AR128+AT128+AV128+AX128</f>
        <v>0</v>
      </c>
      <c r="L128" s="763">
        <v>0</v>
      </c>
      <c r="M128" s="689">
        <f>+M$4</f>
        <v>0</v>
      </c>
      <c r="N128" s="765"/>
      <c r="O128" s="776"/>
      <c r="P128" s="776"/>
      <c r="Q128" s="777" t="s">
        <v>287</v>
      </c>
      <c r="R128" s="762" t="s">
        <v>211</v>
      </c>
      <c r="S128" s="768">
        <v>1</v>
      </c>
      <c r="T128" s="769">
        <f t="shared" si="407"/>
        <v>0</v>
      </c>
      <c r="U128" s="772">
        <f t="shared" si="408"/>
        <v>0</v>
      </c>
      <c r="V128" s="771">
        <v>0</v>
      </c>
      <c r="W128" s="772">
        <f t="shared" si="409"/>
        <v>0</v>
      </c>
      <c r="X128" s="773"/>
      <c r="Y128" s="773"/>
      <c r="Z128" s="772">
        <f t="shared" si="410"/>
        <v>0</v>
      </c>
      <c r="AA128" s="772">
        <f t="shared" si="411"/>
        <v>0</v>
      </c>
      <c r="AB128" s="772">
        <f t="shared" si="412"/>
        <v>0</v>
      </c>
      <c r="AC128" s="772">
        <f t="shared" si="413"/>
        <v>0</v>
      </c>
      <c r="AD128" s="772">
        <f t="shared" si="414"/>
        <v>0</v>
      </c>
      <c r="AE128" s="772">
        <f t="shared" si="415"/>
        <v>0</v>
      </c>
      <c r="AF128" s="774">
        <f t="shared" si="416"/>
        <v>0</v>
      </c>
      <c r="AG128" s="772">
        <f t="shared" si="417"/>
        <v>0</v>
      </c>
      <c r="AH128" s="772">
        <f t="shared" si="418"/>
        <v>0</v>
      </c>
      <c r="AI128" s="769">
        <f t="shared" si="419"/>
        <v>0</v>
      </c>
      <c r="AJ128" s="772">
        <f t="shared" si="420"/>
        <v>0</v>
      </c>
      <c r="AK128" s="769">
        <f t="shared" si="421"/>
        <v>0</v>
      </c>
      <c r="AL128" s="769">
        <f t="shared" si="422"/>
        <v>0</v>
      </c>
      <c r="AM128" s="769">
        <f t="shared" si="423"/>
        <v>0</v>
      </c>
      <c r="AN128" s="769">
        <f t="shared" si="424"/>
        <v>0</v>
      </c>
      <c r="AO128" s="769">
        <f t="shared" si="425"/>
        <v>0</v>
      </c>
      <c r="AP128" s="769">
        <f t="shared" si="426"/>
        <v>0</v>
      </c>
      <c r="AQ128" s="769">
        <f t="shared" si="427"/>
        <v>0</v>
      </c>
      <c r="AR128" s="769">
        <f t="shared" si="428"/>
        <v>0</v>
      </c>
      <c r="AS128" s="769">
        <v>0</v>
      </c>
      <c r="AT128" s="769">
        <f t="shared" si="429"/>
        <v>0</v>
      </c>
      <c r="AU128" s="769">
        <f t="shared" si="430"/>
        <v>0</v>
      </c>
      <c r="AV128" s="769">
        <f t="shared" si="431"/>
        <v>0</v>
      </c>
      <c r="AW128" s="769">
        <f t="shared" si="432"/>
        <v>0</v>
      </c>
      <c r="AX128" s="769">
        <f t="shared" si="433"/>
        <v>0</v>
      </c>
      <c r="AY128" s="769">
        <f t="shared" si="434"/>
        <v>0</v>
      </c>
      <c r="AZ128" s="769">
        <f t="shared" si="435"/>
        <v>0</v>
      </c>
      <c r="BA128" s="769">
        <f t="shared" si="436"/>
        <v>0</v>
      </c>
      <c r="BB128" s="769">
        <f t="shared" si="437"/>
        <v>0</v>
      </c>
      <c r="BC128" s="769">
        <f t="shared" si="438"/>
        <v>0</v>
      </c>
      <c r="BD128" s="661"/>
      <c r="BF128" s="480"/>
      <c r="BG128" s="480"/>
      <c r="BH128" s="480"/>
      <c r="BI128" s="480"/>
      <c r="BJ128" s="480"/>
      <c r="BK128" s="769">
        <f>IF(BK$7=$Y128,(+$AL128+$AP128),(0))</f>
        <v>0</v>
      </c>
      <c r="BL128" s="769">
        <f>IF(BL$7=$Y128,(+BK128*$V128),(0))</f>
        <v>0</v>
      </c>
      <c r="BM128" s="769">
        <f>IF(BM$7=$Y128,(+$AR128+$AT128+$AV128),(0))</f>
        <v>0</v>
      </c>
      <c r="BN128" s="769">
        <f>IF(BN$7=$Y128,(+BM128*$V128),(0))</f>
        <v>0</v>
      </c>
      <c r="BO128" s="769">
        <f>IF(BO$7=$X128,($AY128+$BA128),(0))</f>
        <v>0</v>
      </c>
      <c r="BP128" s="769">
        <f>IF(BP$7=$X128,(+BO128*$V128),(0))</f>
        <v>0</v>
      </c>
    </row>
    <row r="129" spans="1:68" s="775" customFormat="1" ht="15.6">
      <c r="A129" s="762"/>
      <c r="B129" s="763"/>
      <c r="C129" s="763"/>
      <c r="D129" s="763"/>
      <c r="E129" s="763"/>
      <c r="F129" s="763"/>
      <c r="G129" s="689"/>
      <c r="H129" s="764"/>
      <c r="I129" s="763"/>
      <c r="J129" s="689"/>
      <c r="K129" s="764"/>
      <c r="L129" s="763"/>
      <c r="M129" s="689"/>
      <c r="N129" s="765"/>
      <c r="O129" s="776"/>
      <c r="P129" s="776"/>
      <c r="Q129" s="777"/>
      <c r="R129" s="762"/>
      <c r="S129" s="768"/>
      <c r="T129" s="769"/>
      <c r="U129" s="772"/>
      <c r="V129" s="771"/>
      <c r="W129" s="772"/>
      <c r="X129" s="773"/>
      <c r="Y129" s="773"/>
      <c r="Z129" s="772"/>
      <c r="AA129" s="772"/>
      <c r="AB129" s="772"/>
      <c r="AC129" s="772"/>
      <c r="AD129" s="772"/>
      <c r="AE129" s="772"/>
      <c r="AF129" s="774"/>
      <c r="AG129" s="772"/>
      <c r="AH129" s="772"/>
      <c r="AI129" s="769"/>
      <c r="AJ129" s="772"/>
      <c r="AK129" s="769"/>
      <c r="AL129" s="769"/>
      <c r="AM129" s="769"/>
      <c r="AN129" s="769"/>
      <c r="AO129" s="769"/>
      <c r="AP129" s="769"/>
      <c r="AQ129" s="769"/>
      <c r="AR129" s="769"/>
      <c r="AS129" s="769"/>
      <c r="AT129" s="769"/>
      <c r="AU129" s="769"/>
      <c r="AV129" s="769"/>
      <c r="AW129" s="769"/>
      <c r="AX129" s="769"/>
      <c r="AY129" s="769"/>
      <c r="AZ129" s="769"/>
      <c r="BA129" s="769"/>
      <c r="BB129" s="769"/>
      <c r="BC129" s="769"/>
      <c r="BD129" s="661"/>
      <c r="BF129" s="480"/>
      <c r="BG129" s="480"/>
      <c r="BH129" s="480"/>
      <c r="BI129" s="480"/>
      <c r="BJ129" s="480"/>
      <c r="BK129" s="769"/>
      <c r="BL129" s="769"/>
      <c r="BM129" s="769"/>
      <c r="BN129" s="769"/>
      <c r="BO129" s="769"/>
      <c r="BP129" s="769"/>
    </row>
    <row r="130" spans="1:68" s="775" customFormat="1" ht="15.6">
      <c r="A130" s="762"/>
      <c r="B130" s="763"/>
      <c r="C130" s="763"/>
      <c r="D130" s="763"/>
      <c r="E130" s="763"/>
      <c r="F130" s="763"/>
      <c r="G130" s="689"/>
      <c r="H130" s="764"/>
      <c r="I130" s="763"/>
      <c r="J130" s="689"/>
      <c r="K130" s="764"/>
      <c r="L130" s="763"/>
      <c r="M130" s="689"/>
      <c r="N130" s="765"/>
      <c r="O130" s="766">
        <v>15</v>
      </c>
      <c r="P130" s="766" t="s">
        <v>299</v>
      </c>
      <c r="Q130" s="767"/>
      <c r="R130" s="762"/>
      <c r="S130" s="768"/>
      <c r="T130" s="769"/>
      <c r="U130" s="770" t="s">
        <v>437</v>
      </c>
      <c r="V130" s="771"/>
      <c r="W130" s="772"/>
      <c r="X130" s="773"/>
      <c r="Y130" s="773"/>
      <c r="Z130" s="772"/>
      <c r="AA130" s="772"/>
      <c r="AB130" s="772"/>
      <c r="AC130" s="772"/>
      <c r="AD130" s="772"/>
      <c r="AE130" s="772"/>
      <c r="AF130" s="774"/>
      <c r="AG130" s="772"/>
      <c r="AH130" s="772"/>
      <c r="AI130" s="769"/>
      <c r="AJ130" s="772"/>
      <c r="AK130" s="769"/>
      <c r="AL130" s="769"/>
      <c r="AM130" s="769"/>
      <c r="AN130" s="769"/>
      <c r="AO130" s="769"/>
      <c r="AP130" s="769"/>
      <c r="AQ130" s="769"/>
      <c r="AR130" s="769"/>
      <c r="AS130" s="769"/>
      <c r="AT130" s="769"/>
      <c r="AU130" s="769"/>
      <c r="AV130" s="769"/>
      <c r="AW130" s="769"/>
      <c r="AX130" s="769"/>
      <c r="AY130" s="769"/>
      <c r="AZ130" s="769"/>
      <c r="BA130" s="769"/>
      <c r="BB130" s="769"/>
      <c r="BC130" s="769"/>
      <c r="BD130" s="661"/>
      <c r="BF130" s="480"/>
      <c r="BG130" s="480"/>
      <c r="BH130" s="480"/>
      <c r="BI130" s="480"/>
      <c r="BJ130" s="480"/>
      <c r="BK130" s="769"/>
      <c r="BL130" s="769"/>
      <c r="BM130" s="769"/>
      <c r="BN130" s="769"/>
      <c r="BO130" s="769"/>
      <c r="BP130" s="769"/>
    </row>
    <row r="131" spans="1:68" s="775" customFormat="1" ht="15.6">
      <c r="A131" s="762"/>
      <c r="B131" s="763"/>
      <c r="C131" s="763"/>
      <c r="D131" s="763"/>
      <c r="E131" s="763"/>
      <c r="F131" s="763"/>
      <c r="G131" s="689"/>
      <c r="H131" s="764"/>
      <c r="I131" s="763"/>
      <c r="J131" s="689"/>
      <c r="K131" s="764"/>
      <c r="L131" s="763"/>
      <c r="M131" s="689"/>
      <c r="N131" s="765"/>
      <c r="O131" s="776"/>
      <c r="P131" s="776"/>
      <c r="Q131" s="777"/>
      <c r="R131" s="762"/>
      <c r="S131" s="768"/>
      <c r="T131" s="769"/>
      <c r="U131" s="772"/>
      <c r="V131" s="771"/>
      <c r="W131" s="772"/>
      <c r="X131" s="773"/>
      <c r="Y131" s="773"/>
      <c r="Z131" s="772"/>
      <c r="AA131" s="772"/>
      <c r="AB131" s="772"/>
      <c r="AC131" s="772"/>
      <c r="AD131" s="772"/>
      <c r="AE131" s="772"/>
      <c r="AF131" s="774"/>
      <c r="AG131" s="772"/>
      <c r="AH131" s="772"/>
      <c r="AI131" s="769"/>
      <c r="AJ131" s="772"/>
      <c r="AK131" s="769"/>
      <c r="AL131" s="769"/>
      <c r="AM131" s="769"/>
      <c r="AN131" s="769"/>
      <c r="AO131" s="769"/>
      <c r="AP131" s="769"/>
      <c r="AQ131" s="769"/>
      <c r="AR131" s="769"/>
      <c r="AS131" s="769"/>
      <c r="AT131" s="769"/>
      <c r="AU131" s="769"/>
      <c r="AV131" s="769"/>
      <c r="AW131" s="769"/>
      <c r="AX131" s="769"/>
      <c r="AY131" s="769"/>
      <c r="AZ131" s="769"/>
      <c r="BA131" s="769"/>
      <c r="BB131" s="769"/>
      <c r="BC131" s="769"/>
      <c r="BD131" s="661"/>
      <c r="BF131" s="480"/>
      <c r="BG131" s="480"/>
      <c r="BH131" s="480"/>
      <c r="BI131" s="480"/>
      <c r="BJ131" s="480"/>
      <c r="BK131" s="769"/>
      <c r="BL131" s="769"/>
      <c r="BM131" s="769"/>
      <c r="BN131" s="769"/>
      <c r="BO131" s="769"/>
      <c r="BP131" s="769"/>
    </row>
    <row r="132" spans="1:68" s="775" customFormat="1" ht="15.6">
      <c r="A132" s="762"/>
      <c r="B132" s="763">
        <v>0</v>
      </c>
      <c r="C132" s="763">
        <v>0</v>
      </c>
      <c r="D132" s="763">
        <v>0</v>
      </c>
      <c r="E132" s="763">
        <v>0</v>
      </c>
      <c r="F132" s="763">
        <v>0</v>
      </c>
      <c r="G132" s="689">
        <f>+G$4</f>
        <v>0</v>
      </c>
      <c r="H132" s="764">
        <f>AM132+AN132</f>
        <v>0</v>
      </c>
      <c r="I132" s="763">
        <v>0</v>
      </c>
      <c r="J132" s="689">
        <f>+J$4</f>
        <v>0</v>
      </c>
      <c r="K132" s="764">
        <f>AR132+AT132+AV132+AX132</f>
        <v>0</v>
      </c>
      <c r="L132" s="763">
        <v>0</v>
      </c>
      <c r="M132" s="689">
        <f>+M$4</f>
        <v>0</v>
      </c>
      <c r="N132" s="765"/>
      <c r="O132" s="776"/>
      <c r="P132" s="776" t="s">
        <v>300</v>
      </c>
      <c r="Q132" s="777" t="s">
        <v>301</v>
      </c>
      <c r="R132" s="762" t="s">
        <v>231</v>
      </c>
      <c r="S132" s="768">
        <v>1</v>
      </c>
      <c r="T132" s="769">
        <f t="shared" ref="T132:T135" si="439">_xlfn.IFNA(ROUNDUP(AF132+AJ132+AO132+AQ132+L132+AS132+AU132+AW132+F132+AZ132+BB132,2),0)</f>
        <v>0</v>
      </c>
      <c r="U132" s="772">
        <f t="shared" ref="U132:U135" si="440">ROUND(T132*ROUNDUP(S132,1),2)</f>
        <v>0</v>
      </c>
      <c r="V132" s="771">
        <v>0</v>
      </c>
      <c r="W132" s="772">
        <f t="shared" ref="W132:W135" si="441">ROUND(+U132*V132,2)</f>
        <v>0</v>
      </c>
      <c r="X132" s="773"/>
      <c r="Y132" s="773"/>
      <c r="Z132" s="772">
        <f t="shared" ref="Z132:Z135" si="442">_xlfn.IFNA(ROUNDUP(AJ132*U132,2),0)</f>
        <v>0</v>
      </c>
      <c r="AA132" s="772">
        <f t="shared" ref="AA132:AA135" si="443">_xlfn.IFNA(ROUNDUP(AK132*V132,2),0)</f>
        <v>0</v>
      </c>
      <c r="AB132" s="772">
        <f t="shared" ref="AB132:AB135" si="444">ROUNDUP((AP132+AL132)*V132,2)</f>
        <v>0</v>
      </c>
      <c r="AC132" s="772">
        <f t="shared" ref="AC132:AC135" si="445">_xlfn.IFNA(ROUNDUP((AT132+AV132+AR132)*V132,2),0)</f>
        <v>0</v>
      </c>
      <c r="AD132" s="772">
        <f t="shared" ref="AD132:AD135" si="446">_xlfn.IFNA(ROUNDUP((BA132+AY132)*V132,2),0)</f>
        <v>0</v>
      </c>
      <c r="AE132" s="772">
        <f t="shared" ref="AE132:AE135" si="447">_xlfn.IFNA((BC132+AX132+AG132)*V132,0)</f>
        <v>0</v>
      </c>
      <c r="AF132" s="774">
        <f t="shared" ref="AF132:AF135" si="448">+_xlfn.IFNA(D132,0)</f>
        <v>0</v>
      </c>
      <c r="AG132" s="772">
        <f t="shared" ref="AG132:AG135" si="449">_xlfn.IFNA(ROUNDUP(D132*S132,2),0)</f>
        <v>0</v>
      </c>
      <c r="AH132" s="772">
        <f t="shared" ref="AH132:AH135" si="450">+_xlfn.IFNA(C132,0)</f>
        <v>0</v>
      </c>
      <c r="AI132" s="769">
        <f t="shared" ref="AI132:AI135" si="451">_xlfn.IFNA(C132*S132,0)</f>
        <v>0</v>
      </c>
      <c r="AJ132" s="772">
        <f t="shared" ref="AJ132:AJ135" si="452">+_xlfn.IFNA(E132,0)</f>
        <v>0</v>
      </c>
      <c r="AK132" s="769">
        <f t="shared" ref="AK132:AK135" si="453">_xlfn.IFNA(E132*S132,0)</f>
        <v>0</v>
      </c>
      <c r="AL132" s="769">
        <f t="shared" ref="AL132:AL135" si="454">ROUNDUP(S132*AQ132,2)</f>
        <v>0</v>
      </c>
      <c r="AM132" s="769">
        <f t="shared" ref="AM132:AM135" si="455">ROUNDUP(+I132*S132,2)</f>
        <v>0</v>
      </c>
      <c r="AN132" s="769">
        <f t="shared" ref="AN132:AN135" si="456">J132*I132*S132</f>
        <v>0</v>
      </c>
      <c r="AO132" s="769">
        <f t="shared" ref="AO132:AO135" si="457">ROUNDUP(I132*I$4*J132,2)</f>
        <v>0</v>
      </c>
      <c r="AP132" s="769">
        <f t="shared" ref="AP132:AP135" si="458">AO132*S132</f>
        <v>0</v>
      </c>
      <c r="AQ132" s="769">
        <f t="shared" ref="AQ132:AQ135" si="459">IF(I132=0,0,ROUNDUP(I$4*I132,2))</f>
        <v>0</v>
      </c>
      <c r="AR132" s="769">
        <f t="shared" ref="AR132:AR135" si="460">+_xlfn.IFNA(ROUNDUP(L132*ROUNDUP(S132,1),2),0)</f>
        <v>0</v>
      </c>
      <c r="AS132" s="769">
        <v>0</v>
      </c>
      <c r="AT132" s="769">
        <f t="shared" ref="AT132:AT135" si="461">+ROUNDUP(AS132*S132,2)</f>
        <v>0</v>
      </c>
      <c r="AU132" s="769">
        <f t="shared" ref="AU132:AU135" si="462">_xlfn.IFNA(ROUNDUP((L132+AS132)*M132,2),0)</f>
        <v>0</v>
      </c>
      <c r="AV132" s="769">
        <f t="shared" ref="AV132:AV135" si="463">ROUNDUP(AU132*S132,2)</f>
        <v>0</v>
      </c>
      <c r="AW132" s="769">
        <f t="shared" ref="AW132:AW135" si="464">_xlfn.IFNA(ROUNDUP((L132+AS132+AU132)*(L$4)*L$3,2),0)</f>
        <v>0</v>
      </c>
      <c r="AX132" s="769">
        <f t="shared" ref="AX132:AX135" si="465">ROUNDUP(+AW132*ROUNDUP(S132,1),2)</f>
        <v>0</v>
      </c>
      <c r="AY132" s="769">
        <f t="shared" ref="AY132:AY135" si="466">_xlfn.IFNA(ROUNDUP(F132*S132,2),0)</f>
        <v>0</v>
      </c>
      <c r="AZ132" s="769">
        <f t="shared" ref="AZ132:AZ135" si="467">_xlfn.IFNA(ROUNDUP(F132*G132,2),0)</f>
        <v>0</v>
      </c>
      <c r="BA132" s="769">
        <f t="shared" ref="BA132:BA135" si="468">ROUNDUP(AZ132*S132,2)</f>
        <v>0</v>
      </c>
      <c r="BB132" s="769">
        <f t="shared" ref="BB132:BB135" si="469">_xlfn.IFNA(ROUNDUP((ROUNDUP(F132+AZ132,2)*F$4)*F$3,2),0)</f>
        <v>0</v>
      </c>
      <c r="BC132" s="769">
        <f t="shared" ref="BC132:BC135" si="470">BB132*S132</f>
        <v>0</v>
      </c>
      <c r="BD132" s="661"/>
      <c r="BF132" s="480"/>
      <c r="BG132" s="480"/>
      <c r="BH132" s="480"/>
      <c r="BI132" s="480"/>
      <c r="BJ132" s="480"/>
      <c r="BK132" s="769">
        <f>IF(BK$7=$Y132,(+$AL132+$AP132),(0))</f>
        <v>0</v>
      </c>
      <c r="BL132" s="769">
        <f>IF(BL$7=$Y132,(+BK132*$V132),(0))</f>
        <v>0</v>
      </c>
      <c r="BM132" s="769">
        <f>IF(BM$7=$Y132,(+$AR132+$AT132+$AV132),(0))</f>
        <v>0</v>
      </c>
      <c r="BN132" s="769">
        <f>IF(BN$7=$Y132,(+BM132*$V132),(0))</f>
        <v>0</v>
      </c>
      <c r="BO132" s="769">
        <f>IF(BO$7=$X132,($AY132+$BA132),(0))</f>
        <v>0</v>
      </c>
      <c r="BP132" s="769">
        <f>IF(BP$7=$X132,(+BO132*$V132),(0))</f>
        <v>0</v>
      </c>
    </row>
    <row r="133" spans="1:68" s="775" customFormat="1" ht="15.6">
      <c r="A133" s="762"/>
      <c r="B133" s="763">
        <v>0</v>
      </c>
      <c r="C133" s="763">
        <v>0</v>
      </c>
      <c r="D133" s="763">
        <v>0</v>
      </c>
      <c r="E133" s="763">
        <v>0</v>
      </c>
      <c r="F133" s="763">
        <v>0</v>
      </c>
      <c r="G133" s="689">
        <f>+G$4</f>
        <v>0</v>
      </c>
      <c r="H133" s="764">
        <f>AM133+AN133</f>
        <v>0</v>
      </c>
      <c r="I133" s="763">
        <v>0</v>
      </c>
      <c r="J133" s="689">
        <f>+J$4</f>
        <v>0</v>
      </c>
      <c r="K133" s="764">
        <f>AR133+AT133+AV133+AX133</f>
        <v>0</v>
      </c>
      <c r="L133" s="763">
        <v>0</v>
      </c>
      <c r="M133" s="689">
        <f>+M$4</f>
        <v>0</v>
      </c>
      <c r="N133" s="765"/>
      <c r="O133" s="776"/>
      <c r="P133" s="776"/>
      <c r="Q133" s="777" t="s">
        <v>302</v>
      </c>
      <c r="R133" s="762" t="s">
        <v>231</v>
      </c>
      <c r="S133" s="768">
        <v>1</v>
      </c>
      <c r="T133" s="769">
        <f t="shared" si="439"/>
        <v>0</v>
      </c>
      <c r="U133" s="772">
        <f t="shared" si="440"/>
        <v>0</v>
      </c>
      <c r="V133" s="771">
        <v>0</v>
      </c>
      <c r="W133" s="772">
        <f t="shared" si="441"/>
        <v>0</v>
      </c>
      <c r="X133" s="773"/>
      <c r="Y133" s="773"/>
      <c r="Z133" s="772">
        <f t="shared" si="442"/>
        <v>0</v>
      </c>
      <c r="AA133" s="772">
        <f t="shared" si="443"/>
        <v>0</v>
      </c>
      <c r="AB133" s="772">
        <f t="shared" si="444"/>
        <v>0</v>
      </c>
      <c r="AC133" s="772">
        <f t="shared" si="445"/>
        <v>0</v>
      </c>
      <c r="AD133" s="772">
        <f t="shared" si="446"/>
        <v>0</v>
      </c>
      <c r="AE133" s="772">
        <f t="shared" si="447"/>
        <v>0</v>
      </c>
      <c r="AF133" s="774">
        <f t="shared" si="448"/>
        <v>0</v>
      </c>
      <c r="AG133" s="772">
        <f t="shared" si="449"/>
        <v>0</v>
      </c>
      <c r="AH133" s="772">
        <f t="shared" si="450"/>
        <v>0</v>
      </c>
      <c r="AI133" s="769">
        <f t="shared" si="451"/>
        <v>0</v>
      </c>
      <c r="AJ133" s="772">
        <f t="shared" si="452"/>
        <v>0</v>
      </c>
      <c r="AK133" s="769">
        <f t="shared" si="453"/>
        <v>0</v>
      </c>
      <c r="AL133" s="769">
        <f t="shared" si="454"/>
        <v>0</v>
      </c>
      <c r="AM133" s="769">
        <f t="shared" si="455"/>
        <v>0</v>
      </c>
      <c r="AN133" s="769">
        <f t="shared" si="456"/>
        <v>0</v>
      </c>
      <c r="AO133" s="769">
        <f t="shared" si="457"/>
        <v>0</v>
      </c>
      <c r="AP133" s="769">
        <f t="shared" si="458"/>
        <v>0</v>
      </c>
      <c r="AQ133" s="769">
        <f t="shared" si="459"/>
        <v>0</v>
      </c>
      <c r="AR133" s="769">
        <f t="shared" si="460"/>
        <v>0</v>
      </c>
      <c r="AS133" s="769">
        <v>0</v>
      </c>
      <c r="AT133" s="769">
        <f t="shared" si="461"/>
        <v>0</v>
      </c>
      <c r="AU133" s="769">
        <f t="shared" si="462"/>
        <v>0</v>
      </c>
      <c r="AV133" s="769">
        <f t="shared" si="463"/>
        <v>0</v>
      </c>
      <c r="AW133" s="769">
        <f t="shared" si="464"/>
        <v>0</v>
      </c>
      <c r="AX133" s="769">
        <f t="shared" si="465"/>
        <v>0</v>
      </c>
      <c r="AY133" s="769">
        <f t="shared" si="466"/>
        <v>0</v>
      </c>
      <c r="AZ133" s="769">
        <f t="shared" si="467"/>
        <v>0</v>
      </c>
      <c r="BA133" s="769">
        <f t="shared" si="468"/>
        <v>0</v>
      </c>
      <c r="BB133" s="769">
        <f t="shared" si="469"/>
        <v>0</v>
      </c>
      <c r="BC133" s="769">
        <f t="shared" si="470"/>
        <v>0</v>
      </c>
      <c r="BD133" s="661"/>
      <c r="BF133" s="480"/>
      <c r="BG133" s="480"/>
      <c r="BH133" s="480"/>
      <c r="BI133" s="480"/>
      <c r="BJ133" s="480"/>
      <c r="BK133" s="769">
        <f>IF(BK$7=$Y133,(+$AL133+$AP133),(0))</f>
        <v>0</v>
      </c>
      <c r="BL133" s="769">
        <f>IF(BL$7=$Y133,(+BK133*$V133),(0))</f>
        <v>0</v>
      </c>
      <c r="BM133" s="769">
        <f>IF(BM$7=$Y133,(+$AR133+$AT133+$AV133),(0))</f>
        <v>0</v>
      </c>
      <c r="BN133" s="769">
        <f>IF(BN$7=$Y133,(+BM133*$V133),(0))</f>
        <v>0</v>
      </c>
      <c r="BO133" s="769">
        <f>IF(BO$7=$X133,($AY133+$BA133),(0))</f>
        <v>0</v>
      </c>
      <c r="BP133" s="769">
        <f>IF(BP$7=$X133,(+BO133*$V133),(0))</f>
        <v>0</v>
      </c>
    </row>
    <row r="134" spans="1:68" s="775" customFormat="1" ht="15.6">
      <c r="A134" s="762"/>
      <c r="B134" s="763">
        <v>0</v>
      </c>
      <c r="C134" s="763">
        <v>0</v>
      </c>
      <c r="D134" s="763">
        <v>0</v>
      </c>
      <c r="E134" s="763">
        <v>0</v>
      </c>
      <c r="F134" s="763">
        <v>0</v>
      </c>
      <c r="G134" s="689">
        <f>+G$4</f>
        <v>0</v>
      </c>
      <c r="H134" s="764">
        <f>AM134+AN134</f>
        <v>0</v>
      </c>
      <c r="I134" s="763">
        <v>0</v>
      </c>
      <c r="J134" s="689">
        <f>+J$4</f>
        <v>0</v>
      </c>
      <c r="K134" s="764">
        <f>AR134+AT134+AV134+AX134</f>
        <v>0</v>
      </c>
      <c r="L134" s="763">
        <v>0</v>
      </c>
      <c r="M134" s="689">
        <f>+M$4</f>
        <v>0</v>
      </c>
      <c r="N134" s="765"/>
      <c r="O134" s="776"/>
      <c r="P134" s="776" t="s">
        <v>292</v>
      </c>
      <c r="Q134" s="777" t="s">
        <v>301</v>
      </c>
      <c r="R134" s="762" t="s">
        <v>231</v>
      </c>
      <c r="S134" s="768">
        <v>1</v>
      </c>
      <c r="T134" s="769">
        <f t="shared" si="439"/>
        <v>0</v>
      </c>
      <c r="U134" s="772">
        <f t="shared" si="440"/>
        <v>0</v>
      </c>
      <c r="V134" s="771">
        <v>0</v>
      </c>
      <c r="W134" s="772">
        <f t="shared" si="441"/>
        <v>0</v>
      </c>
      <c r="X134" s="773"/>
      <c r="Y134" s="773"/>
      <c r="Z134" s="772">
        <f t="shared" si="442"/>
        <v>0</v>
      </c>
      <c r="AA134" s="772">
        <f t="shared" si="443"/>
        <v>0</v>
      </c>
      <c r="AB134" s="772">
        <f t="shared" si="444"/>
        <v>0</v>
      </c>
      <c r="AC134" s="772">
        <f t="shared" si="445"/>
        <v>0</v>
      </c>
      <c r="AD134" s="772">
        <f t="shared" si="446"/>
        <v>0</v>
      </c>
      <c r="AE134" s="772">
        <f t="shared" si="447"/>
        <v>0</v>
      </c>
      <c r="AF134" s="774">
        <f t="shared" si="448"/>
        <v>0</v>
      </c>
      <c r="AG134" s="772">
        <f t="shared" si="449"/>
        <v>0</v>
      </c>
      <c r="AH134" s="772">
        <f t="shared" si="450"/>
        <v>0</v>
      </c>
      <c r="AI134" s="769">
        <f t="shared" si="451"/>
        <v>0</v>
      </c>
      <c r="AJ134" s="772">
        <f t="shared" si="452"/>
        <v>0</v>
      </c>
      <c r="AK134" s="769">
        <f t="shared" si="453"/>
        <v>0</v>
      </c>
      <c r="AL134" s="769">
        <f t="shared" si="454"/>
        <v>0</v>
      </c>
      <c r="AM134" s="769">
        <f t="shared" si="455"/>
        <v>0</v>
      </c>
      <c r="AN134" s="769">
        <f t="shared" si="456"/>
        <v>0</v>
      </c>
      <c r="AO134" s="769">
        <f t="shared" si="457"/>
        <v>0</v>
      </c>
      <c r="AP134" s="769">
        <f t="shared" si="458"/>
        <v>0</v>
      </c>
      <c r="AQ134" s="769">
        <f t="shared" si="459"/>
        <v>0</v>
      </c>
      <c r="AR134" s="769">
        <f t="shared" si="460"/>
        <v>0</v>
      </c>
      <c r="AS134" s="769">
        <v>0</v>
      </c>
      <c r="AT134" s="769">
        <f t="shared" si="461"/>
        <v>0</v>
      </c>
      <c r="AU134" s="769">
        <f t="shared" si="462"/>
        <v>0</v>
      </c>
      <c r="AV134" s="769">
        <f t="shared" si="463"/>
        <v>0</v>
      </c>
      <c r="AW134" s="769">
        <f t="shared" si="464"/>
        <v>0</v>
      </c>
      <c r="AX134" s="769">
        <f t="shared" si="465"/>
        <v>0</v>
      </c>
      <c r="AY134" s="769">
        <f t="shared" si="466"/>
        <v>0</v>
      </c>
      <c r="AZ134" s="769">
        <f t="shared" si="467"/>
        <v>0</v>
      </c>
      <c r="BA134" s="769">
        <f t="shared" si="468"/>
        <v>0</v>
      </c>
      <c r="BB134" s="769">
        <f t="shared" si="469"/>
        <v>0</v>
      </c>
      <c r="BC134" s="769">
        <f t="shared" si="470"/>
        <v>0</v>
      </c>
      <c r="BD134" s="661"/>
      <c r="BF134" s="480"/>
      <c r="BG134" s="480"/>
      <c r="BH134" s="480"/>
      <c r="BI134" s="480"/>
      <c r="BJ134" s="480"/>
      <c r="BK134" s="769">
        <f>IF(BK$7=$Y134,(+$AL134+$AP134),(0))</f>
        <v>0</v>
      </c>
      <c r="BL134" s="769">
        <f>IF(BL$7=$Y134,(+BK134*$V134),(0))</f>
        <v>0</v>
      </c>
      <c r="BM134" s="769">
        <f>IF(BM$7=$Y134,(+$AR134+$AT134+$AV134),(0))</f>
        <v>0</v>
      </c>
      <c r="BN134" s="769">
        <f>IF(BN$7=$Y134,(+BM134*$V134),(0))</f>
        <v>0</v>
      </c>
      <c r="BO134" s="769">
        <f>IF(BO$7=$X134,($AY134+$BA134),(0))</f>
        <v>0</v>
      </c>
      <c r="BP134" s="769">
        <f>IF(BP$7=$X134,(+BO134*$V134),(0))</f>
        <v>0</v>
      </c>
    </row>
    <row r="135" spans="1:68" s="775" customFormat="1" ht="15.6">
      <c r="A135" s="762"/>
      <c r="B135" s="763">
        <v>0</v>
      </c>
      <c r="C135" s="763">
        <v>0</v>
      </c>
      <c r="D135" s="763">
        <v>0</v>
      </c>
      <c r="E135" s="763">
        <v>0</v>
      </c>
      <c r="F135" s="763">
        <v>0</v>
      </c>
      <c r="G135" s="689">
        <f>+G$4</f>
        <v>0</v>
      </c>
      <c r="H135" s="764">
        <f>AM135+AN135</f>
        <v>0</v>
      </c>
      <c r="I135" s="763">
        <v>0</v>
      </c>
      <c r="J135" s="689">
        <f>+J$4</f>
        <v>0</v>
      </c>
      <c r="K135" s="764">
        <f>AR135+AT135+AV135+AX135</f>
        <v>0</v>
      </c>
      <c r="L135" s="763">
        <v>0</v>
      </c>
      <c r="M135" s="689">
        <f>+M$4</f>
        <v>0</v>
      </c>
      <c r="N135" s="765"/>
      <c r="O135" s="776"/>
      <c r="P135" s="776"/>
      <c r="Q135" s="777" t="s">
        <v>302</v>
      </c>
      <c r="R135" s="762" t="s">
        <v>231</v>
      </c>
      <c r="S135" s="768">
        <v>1</v>
      </c>
      <c r="T135" s="769">
        <f t="shared" si="439"/>
        <v>0</v>
      </c>
      <c r="U135" s="772">
        <f t="shared" si="440"/>
        <v>0</v>
      </c>
      <c r="V135" s="771">
        <v>0</v>
      </c>
      <c r="W135" s="772">
        <f t="shared" si="441"/>
        <v>0</v>
      </c>
      <c r="X135" s="773"/>
      <c r="Y135" s="773"/>
      <c r="Z135" s="772">
        <f t="shared" si="442"/>
        <v>0</v>
      </c>
      <c r="AA135" s="772">
        <f t="shared" si="443"/>
        <v>0</v>
      </c>
      <c r="AB135" s="772">
        <f t="shared" si="444"/>
        <v>0</v>
      </c>
      <c r="AC135" s="772">
        <f t="shared" si="445"/>
        <v>0</v>
      </c>
      <c r="AD135" s="772">
        <f t="shared" si="446"/>
        <v>0</v>
      </c>
      <c r="AE135" s="772">
        <f t="shared" si="447"/>
        <v>0</v>
      </c>
      <c r="AF135" s="774">
        <f t="shared" si="448"/>
        <v>0</v>
      </c>
      <c r="AG135" s="772">
        <f t="shared" si="449"/>
        <v>0</v>
      </c>
      <c r="AH135" s="772">
        <f t="shared" si="450"/>
        <v>0</v>
      </c>
      <c r="AI135" s="769">
        <f t="shared" si="451"/>
        <v>0</v>
      </c>
      <c r="AJ135" s="772">
        <f t="shared" si="452"/>
        <v>0</v>
      </c>
      <c r="AK135" s="769">
        <f t="shared" si="453"/>
        <v>0</v>
      </c>
      <c r="AL135" s="769">
        <f t="shared" si="454"/>
        <v>0</v>
      </c>
      <c r="AM135" s="769">
        <f t="shared" si="455"/>
        <v>0</v>
      </c>
      <c r="AN135" s="769">
        <f t="shared" si="456"/>
        <v>0</v>
      </c>
      <c r="AO135" s="769">
        <f t="shared" si="457"/>
        <v>0</v>
      </c>
      <c r="AP135" s="769">
        <f t="shared" si="458"/>
        <v>0</v>
      </c>
      <c r="AQ135" s="769">
        <f t="shared" si="459"/>
        <v>0</v>
      </c>
      <c r="AR135" s="769">
        <f t="shared" si="460"/>
        <v>0</v>
      </c>
      <c r="AS135" s="769">
        <v>0</v>
      </c>
      <c r="AT135" s="769">
        <f t="shared" si="461"/>
        <v>0</v>
      </c>
      <c r="AU135" s="769">
        <f t="shared" si="462"/>
        <v>0</v>
      </c>
      <c r="AV135" s="769">
        <f t="shared" si="463"/>
        <v>0</v>
      </c>
      <c r="AW135" s="769">
        <f t="shared" si="464"/>
        <v>0</v>
      </c>
      <c r="AX135" s="769">
        <f t="shared" si="465"/>
        <v>0</v>
      </c>
      <c r="AY135" s="769">
        <f t="shared" si="466"/>
        <v>0</v>
      </c>
      <c r="AZ135" s="769">
        <f t="shared" si="467"/>
        <v>0</v>
      </c>
      <c r="BA135" s="769">
        <f t="shared" si="468"/>
        <v>0</v>
      </c>
      <c r="BB135" s="769">
        <f t="shared" si="469"/>
        <v>0</v>
      </c>
      <c r="BC135" s="769">
        <f t="shared" si="470"/>
        <v>0</v>
      </c>
      <c r="BD135" s="661"/>
      <c r="BF135" s="480"/>
      <c r="BG135" s="480"/>
      <c r="BH135" s="480"/>
      <c r="BI135" s="480"/>
      <c r="BJ135" s="480"/>
      <c r="BK135" s="769">
        <f>IF(BK$7=$Y135,(+$AL135+$AP135),(0))</f>
        <v>0</v>
      </c>
      <c r="BL135" s="769">
        <f>IF(BL$7=$Y135,(+BK135*$V135),(0))</f>
        <v>0</v>
      </c>
      <c r="BM135" s="769">
        <f>IF(BM$7=$Y135,(+$AR135+$AT135+$AV135),(0))</f>
        <v>0</v>
      </c>
      <c r="BN135" s="769">
        <f>IF(BN$7=$Y135,(+BM135*$V135),(0))</f>
        <v>0</v>
      </c>
      <c r="BO135" s="769">
        <f>IF(BO$7=$X135,($AY135+$BA135),(0))</f>
        <v>0</v>
      </c>
      <c r="BP135" s="769">
        <f>IF(BP$7=$X135,(+BO135*$V135),(0))</f>
        <v>0</v>
      </c>
    </row>
    <row r="136" spans="1:68" s="775" customFormat="1" ht="15.6">
      <c r="A136" s="762"/>
      <c r="B136" s="763"/>
      <c r="C136" s="763"/>
      <c r="D136" s="763"/>
      <c r="E136" s="763"/>
      <c r="F136" s="763"/>
      <c r="G136" s="689"/>
      <c r="H136" s="764"/>
      <c r="I136" s="763"/>
      <c r="J136" s="689"/>
      <c r="K136" s="764"/>
      <c r="L136" s="763"/>
      <c r="M136" s="689"/>
      <c r="N136" s="765"/>
      <c r="O136" s="776"/>
      <c r="P136" s="776"/>
      <c r="Q136" s="777"/>
      <c r="R136" s="762"/>
      <c r="S136" s="768"/>
      <c r="T136" s="769"/>
      <c r="U136" s="772"/>
      <c r="V136" s="771"/>
      <c r="W136" s="772"/>
      <c r="X136" s="773"/>
      <c r="Y136" s="773"/>
      <c r="Z136" s="772"/>
      <c r="AA136" s="772"/>
      <c r="AB136" s="772"/>
      <c r="AC136" s="772"/>
      <c r="AD136" s="772"/>
      <c r="AE136" s="772"/>
      <c r="AF136" s="774"/>
      <c r="AG136" s="772"/>
      <c r="AH136" s="772"/>
      <c r="AI136" s="769"/>
      <c r="AJ136" s="772"/>
      <c r="AK136" s="769"/>
      <c r="AL136" s="769"/>
      <c r="AM136" s="769"/>
      <c r="AN136" s="769"/>
      <c r="AO136" s="769"/>
      <c r="AP136" s="769"/>
      <c r="AQ136" s="769"/>
      <c r="AR136" s="769"/>
      <c r="AS136" s="769"/>
      <c r="AT136" s="769"/>
      <c r="AU136" s="769"/>
      <c r="AV136" s="769"/>
      <c r="AW136" s="769"/>
      <c r="AX136" s="769"/>
      <c r="AY136" s="769"/>
      <c r="AZ136" s="769"/>
      <c r="BA136" s="769"/>
      <c r="BB136" s="769"/>
      <c r="BC136" s="769"/>
      <c r="BD136" s="661"/>
      <c r="BF136" s="480"/>
      <c r="BG136" s="480"/>
      <c r="BH136" s="480"/>
      <c r="BI136" s="480"/>
      <c r="BJ136" s="480"/>
      <c r="BK136" s="769"/>
      <c r="BL136" s="769"/>
      <c r="BM136" s="769"/>
      <c r="BN136" s="769"/>
      <c r="BO136" s="769"/>
      <c r="BP136" s="769"/>
    </row>
    <row r="137" spans="1:68" s="775" customFormat="1" ht="15.6">
      <c r="A137" s="762"/>
      <c r="B137" s="763"/>
      <c r="C137" s="763"/>
      <c r="D137" s="763"/>
      <c r="E137" s="763"/>
      <c r="F137" s="763"/>
      <c r="G137" s="689"/>
      <c r="H137" s="764"/>
      <c r="I137" s="763"/>
      <c r="J137" s="689"/>
      <c r="K137" s="764"/>
      <c r="L137" s="763"/>
      <c r="M137" s="689"/>
      <c r="N137" s="765"/>
      <c r="O137" s="766">
        <v>16</v>
      </c>
      <c r="P137" s="766" t="s">
        <v>303</v>
      </c>
      <c r="Q137" s="767"/>
      <c r="R137" s="762"/>
      <c r="S137" s="768"/>
      <c r="T137" s="769"/>
      <c r="U137" s="770" t="s">
        <v>437</v>
      </c>
      <c r="V137" s="771"/>
      <c r="W137" s="772"/>
      <c r="X137" s="773"/>
      <c r="Y137" s="773"/>
      <c r="Z137" s="772"/>
      <c r="AA137" s="772"/>
      <c r="AB137" s="772"/>
      <c r="AC137" s="772"/>
      <c r="AD137" s="772"/>
      <c r="AE137" s="772"/>
      <c r="AF137" s="774"/>
      <c r="AG137" s="772"/>
      <c r="AH137" s="772"/>
      <c r="AI137" s="769"/>
      <c r="AJ137" s="772"/>
      <c r="AK137" s="769"/>
      <c r="AL137" s="769"/>
      <c r="AM137" s="769"/>
      <c r="AN137" s="769"/>
      <c r="AO137" s="769"/>
      <c r="AP137" s="769"/>
      <c r="AQ137" s="769"/>
      <c r="AR137" s="769"/>
      <c r="AS137" s="769"/>
      <c r="AT137" s="769"/>
      <c r="AU137" s="769"/>
      <c r="AV137" s="769"/>
      <c r="AW137" s="769"/>
      <c r="AX137" s="769"/>
      <c r="AY137" s="769"/>
      <c r="AZ137" s="769"/>
      <c r="BA137" s="769"/>
      <c r="BB137" s="769"/>
      <c r="BC137" s="769"/>
      <c r="BD137" s="661"/>
      <c r="BF137" s="480"/>
      <c r="BG137" s="480"/>
      <c r="BH137" s="480"/>
      <c r="BI137" s="480"/>
      <c r="BJ137" s="480"/>
      <c r="BK137" s="769"/>
      <c r="BL137" s="769"/>
      <c r="BM137" s="769"/>
      <c r="BN137" s="769"/>
      <c r="BO137" s="769"/>
      <c r="BP137" s="769"/>
    </row>
    <row r="138" spans="1:68" s="775" customFormat="1" ht="15.6">
      <c r="A138" s="762"/>
      <c r="B138" s="763"/>
      <c r="C138" s="763"/>
      <c r="D138" s="763"/>
      <c r="E138" s="763"/>
      <c r="F138" s="763"/>
      <c r="G138" s="689"/>
      <c r="H138" s="764"/>
      <c r="I138" s="763"/>
      <c r="J138" s="689"/>
      <c r="K138" s="764"/>
      <c r="L138" s="763"/>
      <c r="M138" s="689"/>
      <c r="N138" s="765"/>
      <c r="O138" s="776"/>
      <c r="P138" s="776"/>
      <c r="Q138" s="777"/>
      <c r="R138" s="762"/>
      <c r="S138" s="768"/>
      <c r="T138" s="769"/>
      <c r="U138" s="772"/>
      <c r="V138" s="771"/>
      <c r="W138" s="772"/>
      <c r="X138" s="773"/>
      <c r="Y138" s="773"/>
      <c r="Z138" s="772"/>
      <c r="AA138" s="772"/>
      <c r="AB138" s="772"/>
      <c r="AC138" s="772"/>
      <c r="AD138" s="772"/>
      <c r="AE138" s="772"/>
      <c r="AF138" s="774"/>
      <c r="AG138" s="772"/>
      <c r="AH138" s="772"/>
      <c r="AI138" s="769"/>
      <c r="AJ138" s="772"/>
      <c r="AK138" s="769"/>
      <c r="AL138" s="769"/>
      <c r="AM138" s="769"/>
      <c r="AN138" s="769"/>
      <c r="AO138" s="769"/>
      <c r="AP138" s="769"/>
      <c r="AQ138" s="769"/>
      <c r="AR138" s="769"/>
      <c r="AS138" s="769"/>
      <c r="AT138" s="769"/>
      <c r="AU138" s="769"/>
      <c r="AV138" s="769"/>
      <c r="AW138" s="769"/>
      <c r="AX138" s="769"/>
      <c r="AY138" s="769"/>
      <c r="AZ138" s="769"/>
      <c r="BA138" s="769"/>
      <c r="BB138" s="769"/>
      <c r="BC138" s="769"/>
      <c r="BD138" s="661"/>
      <c r="BF138" s="480"/>
      <c r="BG138" s="480"/>
      <c r="BH138" s="480"/>
      <c r="BI138" s="480"/>
      <c r="BJ138" s="480"/>
      <c r="BK138" s="769"/>
      <c r="BL138" s="769"/>
      <c r="BM138" s="769"/>
      <c r="BN138" s="769"/>
      <c r="BO138" s="769"/>
      <c r="BP138" s="769"/>
    </row>
    <row r="139" spans="1:68" s="775" customFormat="1" ht="15.6">
      <c r="A139" s="762"/>
      <c r="B139" s="763">
        <v>0</v>
      </c>
      <c r="C139" s="763">
        <v>0</v>
      </c>
      <c r="D139" s="763">
        <v>0</v>
      </c>
      <c r="E139" s="763">
        <v>0</v>
      </c>
      <c r="F139" s="763">
        <v>0</v>
      </c>
      <c r="G139" s="689">
        <f>+G$4</f>
        <v>0</v>
      </c>
      <c r="H139" s="764">
        <f>AM139+AN139</f>
        <v>0</v>
      </c>
      <c r="I139" s="763">
        <v>0</v>
      </c>
      <c r="J139" s="689">
        <f>+J$4</f>
        <v>0</v>
      </c>
      <c r="K139" s="764">
        <f>AR139+AT139+AV139+AX139</f>
        <v>0</v>
      </c>
      <c r="L139" s="763">
        <v>0</v>
      </c>
      <c r="M139" s="689">
        <f>+M$4</f>
        <v>0</v>
      </c>
      <c r="N139" s="765"/>
      <c r="O139" s="776"/>
      <c r="P139" s="776"/>
      <c r="Q139" s="777" t="s">
        <v>135</v>
      </c>
      <c r="R139" s="762" t="s">
        <v>211</v>
      </c>
      <c r="S139" s="768">
        <v>1</v>
      </c>
      <c r="T139" s="769">
        <f>_xlfn.IFNA(ROUNDUP(AF139+AJ139+AO139+AQ139+L139+AS139+AU139+AW139+F139+AZ139+BB139,2),0)</f>
        <v>0</v>
      </c>
      <c r="U139" s="772">
        <f t="shared" ref="U139" si="471">ROUND(T139*ROUNDUP(S139,1),2)</f>
        <v>0</v>
      </c>
      <c r="V139" s="771">
        <v>0</v>
      </c>
      <c r="W139" s="772">
        <f t="shared" ref="W139" si="472">ROUND(+U139*V139,2)</f>
        <v>0</v>
      </c>
      <c r="X139" s="773"/>
      <c r="Y139" s="773"/>
      <c r="Z139" s="772">
        <f>_xlfn.IFNA(ROUNDUP(AJ139*U139,2),0)</f>
        <v>0</v>
      </c>
      <c r="AA139" s="772">
        <f>_xlfn.IFNA(ROUNDUP(AK139*V139,2),0)</f>
        <v>0</v>
      </c>
      <c r="AB139" s="772">
        <f t="shared" ref="AB139" si="473">ROUNDUP((AP139+AL139)*V139,2)</f>
        <v>0</v>
      </c>
      <c r="AC139" s="772">
        <f>_xlfn.IFNA(ROUNDUP((AT139+AV139+AR139)*V139,2),0)</f>
        <v>0</v>
      </c>
      <c r="AD139" s="772">
        <f>_xlfn.IFNA(ROUNDUP((BA139+AY139)*V139,2),0)</f>
        <v>0</v>
      </c>
      <c r="AE139" s="772">
        <f>_xlfn.IFNA((BC139+AX139+AG139)*V139,0)</f>
        <v>0</v>
      </c>
      <c r="AF139" s="774">
        <f>+_xlfn.IFNA(D139,0)</f>
        <v>0</v>
      </c>
      <c r="AG139" s="772">
        <f>_xlfn.IFNA(ROUNDUP(D139*S139,2),0)</f>
        <v>0</v>
      </c>
      <c r="AH139" s="772">
        <f>+_xlfn.IFNA(C139,0)</f>
        <v>0</v>
      </c>
      <c r="AI139" s="769">
        <f>_xlfn.IFNA(C139*S139,0)</f>
        <v>0</v>
      </c>
      <c r="AJ139" s="772">
        <f>+_xlfn.IFNA(E139,0)</f>
        <v>0</v>
      </c>
      <c r="AK139" s="769">
        <f>_xlfn.IFNA(E139*S139,0)</f>
        <v>0</v>
      </c>
      <c r="AL139" s="769">
        <f t="shared" ref="AL139" si="474">ROUNDUP(S139*AQ139,2)</f>
        <v>0</v>
      </c>
      <c r="AM139" s="769">
        <f t="shared" ref="AM139" si="475">ROUNDUP(+I139*S139,2)</f>
        <v>0</v>
      </c>
      <c r="AN139" s="769">
        <f t="shared" ref="AN139" si="476">J139*I139*S139</f>
        <v>0</v>
      </c>
      <c r="AO139" s="769">
        <f t="shared" ref="AO139" si="477">ROUNDUP(I139*I$4*J139,2)</f>
        <v>0</v>
      </c>
      <c r="AP139" s="769">
        <f t="shared" ref="AP139" si="478">AO139*S139</f>
        <v>0</v>
      </c>
      <c r="AQ139" s="769">
        <f t="shared" ref="AQ139" si="479">IF(I139=0,0,ROUNDUP(I$4*I139,2))</f>
        <v>0</v>
      </c>
      <c r="AR139" s="769">
        <f>+_xlfn.IFNA(ROUNDUP(L139*ROUNDUP(S139,1),2),0)</f>
        <v>0</v>
      </c>
      <c r="AS139" s="769">
        <v>0</v>
      </c>
      <c r="AT139" s="769">
        <f t="shared" ref="AT139" si="480">+ROUNDUP(AS139*S139,2)</f>
        <v>0</v>
      </c>
      <c r="AU139" s="769">
        <f>_xlfn.IFNA(ROUNDUP((L139+AS139)*M139,2),0)</f>
        <v>0</v>
      </c>
      <c r="AV139" s="769">
        <f t="shared" ref="AV139" si="481">ROUNDUP(AU139*S139,2)</f>
        <v>0</v>
      </c>
      <c r="AW139" s="769">
        <f>_xlfn.IFNA(ROUNDUP((L139+AS139+AU139)*(L$4)*L$3,2),0)</f>
        <v>0</v>
      </c>
      <c r="AX139" s="769">
        <f t="shared" ref="AX139" si="482">ROUNDUP(+AW139*ROUNDUP(S139,1),2)</f>
        <v>0</v>
      </c>
      <c r="AY139" s="769">
        <f>_xlfn.IFNA(ROUNDUP(F139*S139,2),0)</f>
        <v>0</v>
      </c>
      <c r="AZ139" s="769">
        <f>_xlfn.IFNA(ROUNDUP(F139*G139,2),0)</f>
        <v>0</v>
      </c>
      <c r="BA139" s="769">
        <f t="shared" ref="BA139" si="483">ROUNDUP(AZ139*S139,2)</f>
        <v>0</v>
      </c>
      <c r="BB139" s="769">
        <f>_xlfn.IFNA(ROUNDUP((ROUNDUP(F139+AZ139,2)*F$4)*F$3,2),0)</f>
        <v>0</v>
      </c>
      <c r="BC139" s="769">
        <f t="shared" ref="BC139" si="484">BB139*S139</f>
        <v>0</v>
      </c>
      <c r="BD139" s="661"/>
      <c r="BF139" s="480"/>
      <c r="BG139" s="480"/>
      <c r="BH139" s="480"/>
      <c r="BI139" s="480"/>
      <c r="BJ139" s="480"/>
      <c r="BK139" s="769">
        <f>IF(BK$7=$Y139,(+$AL139+$AP139),(0))</f>
        <v>0</v>
      </c>
      <c r="BL139" s="769">
        <f>IF(BL$7=$Y139,(+BK139*$V139),(0))</f>
        <v>0</v>
      </c>
      <c r="BM139" s="769">
        <f>IF(BM$7=$Y139,(+$AR139+$AT139+$AV139),(0))</f>
        <v>0</v>
      </c>
      <c r="BN139" s="769">
        <f>IF(BN$7=$Y139,(+BM139*$V139),(0))</f>
        <v>0</v>
      </c>
      <c r="BO139" s="769">
        <f>IF(BO$7=$X139,($AY139+$BA139),(0))</f>
        <v>0</v>
      </c>
      <c r="BP139" s="769">
        <f>IF(BP$7=$X139,(+BO139*$V139),(0))</f>
        <v>0</v>
      </c>
    </row>
    <row r="140" spans="1:68" s="775" customFormat="1" ht="15.6">
      <c r="A140" s="762"/>
      <c r="B140" s="763"/>
      <c r="C140" s="763"/>
      <c r="D140" s="763"/>
      <c r="E140" s="763"/>
      <c r="F140" s="763"/>
      <c r="G140" s="689"/>
      <c r="H140" s="764"/>
      <c r="I140" s="763"/>
      <c r="J140" s="689"/>
      <c r="K140" s="764"/>
      <c r="L140" s="763"/>
      <c r="M140" s="689"/>
      <c r="N140" s="765"/>
      <c r="O140" s="776"/>
      <c r="P140" s="776"/>
      <c r="Q140" s="777"/>
      <c r="R140" s="762"/>
      <c r="S140" s="768"/>
      <c r="T140" s="769"/>
      <c r="U140" s="772"/>
      <c r="V140" s="771"/>
      <c r="W140" s="772"/>
      <c r="X140" s="773"/>
      <c r="Y140" s="773"/>
      <c r="Z140" s="772"/>
      <c r="AA140" s="772"/>
      <c r="AB140" s="772"/>
      <c r="AC140" s="772"/>
      <c r="AD140" s="772"/>
      <c r="AE140" s="772"/>
      <c r="AF140" s="774"/>
      <c r="AG140" s="772"/>
      <c r="AH140" s="772"/>
      <c r="AI140" s="769"/>
      <c r="AJ140" s="772"/>
      <c r="AK140" s="769"/>
      <c r="AL140" s="769"/>
      <c r="AM140" s="769"/>
      <c r="AN140" s="769"/>
      <c r="AO140" s="769"/>
      <c r="AP140" s="769"/>
      <c r="AQ140" s="769"/>
      <c r="AR140" s="769"/>
      <c r="AS140" s="769"/>
      <c r="AT140" s="769"/>
      <c r="AU140" s="769"/>
      <c r="AV140" s="769"/>
      <c r="AW140" s="769"/>
      <c r="AX140" s="769"/>
      <c r="AY140" s="769"/>
      <c r="AZ140" s="769"/>
      <c r="BA140" s="769"/>
      <c r="BB140" s="769"/>
      <c r="BC140" s="769"/>
      <c r="BD140" s="661"/>
      <c r="BF140" s="480"/>
      <c r="BG140" s="480"/>
      <c r="BH140" s="480"/>
      <c r="BI140" s="480"/>
      <c r="BJ140" s="480"/>
      <c r="BK140" s="769"/>
      <c r="BL140" s="769"/>
      <c r="BM140" s="769"/>
      <c r="BN140" s="769"/>
      <c r="BO140" s="769"/>
      <c r="BP140" s="769"/>
    </row>
    <row r="141" spans="1:68" s="775" customFormat="1" ht="15.6">
      <c r="A141" s="762"/>
      <c r="B141" s="763"/>
      <c r="C141" s="763"/>
      <c r="D141" s="763"/>
      <c r="E141" s="763"/>
      <c r="F141" s="763"/>
      <c r="G141" s="689"/>
      <c r="H141" s="764"/>
      <c r="I141" s="763"/>
      <c r="J141" s="689"/>
      <c r="K141" s="764"/>
      <c r="L141" s="763"/>
      <c r="M141" s="689"/>
      <c r="N141" s="765"/>
      <c r="O141" s="766">
        <v>17</v>
      </c>
      <c r="P141" s="766" t="s">
        <v>304</v>
      </c>
      <c r="Q141" s="767"/>
      <c r="R141" s="762"/>
      <c r="S141" s="768"/>
      <c r="T141" s="769"/>
      <c r="U141" s="770" t="s">
        <v>437</v>
      </c>
      <c r="V141" s="771"/>
      <c r="W141" s="772"/>
      <c r="X141" s="773"/>
      <c r="Y141" s="773"/>
      <c r="Z141" s="772"/>
      <c r="AA141" s="772"/>
      <c r="AB141" s="772"/>
      <c r="AC141" s="772"/>
      <c r="AD141" s="772"/>
      <c r="AE141" s="772"/>
      <c r="AF141" s="774"/>
      <c r="AG141" s="772"/>
      <c r="AH141" s="772"/>
      <c r="AI141" s="769"/>
      <c r="AJ141" s="772"/>
      <c r="AK141" s="769"/>
      <c r="AL141" s="769"/>
      <c r="AM141" s="769"/>
      <c r="AN141" s="769"/>
      <c r="AO141" s="769"/>
      <c r="AP141" s="769"/>
      <c r="AQ141" s="769"/>
      <c r="AR141" s="769"/>
      <c r="AS141" s="769"/>
      <c r="AT141" s="769"/>
      <c r="AU141" s="769"/>
      <c r="AV141" s="769"/>
      <c r="AW141" s="769"/>
      <c r="AX141" s="769"/>
      <c r="AY141" s="769"/>
      <c r="AZ141" s="769"/>
      <c r="BA141" s="769"/>
      <c r="BB141" s="769"/>
      <c r="BC141" s="769"/>
      <c r="BD141" s="661"/>
      <c r="BF141" s="480"/>
      <c r="BG141" s="480"/>
      <c r="BH141" s="480"/>
      <c r="BI141" s="480"/>
      <c r="BJ141" s="480"/>
      <c r="BK141" s="769"/>
      <c r="BL141" s="769"/>
      <c r="BM141" s="769"/>
      <c r="BN141" s="769"/>
      <c r="BO141" s="769"/>
      <c r="BP141" s="769"/>
    </row>
    <row r="142" spans="1:68" s="775" customFormat="1" ht="15.6">
      <c r="A142" s="762"/>
      <c r="B142" s="763"/>
      <c r="C142" s="763"/>
      <c r="D142" s="763"/>
      <c r="E142" s="763"/>
      <c r="F142" s="763"/>
      <c r="G142" s="689"/>
      <c r="H142" s="764"/>
      <c r="I142" s="763"/>
      <c r="J142" s="689"/>
      <c r="K142" s="764"/>
      <c r="L142" s="763"/>
      <c r="M142" s="689"/>
      <c r="N142" s="765"/>
      <c r="O142" s="776"/>
      <c r="P142" s="776"/>
      <c r="Q142" s="777"/>
      <c r="R142" s="762"/>
      <c r="S142" s="768"/>
      <c r="T142" s="769"/>
      <c r="U142" s="772"/>
      <c r="V142" s="771"/>
      <c r="W142" s="772"/>
      <c r="X142" s="773"/>
      <c r="Y142" s="773"/>
      <c r="Z142" s="772"/>
      <c r="AA142" s="772"/>
      <c r="AB142" s="772"/>
      <c r="AC142" s="772"/>
      <c r="AD142" s="772"/>
      <c r="AE142" s="772"/>
      <c r="AF142" s="774"/>
      <c r="AG142" s="772"/>
      <c r="AH142" s="772"/>
      <c r="AI142" s="769"/>
      <c r="AJ142" s="772"/>
      <c r="AK142" s="769"/>
      <c r="AL142" s="769"/>
      <c r="AM142" s="769"/>
      <c r="AN142" s="769"/>
      <c r="AO142" s="769"/>
      <c r="AP142" s="769"/>
      <c r="AQ142" s="769"/>
      <c r="AR142" s="769"/>
      <c r="AS142" s="769"/>
      <c r="AT142" s="769"/>
      <c r="AU142" s="769"/>
      <c r="AV142" s="769"/>
      <c r="AW142" s="769"/>
      <c r="AX142" s="769"/>
      <c r="AY142" s="769"/>
      <c r="AZ142" s="769"/>
      <c r="BA142" s="769"/>
      <c r="BB142" s="769"/>
      <c r="BC142" s="769"/>
      <c r="BD142" s="661"/>
      <c r="BF142" s="480"/>
      <c r="BG142" s="480"/>
      <c r="BH142" s="480"/>
      <c r="BI142" s="480"/>
      <c r="BJ142" s="480"/>
      <c r="BK142" s="769"/>
      <c r="BL142" s="769"/>
      <c r="BM142" s="769"/>
      <c r="BN142" s="769"/>
      <c r="BO142" s="769"/>
      <c r="BP142" s="769"/>
    </row>
    <row r="143" spans="1:68" s="775" customFormat="1" ht="15.6">
      <c r="A143" s="762"/>
      <c r="B143" s="763">
        <v>0</v>
      </c>
      <c r="C143" s="763">
        <v>0</v>
      </c>
      <c r="D143" s="763">
        <v>0</v>
      </c>
      <c r="E143" s="763">
        <v>0</v>
      </c>
      <c r="F143" s="763">
        <v>0</v>
      </c>
      <c r="G143" s="689">
        <f>+G$4</f>
        <v>0</v>
      </c>
      <c r="H143" s="764">
        <f>AM143+AN143</f>
        <v>0</v>
      </c>
      <c r="I143" s="763">
        <v>0</v>
      </c>
      <c r="J143" s="689">
        <f>+J$4</f>
        <v>0</v>
      </c>
      <c r="K143" s="764">
        <f>AR143+AT143+AV143+AX143</f>
        <v>0</v>
      </c>
      <c r="L143" s="763">
        <v>0</v>
      </c>
      <c r="M143" s="689">
        <f>+M$4</f>
        <v>0</v>
      </c>
      <c r="N143" s="765"/>
      <c r="O143" s="776"/>
      <c r="P143" s="776"/>
      <c r="Q143" s="777" t="s">
        <v>305</v>
      </c>
      <c r="R143" s="762" t="s">
        <v>211</v>
      </c>
      <c r="S143" s="768">
        <v>1</v>
      </c>
      <c r="T143" s="769">
        <f>_xlfn.IFNA(ROUNDUP(AF143+AJ143+AO143+AQ143+L143+AS143+AU143+AW143+F143+AZ143+BB143,2),0)</f>
        <v>0</v>
      </c>
      <c r="U143" s="772">
        <f t="shared" ref="U143" si="485">ROUND(T143*ROUNDUP(S143,1),2)</f>
        <v>0</v>
      </c>
      <c r="V143" s="771">
        <v>0</v>
      </c>
      <c r="W143" s="772">
        <f t="shared" ref="W143" si="486">ROUND(+U143*V143,2)</f>
        <v>0</v>
      </c>
      <c r="X143" s="773"/>
      <c r="Y143" s="773"/>
      <c r="Z143" s="772">
        <f>_xlfn.IFNA(ROUNDUP(AJ143*U143,2),0)</f>
        <v>0</v>
      </c>
      <c r="AA143" s="772">
        <f>_xlfn.IFNA(ROUNDUP(AK143*V143,2),0)</f>
        <v>0</v>
      </c>
      <c r="AB143" s="772">
        <f t="shared" ref="AB143" si="487">ROUNDUP((AP143+AL143)*V143,2)</f>
        <v>0</v>
      </c>
      <c r="AC143" s="772">
        <f>_xlfn.IFNA(ROUNDUP((AT143+AV143+AR143)*V143,2),0)</f>
        <v>0</v>
      </c>
      <c r="AD143" s="772">
        <f>_xlfn.IFNA(ROUNDUP((BA143+AY143)*V143,2),0)</f>
        <v>0</v>
      </c>
      <c r="AE143" s="772">
        <f>_xlfn.IFNA((BC143+AX143+AG143)*V143,0)</f>
        <v>0</v>
      </c>
      <c r="AF143" s="774">
        <f>+_xlfn.IFNA(D143,0)</f>
        <v>0</v>
      </c>
      <c r="AG143" s="772">
        <f>_xlfn.IFNA(ROUNDUP(D143*S143,2),0)</f>
        <v>0</v>
      </c>
      <c r="AH143" s="772">
        <f>+_xlfn.IFNA(C143,0)</f>
        <v>0</v>
      </c>
      <c r="AI143" s="769">
        <f>_xlfn.IFNA(C143*S143,0)</f>
        <v>0</v>
      </c>
      <c r="AJ143" s="772">
        <f>+_xlfn.IFNA(E143,0)</f>
        <v>0</v>
      </c>
      <c r="AK143" s="769">
        <f>_xlfn.IFNA(E143*S143,0)</f>
        <v>0</v>
      </c>
      <c r="AL143" s="769">
        <f t="shared" ref="AL143" si="488">ROUNDUP(S143*AQ143,2)</f>
        <v>0</v>
      </c>
      <c r="AM143" s="769">
        <f t="shared" ref="AM143" si="489">ROUNDUP(+I143*S143,2)</f>
        <v>0</v>
      </c>
      <c r="AN143" s="769">
        <f t="shared" ref="AN143" si="490">J143*I143*S143</f>
        <v>0</v>
      </c>
      <c r="AO143" s="769">
        <f t="shared" ref="AO143" si="491">ROUNDUP(I143*I$4*J143,2)</f>
        <v>0</v>
      </c>
      <c r="AP143" s="769">
        <f t="shared" ref="AP143" si="492">AO143*S143</f>
        <v>0</v>
      </c>
      <c r="AQ143" s="769">
        <f t="shared" ref="AQ143" si="493">IF(I143=0,0,ROUNDUP(I$4*I143,2))</f>
        <v>0</v>
      </c>
      <c r="AR143" s="769">
        <f>+_xlfn.IFNA(ROUNDUP(L143*ROUNDUP(S143,1),2),0)</f>
        <v>0</v>
      </c>
      <c r="AS143" s="769">
        <v>0</v>
      </c>
      <c r="AT143" s="769">
        <f t="shared" ref="AT143" si="494">+ROUNDUP(AS143*S143,2)</f>
        <v>0</v>
      </c>
      <c r="AU143" s="769">
        <f>_xlfn.IFNA(ROUNDUP((L143+AS143)*M143,2),0)</f>
        <v>0</v>
      </c>
      <c r="AV143" s="769">
        <f t="shared" ref="AV143" si="495">ROUNDUP(AU143*S143,2)</f>
        <v>0</v>
      </c>
      <c r="AW143" s="769">
        <f>_xlfn.IFNA(ROUNDUP((L143+AS143+AU143)*(L$4)*L$3,2),0)</f>
        <v>0</v>
      </c>
      <c r="AX143" s="769">
        <f t="shared" ref="AX143" si="496">ROUNDUP(+AW143*ROUNDUP(S143,1),2)</f>
        <v>0</v>
      </c>
      <c r="AY143" s="769">
        <f>_xlfn.IFNA(ROUNDUP(F143*S143,2),0)</f>
        <v>0</v>
      </c>
      <c r="AZ143" s="769">
        <f>_xlfn.IFNA(ROUNDUP(F143*G143,2),0)</f>
        <v>0</v>
      </c>
      <c r="BA143" s="769">
        <f t="shared" ref="BA143" si="497">ROUNDUP(AZ143*S143,2)</f>
        <v>0</v>
      </c>
      <c r="BB143" s="769">
        <f>_xlfn.IFNA(ROUNDUP((ROUNDUP(F143+AZ143,2)*F$4)*F$3,2),0)</f>
        <v>0</v>
      </c>
      <c r="BC143" s="769">
        <f t="shared" ref="BC143" si="498">BB143*S143</f>
        <v>0</v>
      </c>
      <c r="BD143" s="661"/>
      <c r="BF143" s="480"/>
      <c r="BG143" s="480"/>
      <c r="BH143" s="480"/>
      <c r="BI143" s="480"/>
      <c r="BJ143" s="480"/>
      <c r="BK143" s="769">
        <f>IF(BK$7=$Y143,(+$AL143+$AP143),(0))</f>
        <v>0</v>
      </c>
      <c r="BL143" s="769">
        <f>IF(BL$7=$Y143,(+BK143*$V143),(0))</f>
        <v>0</v>
      </c>
      <c r="BM143" s="769">
        <f>IF(BM$7=$Y143,(+$AR143+$AT143+$AV143),(0))</f>
        <v>0</v>
      </c>
      <c r="BN143" s="769">
        <f>IF(BN$7=$Y143,(+BM143*$V143),(0))</f>
        <v>0</v>
      </c>
      <c r="BO143" s="769">
        <f>IF(BO$7=$X143,($AY143+$BA143),(0))</f>
        <v>0</v>
      </c>
      <c r="BP143" s="769">
        <f>IF(BP$7=$X143,(+BO143*$V143),(0))</f>
        <v>0</v>
      </c>
    </row>
    <row r="144" spans="1:68" s="775" customFormat="1" ht="15.6">
      <c r="A144" s="762"/>
      <c r="B144" s="763"/>
      <c r="C144" s="763"/>
      <c r="D144" s="763"/>
      <c r="E144" s="763"/>
      <c r="F144" s="763"/>
      <c r="G144" s="689"/>
      <c r="H144" s="764"/>
      <c r="I144" s="763"/>
      <c r="J144" s="689"/>
      <c r="K144" s="764"/>
      <c r="L144" s="763"/>
      <c r="M144" s="689"/>
      <c r="N144" s="765"/>
      <c r="O144" s="776"/>
      <c r="P144" s="776"/>
      <c r="Q144" s="777"/>
      <c r="R144" s="762"/>
      <c r="S144" s="768"/>
      <c r="T144" s="769"/>
      <c r="U144" s="772"/>
      <c r="V144" s="771"/>
      <c r="W144" s="772"/>
      <c r="X144" s="773"/>
      <c r="Y144" s="773"/>
      <c r="Z144" s="772"/>
      <c r="AA144" s="772"/>
      <c r="AB144" s="772"/>
      <c r="AC144" s="772"/>
      <c r="AD144" s="772"/>
      <c r="AE144" s="772"/>
      <c r="AF144" s="774"/>
      <c r="AG144" s="772"/>
      <c r="AH144" s="772"/>
      <c r="AI144" s="769"/>
      <c r="AJ144" s="772"/>
      <c r="AK144" s="769"/>
      <c r="AL144" s="769"/>
      <c r="AM144" s="769"/>
      <c r="AN144" s="769"/>
      <c r="AO144" s="769"/>
      <c r="AP144" s="769"/>
      <c r="AQ144" s="769"/>
      <c r="AR144" s="769"/>
      <c r="AS144" s="769"/>
      <c r="AT144" s="769"/>
      <c r="AU144" s="769"/>
      <c r="AV144" s="769"/>
      <c r="AW144" s="769"/>
      <c r="AX144" s="769"/>
      <c r="AY144" s="769"/>
      <c r="AZ144" s="769"/>
      <c r="BA144" s="769"/>
      <c r="BB144" s="769"/>
      <c r="BC144" s="769"/>
      <c r="BD144" s="661"/>
      <c r="BF144" s="480"/>
      <c r="BG144" s="480"/>
      <c r="BH144" s="480"/>
      <c r="BI144" s="480"/>
      <c r="BJ144" s="480"/>
      <c r="BK144" s="769"/>
      <c r="BL144" s="769"/>
      <c r="BM144" s="769"/>
      <c r="BN144" s="769"/>
      <c r="BO144" s="769"/>
      <c r="BP144" s="769"/>
    </row>
    <row r="145" spans="1:68" s="775" customFormat="1" ht="15.6">
      <c r="A145" s="762"/>
      <c r="B145" s="763"/>
      <c r="C145" s="763"/>
      <c r="D145" s="763"/>
      <c r="E145" s="763"/>
      <c r="F145" s="763"/>
      <c r="G145" s="689"/>
      <c r="H145" s="764"/>
      <c r="I145" s="763"/>
      <c r="J145" s="689"/>
      <c r="K145" s="764"/>
      <c r="L145" s="763"/>
      <c r="M145" s="689"/>
      <c r="N145" s="765"/>
      <c r="O145" s="766">
        <v>18</v>
      </c>
      <c r="P145" s="766" t="s">
        <v>306</v>
      </c>
      <c r="Q145" s="767"/>
      <c r="R145" s="762"/>
      <c r="S145" s="768"/>
      <c r="T145" s="769"/>
      <c r="U145" s="770" t="s">
        <v>437</v>
      </c>
      <c r="V145" s="771"/>
      <c r="W145" s="772"/>
      <c r="X145" s="773"/>
      <c r="Y145" s="773"/>
      <c r="Z145" s="772"/>
      <c r="AA145" s="772"/>
      <c r="AB145" s="772"/>
      <c r="AC145" s="772"/>
      <c r="AD145" s="772"/>
      <c r="AE145" s="772"/>
      <c r="AF145" s="774"/>
      <c r="AG145" s="772"/>
      <c r="AH145" s="772"/>
      <c r="AI145" s="769"/>
      <c r="AJ145" s="772"/>
      <c r="AK145" s="769"/>
      <c r="AL145" s="769"/>
      <c r="AM145" s="769"/>
      <c r="AN145" s="769"/>
      <c r="AO145" s="769"/>
      <c r="AP145" s="769"/>
      <c r="AQ145" s="769"/>
      <c r="AR145" s="769"/>
      <c r="AS145" s="769"/>
      <c r="AT145" s="769"/>
      <c r="AU145" s="769"/>
      <c r="AV145" s="769"/>
      <c r="AW145" s="769"/>
      <c r="AX145" s="769"/>
      <c r="AY145" s="769"/>
      <c r="AZ145" s="769"/>
      <c r="BA145" s="769"/>
      <c r="BB145" s="769"/>
      <c r="BC145" s="769"/>
      <c r="BD145" s="661"/>
      <c r="BF145" s="480"/>
      <c r="BG145" s="480"/>
      <c r="BH145" s="480"/>
      <c r="BI145" s="480"/>
      <c r="BJ145" s="480"/>
      <c r="BK145" s="769"/>
      <c r="BL145" s="769"/>
      <c r="BM145" s="769"/>
      <c r="BN145" s="769"/>
      <c r="BO145" s="769"/>
      <c r="BP145" s="769"/>
    </row>
    <row r="146" spans="1:68" s="775" customFormat="1" ht="15.6">
      <c r="A146" s="762"/>
      <c r="B146" s="763"/>
      <c r="C146" s="763"/>
      <c r="D146" s="763"/>
      <c r="E146" s="763"/>
      <c r="F146" s="763"/>
      <c r="G146" s="689"/>
      <c r="H146" s="764"/>
      <c r="I146" s="763"/>
      <c r="J146" s="689"/>
      <c r="K146" s="764"/>
      <c r="L146" s="763"/>
      <c r="M146" s="689"/>
      <c r="N146" s="765"/>
      <c r="O146" s="776"/>
      <c r="P146" s="776"/>
      <c r="Q146" s="777"/>
      <c r="R146" s="762"/>
      <c r="S146" s="768"/>
      <c r="T146" s="769"/>
      <c r="U146" s="772"/>
      <c r="V146" s="771"/>
      <c r="W146" s="772"/>
      <c r="X146" s="773"/>
      <c r="Y146" s="773"/>
      <c r="Z146" s="772"/>
      <c r="AA146" s="772"/>
      <c r="AB146" s="772"/>
      <c r="AC146" s="772"/>
      <c r="AD146" s="772"/>
      <c r="AE146" s="772"/>
      <c r="AF146" s="774"/>
      <c r="AG146" s="772"/>
      <c r="AH146" s="772"/>
      <c r="AI146" s="769"/>
      <c r="AJ146" s="772"/>
      <c r="AK146" s="769"/>
      <c r="AL146" s="769"/>
      <c r="AM146" s="769"/>
      <c r="AN146" s="769"/>
      <c r="AO146" s="769"/>
      <c r="AP146" s="769"/>
      <c r="AQ146" s="769"/>
      <c r="AR146" s="769"/>
      <c r="AS146" s="769"/>
      <c r="AT146" s="769"/>
      <c r="AU146" s="769"/>
      <c r="AV146" s="769"/>
      <c r="AW146" s="769"/>
      <c r="AX146" s="769"/>
      <c r="AY146" s="769"/>
      <c r="AZ146" s="769"/>
      <c r="BA146" s="769"/>
      <c r="BB146" s="769"/>
      <c r="BC146" s="769"/>
      <c r="BD146" s="661"/>
      <c r="BF146" s="480"/>
      <c r="BG146" s="480"/>
      <c r="BH146" s="480"/>
      <c r="BI146" s="480"/>
      <c r="BJ146" s="480"/>
      <c r="BK146" s="769"/>
      <c r="BL146" s="769"/>
      <c r="BM146" s="769"/>
      <c r="BN146" s="769"/>
      <c r="BO146" s="769"/>
      <c r="BP146" s="769"/>
    </row>
    <row r="147" spans="1:68" s="775" customFormat="1" ht="15.6">
      <c r="A147" s="762"/>
      <c r="B147" s="763">
        <v>0</v>
      </c>
      <c r="C147" s="763">
        <v>0</v>
      </c>
      <c r="D147" s="763">
        <v>0</v>
      </c>
      <c r="E147" s="763">
        <v>0</v>
      </c>
      <c r="F147" s="763">
        <v>0</v>
      </c>
      <c r="G147" s="689">
        <f>+G$4</f>
        <v>0</v>
      </c>
      <c r="H147" s="764">
        <f>AM147+AN147</f>
        <v>0</v>
      </c>
      <c r="I147" s="763">
        <v>0</v>
      </c>
      <c r="J147" s="689">
        <f>+J$4</f>
        <v>0</v>
      </c>
      <c r="K147" s="764">
        <f>AR147+AT147+AV147+AX147</f>
        <v>0</v>
      </c>
      <c r="L147" s="763">
        <v>0</v>
      </c>
      <c r="M147" s="689">
        <f>+M$4</f>
        <v>0</v>
      </c>
      <c r="N147" s="765"/>
      <c r="O147" s="776"/>
      <c r="P147" s="776"/>
      <c r="Q147" s="777" t="s">
        <v>307</v>
      </c>
      <c r="R147" s="762" t="s">
        <v>211</v>
      </c>
      <c r="S147" s="768">
        <v>1</v>
      </c>
      <c r="T147" s="769">
        <f t="shared" ref="T147:T151" si="499">_xlfn.IFNA(ROUNDUP(AF147+AJ147+AO147+AQ147+L147+AS147+AU147+AW147+F147+AZ147+BB147,2),0)</f>
        <v>0</v>
      </c>
      <c r="U147" s="772">
        <f t="shared" ref="U147:U151" si="500">ROUND(T147*ROUNDUP(S147,1),2)</f>
        <v>0</v>
      </c>
      <c r="V147" s="771">
        <v>0</v>
      </c>
      <c r="W147" s="772">
        <f t="shared" ref="W147:W151" si="501">ROUND(+U147*V147,2)</f>
        <v>0</v>
      </c>
      <c r="X147" s="773"/>
      <c r="Y147" s="773"/>
      <c r="Z147" s="772">
        <f t="shared" ref="Z147:Z151" si="502">_xlfn.IFNA(ROUNDUP(AJ147*U147,2),0)</f>
        <v>0</v>
      </c>
      <c r="AA147" s="772">
        <f t="shared" ref="AA147:AA151" si="503">_xlfn.IFNA(ROUNDUP(AK147*V147,2),0)</f>
        <v>0</v>
      </c>
      <c r="AB147" s="772">
        <f t="shared" ref="AB147:AB151" si="504">ROUNDUP((AP147+AL147)*V147,2)</f>
        <v>0</v>
      </c>
      <c r="AC147" s="772">
        <f t="shared" ref="AC147:AC151" si="505">_xlfn.IFNA(ROUNDUP((AT147+AV147+AR147)*V147,2),0)</f>
        <v>0</v>
      </c>
      <c r="AD147" s="772">
        <f t="shared" ref="AD147:AD151" si="506">_xlfn.IFNA(ROUNDUP((BA147+AY147)*V147,2),0)</f>
        <v>0</v>
      </c>
      <c r="AE147" s="772">
        <f t="shared" ref="AE147:AE151" si="507">_xlfn.IFNA((BC147+AX147+AG147)*V147,0)</f>
        <v>0</v>
      </c>
      <c r="AF147" s="774">
        <f t="shared" ref="AF147:AF151" si="508">+_xlfn.IFNA(D147,0)</f>
        <v>0</v>
      </c>
      <c r="AG147" s="772">
        <f t="shared" ref="AG147:AG151" si="509">_xlfn.IFNA(ROUNDUP(D147*S147,2),0)</f>
        <v>0</v>
      </c>
      <c r="AH147" s="772">
        <f t="shared" ref="AH147:AH151" si="510">+_xlfn.IFNA(C147,0)</f>
        <v>0</v>
      </c>
      <c r="AI147" s="769">
        <f t="shared" ref="AI147:AI151" si="511">_xlfn.IFNA(C147*S147,0)</f>
        <v>0</v>
      </c>
      <c r="AJ147" s="772">
        <f t="shared" ref="AJ147:AJ151" si="512">+_xlfn.IFNA(E147,0)</f>
        <v>0</v>
      </c>
      <c r="AK147" s="769">
        <f t="shared" ref="AK147:AK151" si="513">_xlfn.IFNA(E147*S147,0)</f>
        <v>0</v>
      </c>
      <c r="AL147" s="769">
        <f t="shared" ref="AL147:AL151" si="514">ROUNDUP(S147*AQ147,2)</f>
        <v>0</v>
      </c>
      <c r="AM147" s="769">
        <f t="shared" ref="AM147:AM151" si="515">ROUNDUP(+I147*S147,2)</f>
        <v>0</v>
      </c>
      <c r="AN147" s="769">
        <f t="shared" ref="AN147:AN151" si="516">J147*I147*S147</f>
        <v>0</v>
      </c>
      <c r="AO147" s="769">
        <f t="shared" ref="AO147:AO151" si="517">ROUNDUP(I147*I$4*J147,2)</f>
        <v>0</v>
      </c>
      <c r="AP147" s="769">
        <f t="shared" ref="AP147:AP151" si="518">AO147*S147</f>
        <v>0</v>
      </c>
      <c r="AQ147" s="769">
        <f t="shared" ref="AQ147:AQ151" si="519">IF(I147=0,0,ROUNDUP(I$4*I147,2))</f>
        <v>0</v>
      </c>
      <c r="AR147" s="769">
        <f t="shared" ref="AR147:AR151" si="520">+_xlfn.IFNA(ROUNDUP(L147*ROUNDUP(S147,1),2),0)</f>
        <v>0</v>
      </c>
      <c r="AS147" s="769">
        <v>0</v>
      </c>
      <c r="AT147" s="769">
        <f t="shared" ref="AT147:AT151" si="521">+ROUNDUP(AS147*S147,2)</f>
        <v>0</v>
      </c>
      <c r="AU147" s="769">
        <f t="shared" ref="AU147:AU151" si="522">_xlfn.IFNA(ROUNDUP((L147+AS147)*M147,2),0)</f>
        <v>0</v>
      </c>
      <c r="AV147" s="769">
        <f t="shared" ref="AV147:AV151" si="523">ROUNDUP(AU147*S147,2)</f>
        <v>0</v>
      </c>
      <c r="AW147" s="769">
        <f t="shared" ref="AW147:AW151" si="524">_xlfn.IFNA(ROUNDUP((L147+AS147+AU147)*(L$4)*L$3,2),0)</f>
        <v>0</v>
      </c>
      <c r="AX147" s="769">
        <f t="shared" ref="AX147:AX151" si="525">ROUNDUP(+AW147*ROUNDUP(S147,1),2)</f>
        <v>0</v>
      </c>
      <c r="AY147" s="769">
        <f t="shared" ref="AY147:AY151" si="526">_xlfn.IFNA(ROUNDUP(F147*S147,2),0)</f>
        <v>0</v>
      </c>
      <c r="AZ147" s="769">
        <f t="shared" ref="AZ147:AZ151" si="527">_xlfn.IFNA(ROUNDUP(F147*G147,2),0)</f>
        <v>0</v>
      </c>
      <c r="BA147" s="769">
        <f t="shared" ref="BA147:BA151" si="528">ROUNDUP(AZ147*S147,2)</f>
        <v>0</v>
      </c>
      <c r="BB147" s="769">
        <f t="shared" ref="BB147:BB151" si="529">_xlfn.IFNA(ROUNDUP((ROUNDUP(F147+AZ147,2)*F$4)*F$3,2),0)</f>
        <v>0</v>
      </c>
      <c r="BC147" s="769">
        <f t="shared" ref="BC147:BC151" si="530">BB147*S147</f>
        <v>0</v>
      </c>
      <c r="BD147" s="661"/>
      <c r="BF147" s="480"/>
      <c r="BG147" s="480"/>
      <c r="BH147" s="480"/>
      <c r="BI147" s="480"/>
      <c r="BJ147" s="480"/>
      <c r="BK147" s="769">
        <f>IF(BK$7=$Y147,(+$AL147+$AP147),(0))</f>
        <v>0</v>
      </c>
      <c r="BL147" s="769">
        <f>IF(BL$7=$Y147,(+BK147*$V147),(0))</f>
        <v>0</v>
      </c>
      <c r="BM147" s="769">
        <f>IF(BM$7=$Y147,(+$AR147+$AT147+$AV147),(0))</f>
        <v>0</v>
      </c>
      <c r="BN147" s="769">
        <f>IF(BN$7=$Y147,(+BM147*$V147),(0))</f>
        <v>0</v>
      </c>
      <c r="BO147" s="769">
        <f>IF(BO$7=$X147,($AY147+$BA147),(0))</f>
        <v>0</v>
      </c>
      <c r="BP147" s="769">
        <f>IF(BP$7=$X147,(+BO147*$V147),(0))</f>
        <v>0</v>
      </c>
    </row>
    <row r="148" spans="1:68" s="775" customFormat="1" ht="15.6">
      <c r="A148" s="762"/>
      <c r="B148" s="763">
        <v>0</v>
      </c>
      <c r="C148" s="763">
        <v>0</v>
      </c>
      <c r="D148" s="763">
        <v>0</v>
      </c>
      <c r="E148" s="763">
        <v>0</v>
      </c>
      <c r="F148" s="763">
        <v>0</v>
      </c>
      <c r="G148" s="689">
        <f>+G$4</f>
        <v>0</v>
      </c>
      <c r="H148" s="764">
        <f>AM148+AN148</f>
        <v>0</v>
      </c>
      <c r="I148" s="763">
        <v>0</v>
      </c>
      <c r="J148" s="689">
        <f>+J$4</f>
        <v>0</v>
      </c>
      <c r="K148" s="764">
        <f>AR148+AT148+AV148+AX148</f>
        <v>0</v>
      </c>
      <c r="L148" s="763">
        <v>0</v>
      </c>
      <c r="M148" s="689">
        <f>+M$4</f>
        <v>0</v>
      </c>
      <c r="N148" s="765"/>
      <c r="O148" s="776"/>
      <c r="P148" s="776"/>
      <c r="Q148" s="777" t="s">
        <v>308</v>
      </c>
      <c r="R148" s="762" t="s">
        <v>211</v>
      </c>
      <c r="S148" s="768">
        <v>1</v>
      </c>
      <c r="T148" s="769">
        <f t="shared" si="499"/>
        <v>0</v>
      </c>
      <c r="U148" s="772">
        <f t="shared" si="500"/>
        <v>0</v>
      </c>
      <c r="V148" s="771">
        <v>0</v>
      </c>
      <c r="W148" s="772">
        <f t="shared" si="501"/>
        <v>0</v>
      </c>
      <c r="X148" s="773"/>
      <c r="Y148" s="773"/>
      <c r="Z148" s="772">
        <f t="shared" si="502"/>
        <v>0</v>
      </c>
      <c r="AA148" s="772">
        <f t="shared" si="503"/>
        <v>0</v>
      </c>
      <c r="AB148" s="772">
        <f t="shared" si="504"/>
        <v>0</v>
      </c>
      <c r="AC148" s="772">
        <f t="shared" si="505"/>
        <v>0</v>
      </c>
      <c r="AD148" s="772">
        <f t="shared" si="506"/>
        <v>0</v>
      </c>
      <c r="AE148" s="772">
        <f t="shared" si="507"/>
        <v>0</v>
      </c>
      <c r="AF148" s="774">
        <f t="shared" si="508"/>
        <v>0</v>
      </c>
      <c r="AG148" s="772">
        <f t="shared" si="509"/>
        <v>0</v>
      </c>
      <c r="AH148" s="772">
        <f t="shared" si="510"/>
        <v>0</v>
      </c>
      <c r="AI148" s="769">
        <f t="shared" si="511"/>
        <v>0</v>
      </c>
      <c r="AJ148" s="772">
        <f t="shared" si="512"/>
        <v>0</v>
      </c>
      <c r="AK148" s="769">
        <f t="shared" si="513"/>
        <v>0</v>
      </c>
      <c r="AL148" s="769">
        <f t="shared" si="514"/>
        <v>0</v>
      </c>
      <c r="AM148" s="769">
        <f t="shared" si="515"/>
        <v>0</v>
      </c>
      <c r="AN148" s="769">
        <f t="shared" si="516"/>
        <v>0</v>
      </c>
      <c r="AO148" s="769">
        <f t="shared" si="517"/>
        <v>0</v>
      </c>
      <c r="AP148" s="769">
        <f t="shared" si="518"/>
        <v>0</v>
      </c>
      <c r="AQ148" s="769">
        <f t="shared" si="519"/>
        <v>0</v>
      </c>
      <c r="AR148" s="769">
        <f t="shared" si="520"/>
        <v>0</v>
      </c>
      <c r="AS148" s="769">
        <v>0</v>
      </c>
      <c r="AT148" s="769">
        <f t="shared" si="521"/>
        <v>0</v>
      </c>
      <c r="AU148" s="769">
        <f t="shared" si="522"/>
        <v>0</v>
      </c>
      <c r="AV148" s="769">
        <f t="shared" si="523"/>
        <v>0</v>
      </c>
      <c r="AW148" s="769">
        <f t="shared" si="524"/>
        <v>0</v>
      </c>
      <c r="AX148" s="769">
        <f t="shared" si="525"/>
        <v>0</v>
      </c>
      <c r="AY148" s="769">
        <f t="shared" si="526"/>
        <v>0</v>
      </c>
      <c r="AZ148" s="769">
        <f t="shared" si="527"/>
        <v>0</v>
      </c>
      <c r="BA148" s="769">
        <f t="shared" si="528"/>
        <v>0</v>
      </c>
      <c r="BB148" s="769">
        <f t="shared" si="529"/>
        <v>0</v>
      </c>
      <c r="BC148" s="769">
        <f t="shared" si="530"/>
        <v>0</v>
      </c>
      <c r="BD148" s="661"/>
      <c r="BF148" s="480"/>
      <c r="BG148" s="480"/>
      <c r="BH148" s="480"/>
      <c r="BI148" s="480"/>
      <c r="BJ148" s="480"/>
      <c r="BK148" s="769">
        <f>IF(BK$7=$Y148,(+$AL148+$AP148),(0))</f>
        <v>0</v>
      </c>
      <c r="BL148" s="769">
        <f>IF(BL$7=$Y148,(+BK148*$V148),(0))</f>
        <v>0</v>
      </c>
      <c r="BM148" s="769">
        <f>IF(BM$7=$Y148,(+$AR148+$AT148+$AV148),(0))</f>
        <v>0</v>
      </c>
      <c r="BN148" s="769">
        <f>IF(BN$7=$Y148,(+BM148*$V148),(0))</f>
        <v>0</v>
      </c>
      <c r="BO148" s="769">
        <f>IF(BO$7=$X148,($AY148+$BA148),(0))</f>
        <v>0</v>
      </c>
      <c r="BP148" s="769">
        <f>IF(BP$7=$X148,(+BO148*$V148),(0))</f>
        <v>0</v>
      </c>
    </row>
    <row r="149" spans="1:68" s="775" customFormat="1" ht="15.6">
      <c r="A149" s="762"/>
      <c r="B149" s="763">
        <v>0</v>
      </c>
      <c r="C149" s="763">
        <v>0</v>
      </c>
      <c r="D149" s="763">
        <v>0</v>
      </c>
      <c r="E149" s="763">
        <v>0</v>
      </c>
      <c r="F149" s="763">
        <v>0</v>
      </c>
      <c r="G149" s="689">
        <f>+G$4</f>
        <v>0</v>
      </c>
      <c r="H149" s="764">
        <f>AM149+AN149</f>
        <v>0</v>
      </c>
      <c r="I149" s="763">
        <v>0</v>
      </c>
      <c r="J149" s="689">
        <f>+J$4</f>
        <v>0</v>
      </c>
      <c r="K149" s="764">
        <f>AR149+AT149+AV149+AX149</f>
        <v>0</v>
      </c>
      <c r="L149" s="763">
        <v>0</v>
      </c>
      <c r="M149" s="689">
        <f>+M$4</f>
        <v>0</v>
      </c>
      <c r="N149" s="765"/>
      <c r="O149" s="776"/>
      <c r="P149" s="776"/>
      <c r="Q149" s="777" t="s">
        <v>309</v>
      </c>
      <c r="R149" s="762" t="s">
        <v>211</v>
      </c>
      <c r="S149" s="768">
        <v>1</v>
      </c>
      <c r="T149" s="769">
        <f t="shared" si="499"/>
        <v>0</v>
      </c>
      <c r="U149" s="772">
        <f t="shared" si="500"/>
        <v>0</v>
      </c>
      <c r="V149" s="771">
        <v>0</v>
      </c>
      <c r="W149" s="772">
        <f t="shared" si="501"/>
        <v>0</v>
      </c>
      <c r="X149" s="773"/>
      <c r="Y149" s="773"/>
      <c r="Z149" s="772">
        <f t="shared" si="502"/>
        <v>0</v>
      </c>
      <c r="AA149" s="772">
        <f t="shared" si="503"/>
        <v>0</v>
      </c>
      <c r="AB149" s="772">
        <f t="shared" si="504"/>
        <v>0</v>
      </c>
      <c r="AC149" s="772">
        <f t="shared" si="505"/>
        <v>0</v>
      </c>
      <c r="AD149" s="772">
        <f t="shared" si="506"/>
        <v>0</v>
      </c>
      <c r="AE149" s="772">
        <f t="shared" si="507"/>
        <v>0</v>
      </c>
      <c r="AF149" s="774">
        <f t="shared" si="508"/>
        <v>0</v>
      </c>
      <c r="AG149" s="772">
        <f t="shared" si="509"/>
        <v>0</v>
      </c>
      <c r="AH149" s="772">
        <f t="shared" si="510"/>
        <v>0</v>
      </c>
      <c r="AI149" s="769">
        <f t="shared" si="511"/>
        <v>0</v>
      </c>
      <c r="AJ149" s="772">
        <f t="shared" si="512"/>
        <v>0</v>
      </c>
      <c r="AK149" s="769">
        <f t="shared" si="513"/>
        <v>0</v>
      </c>
      <c r="AL149" s="769">
        <f t="shared" si="514"/>
        <v>0</v>
      </c>
      <c r="AM149" s="769">
        <f t="shared" si="515"/>
        <v>0</v>
      </c>
      <c r="AN149" s="769">
        <f t="shared" si="516"/>
        <v>0</v>
      </c>
      <c r="AO149" s="769">
        <f t="shared" si="517"/>
        <v>0</v>
      </c>
      <c r="AP149" s="769">
        <f t="shared" si="518"/>
        <v>0</v>
      </c>
      <c r="AQ149" s="769">
        <f t="shared" si="519"/>
        <v>0</v>
      </c>
      <c r="AR149" s="769">
        <f t="shared" si="520"/>
        <v>0</v>
      </c>
      <c r="AS149" s="769">
        <v>0</v>
      </c>
      <c r="AT149" s="769">
        <f t="shared" si="521"/>
        <v>0</v>
      </c>
      <c r="AU149" s="769">
        <f t="shared" si="522"/>
        <v>0</v>
      </c>
      <c r="AV149" s="769">
        <f t="shared" si="523"/>
        <v>0</v>
      </c>
      <c r="AW149" s="769">
        <f t="shared" si="524"/>
        <v>0</v>
      </c>
      <c r="AX149" s="769">
        <f t="shared" si="525"/>
        <v>0</v>
      </c>
      <c r="AY149" s="769">
        <f t="shared" si="526"/>
        <v>0</v>
      </c>
      <c r="AZ149" s="769">
        <f t="shared" si="527"/>
        <v>0</v>
      </c>
      <c r="BA149" s="769">
        <f t="shared" si="528"/>
        <v>0</v>
      </c>
      <c r="BB149" s="769">
        <f t="shared" si="529"/>
        <v>0</v>
      </c>
      <c r="BC149" s="769">
        <f t="shared" si="530"/>
        <v>0</v>
      </c>
      <c r="BD149" s="661"/>
      <c r="BF149" s="480"/>
      <c r="BG149" s="480"/>
      <c r="BH149" s="480"/>
      <c r="BI149" s="480"/>
      <c r="BJ149" s="480"/>
      <c r="BK149" s="769">
        <f>IF(BK$7=$Y149,(+$AL149+$AP149),(0))</f>
        <v>0</v>
      </c>
      <c r="BL149" s="769">
        <f>IF(BL$7=$Y149,(+BK149*$V149),(0))</f>
        <v>0</v>
      </c>
      <c r="BM149" s="769">
        <f>IF(BM$7=$Y149,(+$AR149+$AT149+$AV149),(0))</f>
        <v>0</v>
      </c>
      <c r="BN149" s="769">
        <f>IF(BN$7=$Y149,(+BM149*$V149),(0))</f>
        <v>0</v>
      </c>
      <c r="BO149" s="769">
        <f>IF(BO$7=$X149,($AY149+$BA149),(0))</f>
        <v>0</v>
      </c>
      <c r="BP149" s="769">
        <f>IF(BP$7=$X149,(+BO149*$V149),(0))</f>
        <v>0</v>
      </c>
    </row>
    <row r="150" spans="1:68" s="775" customFormat="1" ht="15.6">
      <c r="A150" s="762"/>
      <c r="B150" s="763">
        <v>0</v>
      </c>
      <c r="C150" s="763">
        <v>0</v>
      </c>
      <c r="D150" s="763">
        <v>0</v>
      </c>
      <c r="E150" s="763">
        <v>0</v>
      </c>
      <c r="F150" s="763">
        <v>0</v>
      </c>
      <c r="G150" s="689">
        <f>+G$4</f>
        <v>0</v>
      </c>
      <c r="H150" s="764">
        <f>AM150+AN150</f>
        <v>0</v>
      </c>
      <c r="I150" s="763">
        <v>0</v>
      </c>
      <c r="J150" s="689">
        <f>+J$4</f>
        <v>0</v>
      </c>
      <c r="K150" s="764">
        <f>AR150+AT150+AV150+AX150</f>
        <v>0</v>
      </c>
      <c r="L150" s="763">
        <v>0</v>
      </c>
      <c r="M150" s="689">
        <f>+M$4</f>
        <v>0</v>
      </c>
      <c r="N150" s="765"/>
      <c r="O150" s="776"/>
      <c r="P150" s="776"/>
      <c r="Q150" s="777" t="s">
        <v>310</v>
      </c>
      <c r="R150" s="762" t="s">
        <v>211</v>
      </c>
      <c r="S150" s="768">
        <v>1</v>
      </c>
      <c r="T150" s="769">
        <f t="shared" si="499"/>
        <v>0</v>
      </c>
      <c r="U150" s="772">
        <f t="shared" si="500"/>
        <v>0</v>
      </c>
      <c r="V150" s="771">
        <v>0</v>
      </c>
      <c r="W150" s="772">
        <f t="shared" si="501"/>
        <v>0</v>
      </c>
      <c r="X150" s="773"/>
      <c r="Y150" s="773"/>
      <c r="Z150" s="772">
        <f t="shared" si="502"/>
        <v>0</v>
      </c>
      <c r="AA150" s="772">
        <f t="shared" si="503"/>
        <v>0</v>
      </c>
      <c r="AB150" s="772">
        <f t="shared" si="504"/>
        <v>0</v>
      </c>
      <c r="AC150" s="772">
        <f t="shared" si="505"/>
        <v>0</v>
      </c>
      <c r="AD150" s="772">
        <f t="shared" si="506"/>
        <v>0</v>
      </c>
      <c r="AE150" s="772">
        <f t="shared" si="507"/>
        <v>0</v>
      </c>
      <c r="AF150" s="774">
        <f t="shared" si="508"/>
        <v>0</v>
      </c>
      <c r="AG150" s="772">
        <f t="shared" si="509"/>
        <v>0</v>
      </c>
      <c r="AH150" s="772">
        <f t="shared" si="510"/>
        <v>0</v>
      </c>
      <c r="AI150" s="769">
        <f t="shared" si="511"/>
        <v>0</v>
      </c>
      <c r="AJ150" s="772">
        <f t="shared" si="512"/>
        <v>0</v>
      </c>
      <c r="AK150" s="769">
        <f t="shared" si="513"/>
        <v>0</v>
      </c>
      <c r="AL150" s="769">
        <f t="shared" si="514"/>
        <v>0</v>
      </c>
      <c r="AM150" s="769">
        <f t="shared" si="515"/>
        <v>0</v>
      </c>
      <c r="AN150" s="769">
        <f t="shared" si="516"/>
        <v>0</v>
      </c>
      <c r="AO150" s="769">
        <f t="shared" si="517"/>
        <v>0</v>
      </c>
      <c r="AP150" s="769">
        <f t="shared" si="518"/>
        <v>0</v>
      </c>
      <c r="AQ150" s="769">
        <f t="shared" si="519"/>
        <v>0</v>
      </c>
      <c r="AR150" s="769">
        <f t="shared" si="520"/>
        <v>0</v>
      </c>
      <c r="AS150" s="769">
        <v>0</v>
      </c>
      <c r="AT150" s="769">
        <f t="shared" si="521"/>
        <v>0</v>
      </c>
      <c r="AU150" s="769">
        <f t="shared" si="522"/>
        <v>0</v>
      </c>
      <c r="AV150" s="769">
        <f t="shared" si="523"/>
        <v>0</v>
      </c>
      <c r="AW150" s="769">
        <f t="shared" si="524"/>
        <v>0</v>
      </c>
      <c r="AX150" s="769">
        <f t="shared" si="525"/>
        <v>0</v>
      </c>
      <c r="AY150" s="769">
        <f t="shared" si="526"/>
        <v>0</v>
      </c>
      <c r="AZ150" s="769">
        <f t="shared" si="527"/>
        <v>0</v>
      </c>
      <c r="BA150" s="769">
        <f t="shared" si="528"/>
        <v>0</v>
      </c>
      <c r="BB150" s="769">
        <f t="shared" si="529"/>
        <v>0</v>
      </c>
      <c r="BC150" s="769">
        <f t="shared" si="530"/>
        <v>0</v>
      </c>
      <c r="BD150" s="661"/>
      <c r="BF150" s="480"/>
      <c r="BG150" s="480"/>
      <c r="BH150" s="480"/>
      <c r="BI150" s="480"/>
      <c r="BJ150" s="480"/>
      <c r="BK150" s="769">
        <f>IF(BK$7=$Y150,(+$AL150+$AP150),(0))</f>
        <v>0</v>
      </c>
      <c r="BL150" s="769">
        <f>IF(BL$7=$Y150,(+BK150*$V150),(0))</f>
        <v>0</v>
      </c>
      <c r="BM150" s="769">
        <f>IF(BM$7=$Y150,(+$AR150+$AT150+$AV150),(0))</f>
        <v>0</v>
      </c>
      <c r="BN150" s="769">
        <f>IF(BN$7=$Y150,(+BM150*$V150),(0))</f>
        <v>0</v>
      </c>
      <c r="BO150" s="769">
        <f>IF(BO$7=$X150,($AY150+$BA150),(0))</f>
        <v>0</v>
      </c>
      <c r="BP150" s="769">
        <f>IF(BP$7=$X150,(+BO150*$V150),(0))</f>
        <v>0</v>
      </c>
    </row>
    <row r="151" spans="1:68" s="775" customFormat="1" ht="15.6">
      <c r="A151" s="762"/>
      <c r="B151" s="763">
        <v>0</v>
      </c>
      <c r="C151" s="763">
        <v>0</v>
      </c>
      <c r="D151" s="763">
        <v>0</v>
      </c>
      <c r="E151" s="763">
        <v>0</v>
      </c>
      <c r="F151" s="763">
        <v>0</v>
      </c>
      <c r="G151" s="689">
        <f>+G$4</f>
        <v>0</v>
      </c>
      <c r="H151" s="764">
        <f>AM151+AN151</f>
        <v>0</v>
      </c>
      <c r="I151" s="763">
        <v>0</v>
      </c>
      <c r="J151" s="689">
        <f>+J$4</f>
        <v>0</v>
      </c>
      <c r="K151" s="764">
        <f>AR151+AT151+AV151+AX151</f>
        <v>0</v>
      </c>
      <c r="L151" s="763">
        <v>0</v>
      </c>
      <c r="M151" s="689">
        <f>+M$4</f>
        <v>0</v>
      </c>
      <c r="N151" s="765"/>
      <c r="O151" s="776"/>
      <c r="P151" s="776"/>
      <c r="Q151" s="777" t="s">
        <v>311</v>
      </c>
      <c r="R151" s="762" t="s">
        <v>211</v>
      </c>
      <c r="S151" s="768">
        <v>1</v>
      </c>
      <c r="T151" s="769">
        <f t="shared" si="499"/>
        <v>0</v>
      </c>
      <c r="U151" s="772">
        <f t="shared" si="500"/>
        <v>0</v>
      </c>
      <c r="V151" s="771">
        <v>0</v>
      </c>
      <c r="W151" s="772">
        <f t="shared" si="501"/>
        <v>0</v>
      </c>
      <c r="X151" s="773"/>
      <c r="Y151" s="773"/>
      <c r="Z151" s="772">
        <f t="shared" si="502"/>
        <v>0</v>
      </c>
      <c r="AA151" s="772">
        <f t="shared" si="503"/>
        <v>0</v>
      </c>
      <c r="AB151" s="772">
        <f t="shared" si="504"/>
        <v>0</v>
      </c>
      <c r="AC151" s="772">
        <f t="shared" si="505"/>
        <v>0</v>
      </c>
      <c r="AD151" s="772">
        <f t="shared" si="506"/>
        <v>0</v>
      </c>
      <c r="AE151" s="772">
        <f t="shared" si="507"/>
        <v>0</v>
      </c>
      <c r="AF151" s="774">
        <f t="shared" si="508"/>
        <v>0</v>
      </c>
      <c r="AG151" s="772">
        <f t="shared" si="509"/>
        <v>0</v>
      </c>
      <c r="AH151" s="772">
        <f t="shared" si="510"/>
        <v>0</v>
      </c>
      <c r="AI151" s="769">
        <f t="shared" si="511"/>
        <v>0</v>
      </c>
      <c r="AJ151" s="772">
        <f t="shared" si="512"/>
        <v>0</v>
      </c>
      <c r="AK151" s="769">
        <f t="shared" si="513"/>
        <v>0</v>
      </c>
      <c r="AL151" s="769">
        <f t="shared" si="514"/>
        <v>0</v>
      </c>
      <c r="AM151" s="769">
        <f t="shared" si="515"/>
        <v>0</v>
      </c>
      <c r="AN151" s="769">
        <f t="shared" si="516"/>
        <v>0</v>
      </c>
      <c r="AO151" s="769">
        <f t="shared" si="517"/>
        <v>0</v>
      </c>
      <c r="AP151" s="769">
        <f t="shared" si="518"/>
        <v>0</v>
      </c>
      <c r="AQ151" s="769">
        <f t="shared" si="519"/>
        <v>0</v>
      </c>
      <c r="AR151" s="769">
        <f t="shared" si="520"/>
        <v>0</v>
      </c>
      <c r="AS151" s="769">
        <v>0</v>
      </c>
      <c r="AT151" s="769">
        <f t="shared" si="521"/>
        <v>0</v>
      </c>
      <c r="AU151" s="769">
        <f t="shared" si="522"/>
        <v>0</v>
      </c>
      <c r="AV151" s="769">
        <f t="shared" si="523"/>
        <v>0</v>
      </c>
      <c r="AW151" s="769">
        <f t="shared" si="524"/>
        <v>0</v>
      </c>
      <c r="AX151" s="769">
        <f t="shared" si="525"/>
        <v>0</v>
      </c>
      <c r="AY151" s="769">
        <f t="shared" si="526"/>
        <v>0</v>
      </c>
      <c r="AZ151" s="769">
        <f t="shared" si="527"/>
        <v>0</v>
      </c>
      <c r="BA151" s="769">
        <f t="shared" si="528"/>
        <v>0</v>
      </c>
      <c r="BB151" s="769">
        <f t="shared" si="529"/>
        <v>0</v>
      </c>
      <c r="BC151" s="769">
        <f t="shared" si="530"/>
        <v>0</v>
      </c>
      <c r="BD151" s="661"/>
      <c r="BF151" s="480"/>
      <c r="BG151" s="480"/>
      <c r="BH151" s="480"/>
      <c r="BI151" s="480"/>
      <c r="BJ151" s="480"/>
      <c r="BK151" s="769">
        <f>IF(BK$7=$Y151,(+$AL151+$AP151),(0))</f>
        <v>0</v>
      </c>
      <c r="BL151" s="769">
        <f>IF(BL$7=$Y151,(+BK151*$V151),(0))</f>
        <v>0</v>
      </c>
      <c r="BM151" s="769">
        <f>IF(BM$7=$Y151,(+$AR151+$AT151+$AV151),(0))</f>
        <v>0</v>
      </c>
      <c r="BN151" s="769">
        <f>IF(BN$7=$Y151,(+BM151*$V151),(0))</f>
        <v>0</v>
      </c>
      <c r="BO151" s="769">
        <f>IF(BO$7=$X151,($AY151+$BA151),(0))</f>
        <v>0</v>
      </c>
      <c r="BP151" s="769">
        <f>IF(BP$7=$X151,(+BO151*$V151),(0))</f>
        <v>0</v>
      </c>
    </row>
    <row r="152" spans="1:68" s="775" customFormat="1" ht="15.6">
      <c r="A152" s="762"/>
      <c r="B152" s="763"/>
      <c r="C152" s="763"/>
      <c r="D152" s="763"/>
      <c r="E152" s="763"/>
      <c r="F152" s="763"/>
      <c r="G152" s="689"/>
      <c r="H152" s="764"/>
      <c r="I152" s="763"/>
      <c r="J152" s="689"/>
      <c r="K152" s="764"/>
      <c r="L152" s="763"/>
      <c r="M152" s="689"/>
      <c r="N152" s="765"/>
      <c r="O152" s="776"/>
      <c r="P152" s="776"/>
      <c r="Q152" s="777"/>
      <c r="R152" s="762"/>
      <c r="S152" s="768"/>
      <c r="T152" s="769"/>
      <c r="U152" s="772"/>
      <c r="V152" s="771"/>
      <c r="W152" s="772"/>
      <c r="X152" s="773"/>
      <c r="Y152" s="773"/>
      <c r="Z152" s="772"/>
      <c r="AA152" s="772"/>
      <c r="AB152" s="772"/>
      <c r="AC152" s="772"/>
      <c r="AD152" s="772"/>
      <c r="AE152" s="772"/>
      <c r="AF152" s="774"/>
      <c r="AG152" s="772"/>
      <c r="AH152" s="772"/>
      <c r="AI152" s="769"/>
      <c r="AJ152" s="772"/>
      <c r="AK152" s="769"/>
      <c r="AL152" s="769"/>
      <c r="AM152" s="769"/>
      <c r="AN152" s="769"/>
      <c r="AO152" s="769"/>
      <c r="AP152" s="769"/>
      <c r="AQ152" s="769"/>
      <c r="AR152" s="769"/>
      <c r="AS152" s="769"/>
      <c r="AT152" s="769"/>
      <c r="AU152" s="769"/>
      <c r="AV152" s="769"/>
      <c r="AW152" s="769"/>
      <c r="AX152" s="769"/>
      <c r="AY152" s="769"/>
      <c r="AZ152" s="769"/>
      <c r="BA152" s="769"/>
      <c r="BB152" s="769"/>
      <c r="BC152" s="769"/>
      <c r="BD152" s="661"/>
      <c r="BF152" s="480"/>
      <c r="BG152" s="480"/>
      <c r="BH152" s="480"/>
      <c r="BI152" s="480"/>
      <c r="BJ152" s="480"/>
      <c r="BK152" s="769"/>
      <c r="BL152" s="769"/>
      <c r="BM152" s="769"/>
      <c r="BN152" s="769"/>
      <c r="BO152" s="769"/>
      <c r="BP152" s="769"/>
    </row>
    <row r="153" spans="1:68" s="775" customFormat="1" ht="15.6">
      <c r="A153" s="762"/>
      <c r="B153" s="763"/>
      <c r="C153" s="763"/>
      <c r="D153" s="763"/>
      <c r="E153" s="763"/>
      <c r="F153" s="763"/>
      <c r="G153" s="689"/>
      <c r="H153" s="764"/>
      <c r="I153" s="763"/>
      <c r="J153" s="689"/>
      <c r="K153" s="764"/>
      <c r="L153" s="763"/>
      <c r="M153" s="689"/>
      <c r="N153" s="765"/>
      <c r="O153" s="766">
        <v>19</v>
      </c>
      <c r="P153" s="766" t="s">
        <v>312</v>
      </c>
      <c r="Q153" s="767"/>
      <c r="R153" s="762"/>
      <c r="S153" s="768"/>
      <c r="T153" s="769"/>
      <c r="U153" s="770" t="s">
        <v>437</v>
      </c>
      <c r="V153" s="771"/>
      <c r="W153" s="772"/>
      <c r="X153" s="773"/>
      <c r="Y153" s="773"/>
      <c r="Z153" s="772"/>
      <c r="AA153" s="772"/>
      <c r="AB153" s="772"/>
      <c r="AC153" s="772"/>
      <c r="AD153" s="772"/>
      <c r="AE153" s="772"/>
      <c r="AF153" s="774"/>
      <c r="AG153" s="772"/>
      <c r="AH153" s="772"/>
      <c r="AI153" s="769"/>
      <c r="AJ153" s="772"/>
      <c r="AK153" s="769"/>
      <c r="AL153" s="769"/>
      <c r="AM153" s="769"/>
      <c r="AN153" s="769"/>
      <c r="AO153" s="769"/>
      <c r="AP153" s="769"/>
      <c r="AQ153" s="769"/>
      <c r="AR153" s="769"/>
      <c r="AS153" s="769"/>
      <c r="AT153" s="769"/>
      <c r="AU153" s="769"/>
      <c r="AV153" s="769"/>
      <c r="AW153" s="769"/>
      <c r="AX153" s="769"/>
      <c r="AY153" s="769"/>
      <c r="AZ153" s="769"/>
      <c r="BA153" s="769"/>
      <c r="BB153" s="769"/>
      <c r="BC153" s="769"/>
      <c r="BD153" s="661"/>
      <c r="BF153" s="480"/>
      <c r="BG153" s="480"/>
      <c r="BH153" s="480"/>
      <c r="BI153" s="480"/>
      <c r="BJ153" s="480"/>
      <c r="BK153" s="769"/>
      <c r="BL153" s="769"/>
      <c r="BM153" s="769"/>
      <c r="BN153" s="769"/>
      <c r="BO153" s="769"/>
      <c r="BP153" s="769"/>
    </row>
    <row r="154" spans="1:68" s="775" customFormat="1" ht="15.6">
      <c r="A154" s="762"/>
      <c r="B154" s="763"/>
      <c r="C154" s="763"/>
      <c r="D154" s="763"/>
      <c r="E154" s="763"/>
      <c r="F154" s="763"/>
      <c r="G154" s="689"/>
      <c r="H154" s="764"/>
      <c r="I154" s="763"/>
      <c r="J154" s="689"/>
      <c r="K154" s="764"/>
      <c r="L154" s="763"/>
      <c r="M154" s="689"/>
      <c r="N154" s="765"/>
      <c r="O154" s="776"/>
      <c r="P154" s="776"/>
      <c r="Q154" s="777"/>
      <c r="R154" s="762"/>
      <c r="S154" s="768"/>
      <c r="T154" s="769"/>
      <c r="U154" s="772"/>
      <c r="V154" s="771"/>
      <c r="W154" s="772"/>
      <c r="X154" s="773"/>
      <c r="Y154" s="773"/>
      <c r="Z154" s="772"/>
      <c r="AA154" s="772"/>
      <c r="AB154" s="772"/>
      <c r="AC154" s="772"/>
      <c r="AD154" s="772"/>
      <c r="AE154" s="772"/>
      <c r="AF154" s="774"/>
      <c r="AG154" s="772"/>
      <c r="AH154" s="772"/>
      <c r="AI154" s="769"/>
      <c r="AJ154" s="772"/>
      <c r="AK154" s="769"/>
      <c r="AL154" s="769"/>
      <c r="AM154" s="769"/>
      <c r="AN154" s="769"/>
      <c r="AO154" s="769"/>
      <c r="AP154" s="769"/>
      <c r="AQ154" s="769"/>
      <c r="AR154" s="769"/>
      <c r="AS154" s="769"/>
      <c r="AT154" s="769"/>
      <c r="AU154" s="769"/>
      <c r="AV154" s="769"/>
      <c r="AW154" s="769"/>
      <c r="AX154" s="769"/>
      <c r="AY154" s="769"/>
      <c r="AZ154" s="769"/>
      <c r="BA154" s="769"/>
      <c r="BB154" s="769"/>
      <c r="BC154" s="769"/>
      <c r="BD154" s="661"/>
      <c r="BF154" s="480"/>
      <c r="BG154" s="480"/>
      <c r="BH154" s="480"/>
      <c r="BI154" s="480"/>
      <c r="BJ154" s="480"/>
      <c r="BK154" s="769"/>
      <c r="BL154" s="769"/>
      <c r="BM154" s="769"/>
      <c r="BN154" s="769"/>
      <c r="BO154" s="769"/>
      <c r="BP154" s="769"/>
    </row>
    <row r="155" spans="1:68" s="775" customFormat="1" ht="15.6">
      <c r="A155" s="762"/>
      <c r="B155" s="763">
        <v>0</v>
      </c>
      <c r="C155" s="763">
        <v>0</v>
      </c>
      <c r="D155" s="763">
        <v>0</v>
      </c>
      <c r="E155" s="763">
        <v>0</v>
      </c>
      <c r="F155" s="763">
        <v>0</v>
      </c>
      <c r="G155" s="689">
        <f>+G$4</f>
        <v>0</v>
      </c>
      <c r="H155" s="764">
        <f>AM155+AN155</f>
        <v>0</v>
      </c>
      <c r="I155" s="763">
        <v>0</v>
      </c>
      <c r="J155" s="689">
        <f>+J$4</f>
        <v>0</v>
      </c>
      <c r="K155" s="764">
        <f>AR155+AT155+AV155+AX155</f>
        <v>0</v>
      </c>
      <c r="L155" s="763">
        <v>0</v>
      </c>
      <c r="M155" s="689">
        <f>+M$4</f>
        <v>0</v>
      </c>
      <c r="N155" s="765"/>
      <c r="O155" s="776"/>
      <c r="P155" s="776"/>
      <c r="Q155" s="777" t="s">
        <v>313</v>
      </c>
      <c r="R155" s="762" t="s">
        <v>211</v>
      </c>
      <c r="S155" s="768">
        <v>1</v>
      </c>
      <c r="T155" s="769">
        <f t="shared" ref="T155:T158" si="531">_xlfn.IFNA(ROUNDUP(AF155+AJ155+AO155+AQ155+L155+AS155+AU155+AW155+F155+AZ155+BB155,2),0)</f>
        <v>0</v>
      </c>
      <c r="U155" s="772">
        <f t="shared" ref="U155:U158" si="532">ROUND(T155*ROUNDUP(S155,1),2)</f>
        <v>0</v>
      </c>
      <c r="V155" s="771">
        <v>0</v>
      </c>
      <c r="W155" s="772">
        <f t="shared" ref="W155:W158" si="533">ROUND(+U155*V155,2)</f>
        <v>0</v>
      </c>
      <c r="X155" s="773"/>
      <c r="Y155" s="773"/>
      <c r="Z155" s="772">
        <f t="shared" ref="Z155:Z158" si="534">_xlfn.IFNA(ROUNDUP(AJ155*U155,2),0)</f>
        <v>0</v>
      </c>
      <c r="AA155" s="772">
        <f t="shared" ref="AA155:AA158" si="535">_xlfn.IFNA(ROUNDUP(AK155*V155,2),0)</f>
        <v>0</v>
      </c>
      <c r="AB155" s="772">
        <f t="shared" ref="AB155:AB158" si="536">ROUNDUP((AP155+AL155)*V155,2)</f>
        <v>0</v>
      </c>
      <c r="AC155" s="772">
        <f t="shared" ref="AC155:AC158" si="537">_xlfn.IFNA(ROUNDUP((AT155+AV155+AR155)*V155,2),0)</f>
        <v>0</v>
      </c>
      <c r="AD155" s="772">
        <f t="shared" ref="AD155:AD158" si="538">_xlfn.IFNA(ROUNDUP((BA155+AY155)*V155,2),0)</f>
        <v>0</v>
      </c>
      <c r="AE155" s="772">
        <f t="shared" ref="AE155:AE158" si="539">_xlfn.IFNA((BC155+AX155+AG155)*V155,0)</f>
        <v>0</v>
      </c>
      <c r="AF155" s="774">
        <f t="shared" ref="AF155:AF158" si="540">+_xlfn.IFNA(D155,0)</f>
        <v>0</v>
      </c>
      <c r="AG155" s="772">
        <f t="shared" ref="AG155:AG158" si="541">_xlfn.IFNA(ROUNDUP(D155*S155,2),0)</f>
        <v>0</v>
      </c>
      <c r="AH155" s="772">
        <f t="shared" ref="AH155:AH158" si="542">+_xlfn.IFNA(C155,0)</f>
        <v>0</v>
      </c>
      <c r="AI155" s="769">
        <f t="shared" ref="AI155:AI158" si="543">_xlfn.IFNA(C155*S155,0)</f>
        <v>0</v>
      </c>
      <c r="AJ155" s="772">
        <f t="shared" ref="AJ155:AJ158" si="544">+_xlfn.IFNA(E155,0)</f>
        <v>0</v>
      </c>
      <c r="AK155" s="769">
        <f t="shared" ref="AK155:AK158" si="545">_xlfn.IFNA(E155*S155,0)</f>
        <v>0</v>
      </c>
      <c r="AL155" s="769">
        <f t="shared" ref="AL155:AL158" si="546">ROUNDUP(S155*AQ155,2)</f>
        <v>0</v>
      </c>
      <c r="AM155" s="769">
        <f t="shared" ref="AM155:AM158" si="547">ROUNDUP(+I155*S155,2)</f>
        <v>0</v>
      </c>
      <c r="AN155" s="769">
        <f t="shared" ref="AN155:AN158" si="548">J155*I155*S155</f>
        <v>0</v>
      </c>
      <c r="AO155" s="769">
        <f t="shared" ref="AO155:AO158" si="549">ROUNDUP(I155*I$4*J155,2)</f>
        <v>0</v>
      </c>
      <c r="AP155" s="769">
        <f t="shared" ref="AP155:AP158" si="550">AO155*S155</f>
        <v>0</v>
      </c>
      <c r="AQ155" s="769">
        <f t="shared" ref="AQ155:AQ158" si="551">IF(I155=0,0,ROUNDUP(I$4*I155,2))</f>
        <v>0</v>
      </c>
      <c r="AR155" s="769">
        <f t="shared" ref="AR155:AR158" si="552">+_xlfn.IFNA(ROUNDUP(L155*ROUNDUP(S155,1),2),0)</f>
        <v>0</v>
      </c>
      <c r="AS155" s="769">
        <v>0</v>
      </c>
      <c r="AT155" s="769">
        <f t="shared" ref="AT155:AT158" si="553">+ROUNDUP(AS155*S155,2)</f>
        <v>0</v>
      </c>
      <c r="AU155" s="769">
        <f t="shared" ref="AU155:AU158" si="554">_xlfn.IFNA(ROUNDUP((L155+AS155)*M155,2),0)</f>
        <v>0</v>
      </c>
      <c r="AV155" s="769">
        <f t="shared" ref="AV155:AV158" si="555">ROUNDUP(AU155*S155,2)</f>
        <v>0</v>
      </c>
      <c r="AW155" s="769">
        <f t="shared" ref="AW155:AW158" si="556">_xlfn.IFNA(ROUNDUP((L155+AS155+AU155)*(L$4)*L$3,2),0)</f>
        <v>0</v>
      </c>
      <c r="AX155" s="769">
        <f t="shared" ref="AX155:AX158" si="557">ROUNDUP(+AW155*ROUNDUP(S155,1),2)</f>
        <v>0</v>
      </c>
      <c r="AY155" s="769">
        <f t="shared" ref="AY155:AY158" si="558">_xlfn.IFNA(ROUNDUP(F155*S155,2),0)</f>
        <v>0</v>
      </c>
      <c r="AZ155" s="769">
        <f t="shared" ref="AZ155:AZ158" si="559">_xlfn.IFNA(ROUNDUP(F155*G155,2),0)</f>
        <v>0</v>
      </c>
      <c r="BA155" s="769">
        <f t="shared" ref="BA155:BA158" si="560">ROUNDUP(AZ155*S155,2)</f>
        <v>0</v>
      </c>
      <c r="BB155" s="769">
        <f t="shared" ref="BB155:BB158" si="561">_xlfn.IFNA(ROUNDUP((ROUNDUP(F155+AZ155,2)*F$4)*F$3,2),0)</f>
        <v>0</v>
      </c>
      <c r="BC155" s="769">
        <f t="shared" ref="BC155:BC158" si="562">BB155*S155</f>
        <v>0</v>
      </c>
      <c r="BD155" s="661"/>
      <c r="BF155" s="480"/>
      <c r="BG155" s="480"/>
      <c r="BH155" s="480"/>
      <c r="BI155" s="480"/>
      <c r="BJ155" s="480"/>
      <c r="BK155" s="769">
        <f>IF(BK$7=$Y155,(+$AL155+$AP155),(0))</f>
        <v>0</v>
      </c>
      <c r="BL155" s="769">
        <f>IF(BL$7=$Y155,(+BK155*$V155),(0))</f>
        <v>0</v>
      </c>
      <c r="BM155" s="769">
        <f>IF(BM$7=$Y155,(+$AR155+$AT155+$AV155),(0))</f>
        <v>0</v>
      </c>
      <c r="BN155" s="769">
        <f>IF(BN$7=$Y155,(+BM155*$V155),(0))</f>
        <v>0</v>
      </c>
      <c r="BO155" s="769">
        <f>IF(BO$7=$X155,($AY155+$BA155),(0))</f>
        <v>0</v>
      </c>
      <c r="BP155" s="769">
        <f>IF(BP$7=$X155,(+BO155*$V155),(0))</f>
        <v>0</v>
      </c>
    </row>
    <row r="156" spans="1:68" s="775" customFormat="1" ht="15.6">
      <c r="A156" s="762"/>
      <c r="B156" s="763">
        <v>0</v>
      </c>
      <c r="C156" s="763">
        <v>0</v>
      </c>
      <c r="D156" s="763">
        <v>0</v>
      </c>
      <c r="E156" s="763">
        <v>0</v>
      </c>
      <c r="F156" s="763">
        <v>0</v>
      </c>
      <c r="G156" s="689">
        <f>+G$4</f>
        <v>0</v>
      </c>
      <c r="H156" s="764">
        <f>AM156+AN156</f>
        <v>0</v>
      </c>
      <c r="I156" s="763">
        <v>0</v>
      </c>
      <c r="J156" s="689">
        <f>+J$4</f>
        <v>0</v>
      </c>
      <c r="K156" s="764">
        <f>AR156+AT156+AV156+AX156</f>
        <v>0</v>
      </c>
      <c r="L156" s="763">
        <v>0</v>
      </c>
      <c r="M156" s="689">
        <f>+M$4</f>
        <v>0</v>
      </c>
      <c r="N156" s="765"/>
      <c r="O156" s="776"/>
      <c r="P156" s="776"/>
      <c r="Q156" s="777" t="s">
        <v>314</v>
      </c>
      <c r="R156" s="762" t="s">
        <v>211</v>
      </c>
      <c r="S156" s="768">
        <v>1</v>
      </c>
      <c r="T156" s="769">
        <f t="shared" si="531"/>
        <v>0</v>
      </c>
      <c r="U156" s="772">
        <f t="shared" si="532"/>
        <v>0</v>
      </c>
      <c r="V156" s="771">
        <v>0</v>
      </c>
      <c r="W156" s="772">
        <f t="shared" si="533"/>
        <v>0</v>
      </c>
      <c r="X156" s="773"/>
      <c r="Y156" s="773"/>
      <c r="Z156" s="772">
        <f t="shared" si="534"/>
        <v>0</v>
      </c>
      <c r="AA156" s="772">
        <f t="shared" si="535"/>
        <v>0</v>
      </c>
      <c r="AB156" s="772">
        <f t="shared" si="536"/>
        <v>0</v>
      </c>
      <c r="AC156" s="772">
        <f t="shared" si="537"/>
        <v>0</v>
      </c>
      <c r="AD156" s="772">
        <f t="shared" si="538"/>
        <v>0</v>
      </c>
      <c r="AE156" s="772">
        <f t="shared" si="539"/>
        <v>0</v>
      </c>
      <c r="AF156" s="774">
        <f t="shared" si="540"/>
        <v>0</v>
      </c>
      <c r="AG156" s="772">
        <f t="shared" si="541"/>
        <v>0</v>
      </c>
      <c r="AH156" s="772">
        <f t="shared" si="542"/>
        <v>0</v>
      </c>
      <c r="AI156" s="769">
        <f t="shared" si="543"/>
        <v>0</v>
      </c>
      <c r="AJ156" s="772">
        <f t="shared" si="544"/>
        <v>0</v>
      </c>
      <c r="AK156" s="769">
        <f t="shared" si="545"/>
        <v>0</v>
      </c>
      <c r="AL156" s="769">
        <f t="shared" si="546"/>
        <v>0</v>
      </c>
      <c r="AM156" s="769">
        <f t="shared" si="547"/>
        <v>0</v>
      </c>
      <c r="AN156" s="769">
        <f t="shared" si="548"/>
        <v>0</v>
      </c>
      <c r="AO156" s="769">
        <f t="shared" si="549"/>
        <v>0</v>
      </c>
      <c r="AP156" s="769">
        <f t="shared" si="550"/>
        <v>0</v>
      </c>
      <c r="AQ156" s="769">
        <f t="shared" si="551"/>
        <v>0</v>
      </c>
      <c r="AR156" s="769">
        <f t="shared" si="552"/>
        <v>0</v>
      </c>
      <c r="AS156" s="769">
        <v>0</v>
      </c>
      <c r="AT156" s="769">
        <f t="shared" si="553"/>
        <v>0</v>
      </c>
      <c r="AU156" s="769">
        <f t="shared" si="554"/>
        <v>0</v>
      </c>
      <c r="AV156" s="769">
        <f t="shared" si="555"/>
        <v>0</v>
      </c>
      <c r="AW156" s="769">
        <f t="shared" si="556"/>
        <v>0</v>
      </c>
      <c r="AX156" s="769">
        <f t="shared" si="557"/>
        <v>0</v>
      </c>
      <c r="AY156" s="769">
        <f t="shared" si="558"/>
        <v>0</v>
      </c>
      <c r="AZ156" s="769">
        <f t="shared" si="559"/>
        <v>0</v>
      </c>
      <c r="BA156" s="769">
        <f t="shared" si="560"/>
        <v>0</v>
      </c>
      <c r="BB156" s="769">
        <f t="shared" si="561"/>
        <v>0</v>
      </c>
      <c r="BC156" s="769">
        <f t="shared" si="562"/>
        <v>0</v>
      </c>
      <c r="BD156" s="661"/>
      <c r="BF156" s="480"/>
      <c r="BG156" s="480"/>
      <c r="BH156" s="480"/>
      <c r="BI156" s="480"/>
      <c r="BJ156" s="480"/>
      <c r="BK156" s="769">
        <f>IF(BK$7=$Y156,(+$AL156+$AP156),(0))</f>
        <v>0</v>
      </c>
      <c r="BL156" s="769">
        <f>IF(BL$7=$Y156,(+BK156*$V156),(0))</f>
        <v>0</v>
      </c>
      <c r="BM156" s="769">
        <f>IF(BM$7=$Y156,(+$AR156+$AT156+$AV156),(0))</f>
        <v>0</v>
      </c>
      <c r="BN156" s="769">
        <f>IF(BN$7=$Y156,(+BM156*$V156),(0))</f>
        <v>0</v>
      </c>
      <c r="BO156" s="769">
        <f>IF(BO$7=$X156,($AY156+$BA156),(0))</f>
        <v>0</v>
      </c>
      <c r="BP156" s="769">
        <f>IF(BP$7=$X156,(+BO156*$V156),(0))</f>
        <v>0</v>
      </c>
    </row>
    <row r="157" spans="1:68" s="775" customFormat="1" ht="15.6">
      <c r="A157" s="762"/>
      <c r="B157" s="763">
        <v>0</v>
      </c>
      <c r="C157" s="763">
        <v>0</v>
      </c>
      <c r="D157" s="763">
        <v>0</v>
      </c>
      <c r="E157" s="763">
        <v>0</v>
      </c>
      <c r="F157" s="763">
        <v>0</v>
      </c>
      <c r="G157" s="689">
        <f>+G$4</f>
        <v>0</v>
      </c>
      <c r="H157" s="764">
        <f>AM157+AN157</f>
        <v>0</v>
      </c>
      <c r="I157" s="763">
        <v>0</v>
      </c>
      <c r="J157" s="689">
        <f>+J$4</f>
        <v>0</v>
      </c>
      <c r="K157" s="764">
        <f>AR157+AT157+AV157+AX157</f>
        <v>0</v>
      </c>
      <c r="L157" s="763">
        <v>0</v>
      </c>
      <c r="M157" s="689">
        <f>+M$4</f>
        <v>0</v>
      </c>
      <c r="N157" s="765"/>
      <c r="O157" s="776"/>
      <c r="P157" s="776"/>
      <c r="Q157" s="777" t="s">
        <v>315</v>
      </c>
      <c r="R157" s="762" t="s">
        <v>211</v>
      </c>
      <c r="S157" s="768">
        <v>1</v>
      </c>
      <c r="T157" s="769">
        <f t="shared" si="531"/>
        <v>0</v>
      </c>
      <c r="U157" s="772">
        <f t="shared" si="532"/>
        <v>0</v>
      </c>
      <c r="V157" s="771">
        <v>0</v>
      </c>
      <c r="W157" s="772">
        <f t="shared" si="533"/>
        <v>0</v>
      </c>
      <c r="X157" s="773"/>
      <c r="Y157" s="773"/>
      <c r="Z157" s="772">
        <f t="shared" si="534"/>
        <v>0</v>
      </c>
      <c r="AA157" s="772">
        <f t="shared" si="535"/>
        <v>0</v>
      </c>
      <c r="AB157" s="772">
        <f t="shared" si="536"/>
        <v>0</v>
      </c>
      <c r="AC157" s="772">
        <f t="shared" si="537"/>
        <v>0</v>
      </c>
      <c r="AD157" s="772">
        <f t="shared" si="538"/>
        <v>0</v>
      </c>
      <c r="AE157" s="772">
        <f t="shared" si="539"/>
        <v>0</v>
      </c>
      <c r="AF157" s="774">
        <f t="shared" si="540"/>
        <v>0</v>
      </c>
      <c r="AG157" s="772">
        <f t="shared" si="541"/>
        <v>0</v>
      </c>
      <c r="AH157" s="772">
        <f t="shared" si="542"/>
        <v>0</v>
      </c>
      <c r="AI157" s="769">
        <f t="shared" si="543"/>
        <v>0</v>
      </c>
      <c r="AJ157" s="772">
        <f t="shared" si="544"/>
        <v>0</v>
      </c>
      <c r="AK157" s="769">
        <f t="shared" si="545"/>
        <v>0</v>
      </c>
      <c r="AL157" s="769">
        <f t="shared" si="546"/>
        <v>0</v>
      </c>
      <c r="AM157" s="769">
        <f t="shared" si="547"/>
        <v>0</v>
      </c>
      <c r="AN157" s="769">
        <f t="shared" si="548"/>
        <v>0</v>
      </c>
      <c r="AO157" s="769">
        <f t="shared" si="549"/>
        <v>0</v>
      </c>
      <c r="AP157" s="769">
        <f t="shared" si="550"/>
        <v>0</v>
      </c>
      <c r="AQ157" s="769">
        <f t="shared" si="551"/>
        <v>0</v>
      </c>
      <c r="AR157" s="769">
        <f t="shared" si="552"/>
        <v>0</v>
      </c>
      <c r="AS157" s="769">
        <v>0</v>
      </c>
      <c r="AT157" s="769">
        <f t="shared" si="553"/>
        <v>0</v>
      </c>
      <c r="AU157" s="769">
        <f t="shared" si="554"/>
        <v>0</v>
      </c>
      <c r="AV157" s="769">
        <f t="shared" si="555"/>
        <v>0</v>
      </c>
      <c r="AW157" s="769">
        <f t="shared" si="556"/>
        <v>0</v>
      </c>
      <c r="AX157" s="769">
        <f t="shared" si="557"/>
        <v>0</v>
      </c>
      <c r="AY157" s="769">
        <f t="shared" si="558"/>
        <v>0</v>
      </c>
      <c r="AZ157" s="769">
        <f t="shared" si="559"/>
        <v>0</v>
      </c>
      <c r="BA157" s="769">
        <f t="shared" si="560"/>
        <v>0</v>
      </c>
      <c r="BB157" s="769">
        <f t="shared" si="561"/>
        <v>0</v>
      </c>
      <c r="BC157" s="769">
        <f t="shared" si="562"/>
        <v>0</v>
      </c>
      <c r="BD157" s="661"/>
      <c r="BF157" s="480"/>
      <c r="BG157" s="480"/>
      <c r="BH157" s="480"/>
      <c r="BI157" s="480"/>
      <c r="BJ157" s="480"/>
      <c r="BK157" s="769">
        <f>IF(BK$7=$Y157,(+$AL157+$AP157),(0))</f>
        <v>0</v>
      </c>
      <c r="BL157" s="769">
        <f>IF(BL$7=$Y157,(+BK157*$V157),(0))</f>
        <v>0</v>
      </c>
      <c r="BM157" s="769">
        <f>IF(BM$7=$Y157,(+$AR157+$AT157+$AV157),(0))</f>
        <v>0</v>
      </c>
      <c r="BN157" s="769">
        <f>IF(BN$7=$Y157,(+BM157*$V157),(0))</f>
        <v>0</v>
      </c>
      <c r="BO157" s="769">
        <f>IF(BO$7=$X157,($AY157+$BA157),(0))</f>
        <v>0</v>
      </c>
      <c r="BP157" s="769">
        <f>IF(BP$7=$X157,(+BO157*$V157),(0))</f>
        <v>0</v>
      </c>
    </row>
    <row r="158" spans="1:68" s="775" customFormat="1" ht="15.6">
      <c r="A158" s="762"/>
      <c r="B158" s="763">
        <v>0</v>
      </c>
      <c r="C158" s="763">
        <v>0</v>
      </c>
      <c r="D158" s="763">
        <v>0</v>
      </c>
      <c r="E158" s="763">
        <v>0</v>
      </c>
      <c r="F158" s="763">
        <v>0</v>
      </c>
      <c r="G158" s="689">
        <f>+G$4</f>
        <v>0</v>
      </c>
      <c r="H158" s="764">
        <f>AM158+AN158</f>
        <v>0</v>
      </c>
      <c r="I158" s="763">
        <v>0</v>
      </c>
      <c r="J158" s="689">
        <f>+J$4</f>
        <v>0</v>
      </c>
      <c r="K158" s="764">
        <f>AR158+AT158+AV158+AX158</f>
        <v>0</v>
      </c>
      <c r="L158" s="763">
        <v>0</v>
      </c>
      <c r="M158" s="689">
        <f>+M$4</f>
        <v>0</v>
      </c>
      <c r="N158" s="765"/>
      <c r="O158" s="776"/>
      <c r="P158" s="776"/>
      <c r="Q158" s="777" t="s">
        <v>273</v>
      </c>
      <c r="R158" s="762" t="s">
        <v>211</v>
      </c>
      <c r="S158" s="768">
        <v>1</v>
      </c>
      <c r="T158" s="769">
        <f t="shared" si="531"/>
        <v>0</v>
      </c>
      <c r="U158" s="772">
        <f t="shared" si="532"/>
        <v>0</v>
      </c>
      <c r="V158" s="771">
        <v>0</v>
      </c>
      <c r="W158" s="772">
        <f t="shared" si="533"/>
        <v>0</v>
      </c>
      <c r="X158" s="773"/>
      <c r="Y158" s="773"/>
      <c r="Z158" s="772">
        <f t="shared" si="534"/>
        <v>0</v>
      </c>
      <c r="AA158" s="772">
        <f t="shared" si="535"/>
        <v>0</v>
      </c>
      <c r="AB158" s="772">
        <f t="shared" si="536"/>
        <v>0</v>
      </c>
      <c r="AC158" s="772">
        <f t="shared" si="537"/>
        <v>0</v>
      </c>
      <c r="AD158" s="772">
        <f t="shared" si="538"/>
        <v>0</v>
      </c>
      <c r="AE158" s="772">
        <f t="shared" si="539"/>
        <v>0</v>
      </c>
      <c r="AF158" s="774">
        <f t="shared" si="540"/>
        <v>0</v>
      </c>
      <c r="AG158" s="772">
        <f t="shared" si="541"/>
        <v>0</v>
      </c>
      <c r="AH158" s="772">
        <f t="shared" si="542"/>
        <v>0</v>
      </c>
      <c r="AI158" s="769">
        <f t="shared" si="543"/>
        <v>0</v>
      </c>
      <c r="AJ158" s="772">
        <f t="shared" si="544"/>
        <v>0</v>
      </c>
      <c r="AK158" s="769">
        <f t="shared" si="545"/>
        <v>0</v>
      </c>
      <c r="AL158" s="769">
        <f t="shared" si="546"/>
        <v>0</v>
      </c>
      <c r="AM158" s="769">
        <f t="shared" si="547"/>
        <v>0</v>
      </c>
      <c r="AN158" s="769">
        <f t="shared" si="548"/>
        <v>0</v>
      </c>
      <c r="AO158" s="769">
        <f t="shared" si="549"/>
        <v>0</v>
      </c>
      <c r="AP158" s="769">
        <f t="shared" si="550"/>
        <v>0</v>
      </c>
      <c r="AQ158" s="769">
        <f t="shared" si="551"/>
        <v>0</v>
      </c>
      <c r="AR158" s="769">
        <f t="shared" si="552"/>
        <v>0</v>
      </c>
      <c r="AS158" s="769">
        <v>0</v>
      </c>
      <c r="AT158" s="769">
        <f t="shared" si="553"/>
        <v>0</v>
      </c>
      <c r="AU158" s="769">
        <f t="shared" si="554"/>
        <v>0</v>
      </c>
      <c r="AV158" s="769">
        <f t="shared" si="555"/>
        <v>0</v>
      </c>
      <c r="AW158" s="769">
        <f t="shared" si="556"/>
        <v>0</v>
      </c>
      <c r="AX158" s="769">
        <f t="shared" si="557"/>
        <v>0</v>
      </c>
      <c r="AY158" s="769">
        <f t="shared" si="558"/>
        <v>0</v>
      </c>
      <c r="AZ158" s="769">
        <f t="shared" si="559"/>
        <v>0</v>
      </c>
      <c r="BA158" s="769">
        <f t="shared" si="560"/>
        <v>0</v>
      </c>
      <c r="BB158" s="769">
        <f t="shared" si="561"/>
        <v>0</v>
      </c>
      <c r="BC158" s="769">
        <f t="shared" si="562"/>
        <v>0</v>
      </c>
      <c r="BD158" s="661"/>
      <c r="BF158" s="480"/>
      <c r="BG158" s="480"/>
      <c r="BH158" s="480"/>
      <c r="BI158" s="480"/>
      <c r="BJ158" s="480"/>
      <c r="BK158" s="769">
        <f>IF(BK$7=$Y158,(+$AL158+$AP158),(0))</f>
        <v>0</v>
      </c>
      <c r="BL158" s="769">
        <f>IF(BL$7=$Y158,(+BK158*$V158),(0))</f>
        <v>0</v>
      </c>
      <c r="BM158" s="769">
        <f>IF(BM$7=$Y158,(+$AR158+$AT158+$AV158),(0))</f>
        <v>0</v>
      </c>
      <c r="BN158" s="769">
        <f>IF(BN$7=$Y158,(+BM158*$V158),(0))</f>
        <v>0</v>
      </c>
      <c r="BO158" s="769">
        <f>IF(BO$7=$X158,($AY158+$BA158),(0))</f>
        <v>0</v>
      </c>
      <c r="BP158" s="769">
        <f>IF(BP$7=$X158,(+BO158*$V158),(0))</f>
        <v>0</v>
      </c>
    </row>
    <row r="159" spans="1:68" s="775" customFormat="1" ht="15.6">
      <c r="A159" s="762"/>
      <c r="B159" s="763"/>
      <c r="C159" s="763"/>
      <c r="D159" s="763"/>
      <c r="E159" s="763"/>
      <c r="F159" s="763"/>
      <c r="G159" s="689"/>
      <c r="H159" s="764"/>
      <c r="I159" s="763"/>
      <c r="J159" s="689"/>
      <c r="K159" s="764"/>
      <c r="L159" s="763"/>
      <c r="M159" s="689"/>
      <c r="N159" s="765"/>
      <c r="O159" s="776"/>
      <c r="P159" s="776"/>
      <c r="Q159" s="777"/>
      <c r="R159" s="762"/>
      <c r="S159" s="768"/>
      <c r="T159" s="769"/>
      <c r="U159" s="772"/>
      <c r="V159" s="771"/>
      <c r="W159" s="772"/>
      <c r="X159" s="773"/>
      <c r="Y159" s="773"/>
      <c r="Z159" s="772"/>
      <c r="AA159" s="772"/>
      <c r="AB159" s="772"/>
      <c r="AC159" s="772"/>
      <c r="AD159" s="772"/>
      <c r="AE159" s="772"/>
      <c r="AF159" s="774"/>
      <c r="AG159" s="772"/>
      <c r="AH159" s="772"/>
      <c r="AI159" s="769"/>
      <c r="AJ159" s="772"/>
      <c r="AK159" s="769"/>
      <c r="AL159" s="769"/>
      <c r="AM159" s="769"/>
      <c r="AN159" s="769"/>
      <c r="AO159" s="769"/>
      <c r="AP159" s="769"/>
      <c r="AQ159" s="769"/>
      <c r="AR159" s="769"/>
      <c r="AS159" s="769"/>
      <c r="AT159" s="769"/>
      <c r="AU159" s="769"/>
      <c r="AV159" s="769"/>
      <c r="AW159" s="769"/>
      <c r="AX159" s="769"/>
      <c r="AY159" s="769"/>
      <c r="AZ159" s="769"/>
      <c r="BA159" s="769"/>
      <c r="BB159" s="769"/>
      <c r="BC159" s="769"/>
      <c r="BD159" s="661"/>
      <c r="BF159" s="480"/>
      <c r="BG159" s="480"/>
      <c r="BH159" s="480"/>
      <c r="BI159" s="480"/>
      <c r="BJ159" s="480"/>
      <c r="BK159" s="769"/>
      <c r="BL159" s="769"/>
      <c r="BM159" s="769"/>
      <c r="BN159" s="769"/>
      <c r="BO159" s="769"/>
      <c r="BP159" s="769"/>
    </row>
    <row r="160" spans="1:68" s="775" customFormat="1" ht="15.6">
      <c r="A160" s="762"/>
      <c r="B160" s="763"/>
      <c r="C160" s="763"/>
      <c r="D160" s="763"/>
      <c r="E160" s="763"/>
      <c r="F160" s="763"/>
      <c r="G160" s="689"/>
      <c r="H160" s="764"/>
      <c r="I160" s="763"/>
      <c r="J160" s="689"/>
      <c r="K160" s="764"/>
      <c r="L160" s="763"/>
      <c r="M160" s="689"/>
      <c r="N160" s="765"/>
      <c r="O160" s="766">
        <v>20</v>
      </c>
      <c r="P160" s="766" t="s">
        <v>316</v>
      </c>
      <c r="Q160" s="767"/>
      <c r="R160" s="762"/>
      <c r="S160" s="768"/>
      <c r="T160" s="769"/>
      <c r="U160" s="770" t="s">
        <v>437</v>
      </c>
      <c r="V160" s="771"/>
      <c r="W160" s="772"/>
      <c r="X160" s="773"/>
      <c r="Y160" s="773"/>
      <c r="Z160" s="772"/>
      <c r="AA160" s="772"/>
      <c r="AB160" s="772"/>
      <c r="AC160" s="772"/>
      <c r="AD160" s="772"/>
      <c r="AE160" s="772"/>
      <c r="AF160" s="774"/>
      <c r="AG160" s="772"/>
      <c r="AH160" s="772"/>
      <c r="AI160" s="769"/>
      <c r="AJ160" s="772"/>
      <c r="AK160" s="769"/>
      <c r="AL160" s="769"/>
      <c r="AM160" s="769"/>
      <c r="AN160" s="769"/>
      <c r="AO160" s="769"/>
      <c r="AP160" s="769"/>
      <c r="AQ160" s="769"/>
      <c r="AR160" s="769"/>
      <c r="AS160" s="769"/>
      <c r="AT160" s="769"/>
      <c r="AU160" s="769"/>
      <c r="AV160" s="769"/>
      <c r="AW160" s="769"/>
      <c r="AX160" s="769"/>
      <c r="AY160" s="769"/>
      <c r="AZ160" s="769"/>
      <c r="BA160" s="769"/>
      <c r="BB160" s="769"/>
      <c r="BC160" s="769"/>
      <c r="BD160" s="661"/>
      <c r="BF160" s="480"/>
      <c r="BG160" s="480"/>
      <c r="BH160" s="480"/>
      <c r="BI160" s="480"/>
      <c r="BJ160" s="480"/>
      <c r="BK160" s="769"/>
      <c r="BL160" s="769"/>
      <c r="BM160" s="769"/>
      <c r="BN160" s="769"/>
      <c r="BO160" s="769"/>
      <c r="BP160" s="769"/>
    </row>
    <row r="161" spans="1:68" s="775" customFormat="1" ht="15.6">
      <c r="A161" s="762"/>
      <c r="B161" s="763"/>
      <c r="C161" s="763"/>
      <c r="D161" s="763"/>
      <c r="E161" s="763"/>
      <c r="F161" s="763"/>
      <c r="G161" s="689"/>
      <c r="H161" s="764"/>
      <c r="I161" s="763"/>
      <c r="J161" s="689"/>
      <c r="K161" s="764"/>
      <c r="L161" s="763"/>
      <c r="M161" s="689"/>
      <c r="N161" s="765"/>
      <c r="O161" s="776"/>
      <c r="P161" s="776"/>
      <c r="Q161" s="777"/>
      <c r="R161" s="762"/>
      <c r="S161" s="768"/>
      <c r="T161" s="769"/>
      <c r="U161" s="772"/>
      <c r="V161" s="771"/>
      <c r="W161" s="772"/>
      <c r="X161" s="773"/>
      <c r="Y161" s="773"/>
      <c r="Z161" s="772"/>
      <c r="AA161" s="772"/>
      <c r="AB161" s="772"/>
      <c r="AC161" s="772"/>
      <c r="AD161" s="772"/>
      <c r="AE161" s="772"/>
      <c r="AF161" s="774"/>
      <c r="AG161" s="772"/>
      <c r="AH161" s="772"/>
      <c r="AI161" s="769"/>
      <c r="AJ161" s="772"/>
      <c r="AK161" s="769"/>
      <c r="AL161" s="769"/>
      <c r="AM161" s="769"/>
      <c r="AN161" s="769"/>
      <c r="AO161" s="769"/>
      <c r="AP161" s="769"/>
      <c r="AQ161" s="769"/>
      <c r="AR161" s="769"/>
      <c r="AS161" s="769"/>
      <c r="AT161" s="769"/>
      <c r="AU161" s="769"/>
      <c r="AV161" s="769"/>
      <c r="AW161" s="769"/>
      <c r="AX161" s="769"/>
      <c r="AY161" s="769"/>
      <c r="AZ161" s="769"/>
      <c r="BA161" s="769"/>
      <c r="BB161" s="769"/>
      <c r="BC161" s="769"/>
      <c r="BD161" s="661"/>
      <c r="BF161" s="480"/>
      <c r="BG161" s="480"/>
      <c r="BH161" s="480"/>
      <c r="BI161" s="480"/>
      <c r="BJ161" s="480"/>
      <c r="BK161" s="769"/>
      <c r="BL161" s="769"/>
      <c r="BM161" s="769"/>
      <c r="BN161" s="769"/>
      <c r="BO161" s="769"/>
      <c r="BP161" s="769"/>
    </row>
    <row r="162" spans="1:68" s="775" customFormat="1" ht="15.6">
      <c r="A162" s="762"/>
      <c r="B162" s="763">
        <v>0</v>
      </c>
      <c r="C162" s="763">
        <v>0</v>
      </c>
      <c r="D162" s="763">
        <v>0</v>
      </c>
      <c r="E162" s="763">
        <v>0</v>
      </c>
      <c r="F162" s="763">
        <v>0</v>
      </c>
      <c r="G162" s="689">
        <f t="shared" ref="G162:G175" si="563">+G$4</f>
        <v>0</v>
      </c>
      <c r="H162" s="764">
        <f t="shared" ref="H162:H175" si="564">AM162+AN162</f>
        <v>0</v>
      </c>
      <c r="I162" s="763">
        <v>0</v>
      </c>
      <c r="J162" s="689">
        <f t="shared" ref="J162:J175" si="565">+J$4</f>
        <v>0</v>
      </c>
      <c r="K162" s="764">
        <f t="shared" ref="K162:K175" si="566">AR162+AT162+AV162+AX162</f>
        <v>0</v>
      </c>
      <c r="L162" s="763">
        <v>0</v>
      </c>
      <c r="M162" s="689">
        <f t="shared" ref="M162:M175" si="567">+M$4</f>
        <v>0</v>
      </c>
      <c r="N162" s="765"/>
      <c r="O162" s="776"/>
      <c r="P162" s="776" t="s">
        <v>317</v>
      </c>
      <c r="Q162" s="777" t="s">
        <v>318</v>
      </c>
      <c r="R162" s="762" t="s">
        <v>211</v>
      </c>
      <c r="S162" s="768">
        <v>1</v>
      </c>
      <c r="T162" s="769">
        <f t="shared" ref="T162:T175" si="568">_xlfn.IFNA(ROUNDUP(AF162+AJ162+AO162+AQ162+L162+AS162+AU162+AW162+F162+AZ162+BB162,2),0)</f>
        <v>0</v>
      </c>
      <c r="U162" s="772">
        <f t="shared" ref="U162:U175" si="569">ROUND(T162*ROUNDUP(S162,1),2)</f>
        <v>0</v>
      </c>
      <c r="V162" s="771">
        <v>0</v>
      </c>
      <c r="W162" s="772">
        <f t="shared" ref="W162:W175" si="570">ROUND(+U162*V162,2)</f>
        <v>0</v>
      </c>
      <c r="X162" s="773"/>
      <c r="Y162" s="773"/>
      <c r="Z162" s="772">
        <f t="shared" ref="Z162:Z175" si="571">_xlfn.IFNA(ROUNDUP(AJ162*U162,2),0)</f>
        <v>0</v>
      </c>
      <c r="AA162" s="772">
        <f t="shared" ref="AA162:AA175" si="572">_xlfn.IFNA(ROUNDUP(AK162*V162,2),0)</f>
        <v>0</v>
      </c>
      <c r="AB162" s="772">
        <f t="shared" ref="AB162:AB175" si="573">ROUNDUP((AP162+AL162)*V162,2)</f>
        <v>0</v>
      </c>
      <c r="AC162" s="772">
        <f t="shared" ref="AC162:AC175" si="574">_xlfn.IFNA(ROUNDUP((AT162+AV162+AR162)*V162,2),0)</f>
        <v>0</v>
      </c>
      <c r="AD162" s="772">
        <f t="shared" ref="AD162:AD175" si="575">_xlfn.IFNA(ROUNDUP((BA162+AY162)*V162,2),0)</f>
        <v>0</v>
      </c>
      <c r="AE162" s="772">
        <f t="shared" ref="AE162:AE175" si="576">_xlfn.IFNA((BC162+AX162+AG162)*V162,0)</f>
        <v>0</v>
      </c>
      <c r="AF162" s="774">
        <f t="shared" ref="AF162:AF175" si="577">+_xlfn.IFNA(D162,0)</f>
        <v>0</v>
      </c>
      <c r="AG162" s="772">
        <f t="shared" ref="AG162:AG175" si="578">_xlfn.IFNA(ROUNDUP(D162*S162,2),0)</f>
        <v>0</v>
      </c>
      <c r="AH162" s="772">
        <f t="shared" ref="AH162:AH175" si="579">+_xlfn.IFNA(C162,0)</f>
        <v>0</v>
      </c>
      <c r="AI162" s="769">
        <f t="shared" ref="AI162:AI175" si="580">_xlfn.IFNA(C162*S162,0)</f>
        <v>0</v>
      </c>
      <c r="AJ162" s="772">
        <f t="shared" ref="AJ162:AJ175" si="581">+_xlfn.IFNA(E162,0)</f>
        <v>0</v>
      </c>
      <c r="AK162" s="769">
        <f t="shared" ref="AK162:AK175" si="582">_xlfn.IFNA(E162*S162,0)</f>
        <v>0</v>
      </c>
      <c r="AL162" s="769">
        <f t="shared" ref="AL162:AL175" si="583">ROUNDUP(S162*AQ162,2)</f>
        <v>0</v>
      </c>
      <c r="AM162" s="769">
        <f t="shared" ref="AM162:AM175" si="584">ROUNDUP(+I162*S162,2)</f>
        <v>0</v>
      </c>
      <c r="AN162" s="769">
        <f t="shared" ref="AN162:AN175" si="585">J162*I162*S162</f>
        <v>0</v>
      </c>
      <c r="AO162" s="769">
        <f t="shared" ref="AO162:AO175" si="586">ROUNDUP(I162*I$4*J162,2)</f>
        <v>0</v>
      </c>
      <c r="AP162" s="769">
        <f t="shared" ref="AP162:AP175" si="587">AO162*S162</f>
        <v>0</v>
      </c>
      <c r="AQ162" s="769">
        <f t="shared" ref="AQ162:AQ175" si="588">IF(I162=0,0,ROUNDUP(I$4*I162,2))</f>
        <v>0</v>
      </c>
      <c r="AR162" s="769">
        <f t="shared" ref="AR162:AR175" si="589">+_xlfn.IFNA(ROUNDUP(L162*ROUNDUP(S162,1),2),0)</f>
        <v>0</v>
      </c>
      <c r="AS162" s="769">
        <v>0</v>
      </c>
      <c r="AT162" s="769">
        <f t="shared" ref="AT162:AT175" si="590">+ROUNDUP(AS162*S162,2)</f>
        <v>0</v>
      </c>
      <c r="AU162" s="769">
        <f t="shared" ref="AU162:AU175" si="591">_xlfn.IFNA(ROUNDUP((L162+AS162)*M162,2),0)</f>
        <v>0</v>
      </c>
      <c r="AV162" s="769">
        <f t="shared" ref="AV162:AV175" si="592">ROUNDUP(AU162*S162,2)</f>
        <v>0</v>
      </c>
      <c r="AW162" s="769">
        <f t="shared" ref="AW162:AW175" si="593">_xlfn.IFNA(ROUNDUP((L162+AS162+AU162)*(L$4)*L$3,2),0)</f>
        <v>0</v>
      </c>
      <c r="AX162" s="769">
        <f t="shared" ref="AX162:AX175" si="594">ROUNDUP(+AW162*ROUNDUP(S162,1),2)</f>
        <v>0</v>
      </c>
      <c r="AY162" s="769">
        <f t="shared" ref="AY162:AY175" si="595">_xlfn.IFNA(ROUNDUP(F162*S162,2),0)</f>
        <v>0</v>
      </c>
      <c r="AZ162" s="769">
        <f t="shared" ref="AZ162:AZ175" si="596">_xlfn.IFNA(ROUNDUP(F162*G162,2),0)</f>
        <v>0</v>
      </c>
      <c r="BA162" s="769">
        <f t="shared" ref="BA162:BA175" si="597">ROUNDUP(AZ162*S162,2)</f>
        <v>0</v>
      </c>
      <c r="BB162" s="769">
        <f t="shared" ref="BB162:BB175" si="598">_xlfn.IFNA(ROUNDUP((ROUNDUP(F162+AZ162,2)*F$4)*F$3,2),0)</f>
        <v>0</v>
      </c>
      <c r="BC162" s="769">
        <f t="shared" ref="BC162:BC175" si="599">BB162*S162</f>
        <v>0</v>
      </c>
      <c r="BD162" s="661"/>
      <c r="BF162" s="480"/>
      <c r="BG162" s="480"/>
      <c r="BH162" s="480"/>
      <c r="BI162" s="480"/>
      <c r="BJ162" s="480"/>
      <c r="BK162" s="769">
        <f t="shared" ref="BK162:BK175" si="600">IF(BK$7=$Y162,(+$AL162+$AP162),(0))</f>
        <v>0</v>
      </c>
      <c r="BL162" s="769">
        <f t="shared" ref="BL162:BL175" si="601">IF(BL$7=$Y162,(+BK162*$V162),(0))</f>
        <v>0</v>
      </c>
      <c r="BM162" s="769">
        <f t="shared" ref="BM162:BM175" si="602">IF(BM$7=$Y162,(+$AR162+$AT162+$AV162),(0))</f>
        <v>0</v>
      </c>
      <c r="BN162" s="769">
        <f t="shared" ref="BN162:BN175" si="603">IF(BN$7=$Y162,(+BM162*$V162),(0))</f>
        <v>0</v>
      </c>
      <c r="BO162" s="769">
        <f t="shared" ref="BO162:BO175" si="604">IF(BO$7=$X162,($AY162+$BA162),(0))</f>
        <v>0</v>
      </c>
      <c r="BP162" s="769">
        <f t="shared" ref="BP162:BP175" si="605">IF(BP$7=$X162,(+BO162*$V162),(0))</f>
        <v>0</v>
      </c>
    </row>
    <row r="163" spans="1:68" s="775" customFormat="1" ht="15.6">
      <c r="A163" s="762"/>
      <c r="B163" s="763">
        <v>0</v>
      </c>
      <c r="C163" s="763">
        <v>0</v>
      </c>
      <c r="D163" s="763">
        <v>0</v>
      </c>
      <c r="E163" s="763">
        <v>0</v>
      </c>
      <c r="F163" s="763">
        <v>0</v>
      </c>
      <c r="G163" s="689">
        <f t="shared" si="563"/>
        <v>0</v>
      </c>
      <c r="H163" s="764">
        <f t="shared" si="564"/>
        <v>0</v>
      </c>
      <c r="I163" s="763">
        <v>0</v>
      </c>
      <c r="J163" s="689">
        <f t="shared" si="565"/>
        <v>0</v>
      </c>
      <c r="K163" s="764">
        <f t="shared" si="566"/>
        <v>0</v>
      </c>
      <c r="L163" s="763">
        <v>0</v>
      </c>
      <c r="M163" s="689">
        <f t="shared" si="567"/>
        <v>0</v>
      </c>
      <c r="N163" s="765"/>
      <c r="O163" s="776"/>
      <c r="P163" s="776"/>
      <c r="Q163" s="777" t="s">
        <v>319</v>
      </c>
      <c r="R163" s="762" t="s">
        <v>211</v>
      </c>
      <c r="S163" s="768">
        <v>1</v>
      </c>
      <c r="T163" s="769">
        <f t="shared" si="568"/>
        <v>0</v>
      </c>
      <c r="U163" s="772">
        <f t="shared" si="569"/>
        <v>0</v>
      </c>
      <c r="V163" s="771">
        <v>0</v>
      </c>
      <c r="W163" s="772">
        <f t="shared" si="570"/>
        <v>0</v>
      </c>
      <c r="X163" s="773"/>
      <c r="Y163" s="773"/>
      <c r="Z163" s="772">
        <f t="shared" si="571"/>
        <v>0</v>
      </c>
      <c r="AA163" s="772">
        <f t="shared" si="572"/>
        <v>0</v>
      </c>
      <c r="AB163" s="772">
        <f t="shared" si="573"/>
        <v>0</v>
      </c>
      <c r="AC163" s="772">
        <f t="shared" si="574"/>
        <v>0</v>
      </c>
      <c r="AD163" s="772">
        <f t="shared" si="575"/>
        <v>0</v>
      </c>
      <c r="AE163" s="772">
        <f t="shared" si="576"/>
        <v>0</v>
      </c>
      <c r="AF163" s="774">
        <f t="shared" si="577"/>
        <v>0</v>
      </c>
      <c r="AG163" s="772">
        <f t="shared" si="578"/>
        <v>0</v>
      </c>
      <c r="AH163" s="772">
        <f t="shared" si="579"/>
        <v>0</v>
      </c>
      <c r="AI163" s="769">
        <f t="shared" si="580"/>
        <v>0</v>
      </c>
      <c r="AJ163" s="772">
        <f t="shared" si="581"/>
        <v>0</v>
      </c>
      <c r="AK163" s="769">
        <f t="shared" si="582"/>
        <v>0</v>
      </c>
      <c r="AL163" s="769">
        <f t="shared" si="583"/>
        <v>0</v>
      </c>
      <c r="AM163" s="769">
        <f t="shared" si="584"/>
        <v>0</v>
      </c>
      <c r="AN163" s="769">
        <f t="shared" si="585"/>
        <v>0</v>
      </c>
      <c r="AO163" s="769">
        <f t="shared" si="586"/>
        <v>0</v>
      </c>
      <c r="AP163" s="769">
        <f t="shared" si="587"/>
        <v>0</v>
      </c>
      <c r="AQ163" s="769">
        <f t="shared" si="588"/>
        <v>0</v>
      </c>
      <c r="AR163" s="769">
        <f t="shared" si="589"/>
        <v>0</v>
      </c>
      <c r="AS163" s="769">
        <v>0</v>
      </c>
      <c r="AT163" s="769">
        <f t="shared" si="590"/>
        <v>0</v>
      </c>
      <c r="AU163" s="769">
        <f t="shared" si="591"/>
        <v>0</v>
      </c>
      <c r="AV163" s="769">
        <f t="shared" si="592"/>
        <v>0</v>
      </c>
      <c r="AW163" s="769">
        <f t="shared" si="593"/>
        <v>0</v>
      </c>
      <c r="AX163" s="769">
        <f t="shared" si="594"/>
        <v>0</v>
      </c>
      <c r="AY163" s="769">
        <f t="shared" si="595"/>
        <v>0</v>
      </c>
      <c r="AZ163" s="769">
        <f t="shared" si="596"/>
        <v>0</v>
      </c>
      <c r="BA163" s="769">
        <f t="shared" si="597"/>
        <v>0</v>
      </c>
      <c r="BB163" s="769">
        <f t="shared" si="598"/>
        <v>0</v>
      </c>
      <c r="BC163" s="769">
        <f t="shared" si="599"/>
        <v>0</v>
      </c>
      <c r="BD163" s="661"/>
      <c r="BF163" s="480"/>
      <c r="BG163" s="480"/>
      <c r="BH163" s="480"/>
      <c r="BI163" s="480"/>
      <c r="BJ163" s="480"/>
      <c r="BK163" s="769">
        <f t="shared" si="600"/>
        <v>0</v>
      </c>
      <c r="BL163" s="769">
        <f t="shared" si="601"/>
        <v>0</v>
      </c>
      <c r="BM163" s="769">
        <f t="shared" si="602"/>
        <v>0</v>
      </c>
      <c r="BN163" s="769">
        <f t="shared" si="603"/>
        <v>0</v>
      </c>
      <c r="BO163" s="769">
        <f t="shared" si="604"/>
        <v>0</v>
      </c>
      <c r="BP163" s="769">
        <f t="shared" si="605"/>
        <v>0</v>
      </c>
    </row>
    <row r="164" spans="1:68" s="775" customFormat="1" ht="15.6">
      <c r="A164" s="762"/>
      <c r="B164" s="763">
        <v>0</v>
      </c>
      <c r="C164" s="763">
        <v>0</v>
      </c>
      <c r="D164" s="763">
        <v>0</v>
      </c>
      <c r="E164" s="763">
        <v>0</v>
      </c>
      <c r="F164" s="763">
        <v>0</v>
      </c>
      <c r="G164" s="689">
        <f t="shared" si="563"/>
        <v>0</v>
      </c>
      <c r="H164" s="764">
        <f t="shared" si="564"/>
        <v>0</v>
      </c>
      <c r="I164" s="763">
        <v>0</v>
      </c>
      <c r="J164" s="689">
        <f t="shared" si="565"/>
        <v>0</v>
      </c>
      <c r="K164" s="764">
        <f t="shared" si="566"/>
        <v>0</v>
      </c>
      <c r="L164" s="763">
        <v>0</v>
      </c>
      <c r="M164" s="689">
        <f t="shared" si="567"/>
        <v>0</v>
      </c>
      <c r="N164" s="765"/>
      <c r="O164" s="776"/>
      <c r="P164" s="776"/>
      <c r="Q164" s="777" t="s">
        <v>320</v>
      </c>
      <c r="R164" s="762" t="s">
        <v>211</v>
      </c>
      <c r="S164" s="768">
        <v>1</v>
      </c>
      <c r="T164" s="769">
        <f t="shared" si="568"/>
        <v>0</v>
      </c>
      <c r="U164" s="772">
        <f t="shared" si="569"/>
        <v>0</v>
      </c>
      <c r="V164" s="771">
        <v>0</v>
      </c>
      <c r="W164" s="772">
        <f t="shared" si="570"/>
        <v>0</v>
      </c>
      <c r="X164" s="773"/>
      <c r="Y164" s="773"/>
      <c r="Z164" s="772">
        <f t="shared" si="571"/>
        <v>0</v>
      </c>
      <c r="AA164" s="772">
        <f t="shared" si="572"/>
        <v>0</v>
      </c>
      <c r="AB164" s="772">
        <f t="shared" si="573"/>
        <v>0</v>
      </c>
      <c r="AC164" s="772">
        <f t="shared" si="574"/>
        <v>0</v>
      </c>
      <c r="AD164" s="772">
        <f t="shared" si="575"/>
        <v>0</v>
      </c>
      <c r="AE164" s="772">
        <f t="shared" si="576"/>
        <v>0</v>
      </c>
      <c r="AF164" s="774">
        <f t="shared" si="577"/>
        <v>0</v>
      </c>
      <c r="AG164" s="772">
        <f t="shared" si="578"/>
        <v>0</v>
      </c>
      <c r="AH164" s="772">
        <f t="shared" si="579"/>
        <v>0</v>
      </c>
      <c r="AI164" s="769">
        <f t="shared" si="580"/>
        <v>0</v>
      </c>
      <c r="AJ164" s="772">
        <f t="shared" si="581"/>
        <v>0</v>
      </c>
      <c r="AK164" s="769">
        <f t="shared" si="582"/>
        <v>0</v>
      </c>
      <c r="AL164" s="769">
        <f t="shared" si="583"/>
        <v>0</v>
      </c>
      <c r="AM164" s="769">
        <f t="shared" si="584"/>
        <v>0</v>
      </c>
      <c r="AN164" s="769">
        <f t="shared" si="585"/>
        <v>0</v>
      </c>
      <c r="AO164" s="769">
        <f t="shared" si="586"/>
        <v>0</v>
      </c>
      <c r="AP164" s="769">
        <f t="shared" si="587"/>
        <v>0</v>
      </c>
      <c r="AQ164" s="769">
        <f t="shared" si="588"/>
        <v>0</v>
      </c>
      <c r="AR164" s="769">
        <f t="shared" si="589"/>
        <v>0</v>
      </c>
      <c r="AS164" s="769">
        <v>0</v>
      </c>
      <c r="AT164" s="769">
        <f t="shared" si="590"/>
        <v>0</v>
      </c>
      <c r="AU164" s="769">
        <f t="shared" si="591"/>
        <v>0</v>
      </c>
      <c r="AV164" s="769">
        <f t="shared" si="592"/>
        <v>0</v>
      </c>
      <c r="AW164" s="769">
        <f t="shared" si="593"/>
        <v>0</v>
      </c>
      <c r="AX164" s="769">
        <f t="shared" si="594"/>
        <v>0</v>
      </c>
      <c r="AY164" s="769">
        <f t="shared" si="595"/>
        <v>0</v>
      </c>
      <c r="AZ164" s="769">
        <f t="shared" si="596"/>
        <v>0</v>
      </c>
      <c r="BA164" s="769">
        <f t="shared" si="597"/>
        <v>0</v>
      </c>
      <c r="BB164" s="769">
        <f t="shared" si="598"/>
        <v>0</v>
      </c>
      <c r="BC164" s="769">
        <f t="shared" si="599"/>
        <v>0</v>
      </c>
      <c r="BD164" s="661"/>
      <c r="BF164" s="480"/>
      <c r="BG164" s="480"/>
      <c r="BH164" s="480"/>
      <c r="BI164" s="480"/>
      <c r="BJ164" s="480"/>
      <c r="BK164" s="769">
        <f t="shared" si="600"/>
        <v>0</v>
      </c>
      <c r="BL164" s="769">
        <f t="shared" si="601"/>
        <v>0</v>
      </c>
      <c r="BM164" s="769">
        <f t="shared" si="602"/>
        <v>0</v>
      </c>
      <c r="BN164" s="769">
        <f t="shared" si="603"/>
        <v>0</v>
      </c>
      <c r="BO164" s="769">
        <f t="shared" si="604"/>
        <v>0</v>
      </c>
      <c r="BP164" s="769">
        <f t="shared" si="605"/>
        <v>0</v>
      </c>
    </row>
    <row r="165" spans="1:68" s="775" customFormat="1" ht="15.6">
      <c r="A165" s="762"/>
      <c r="B165" s="763">
        <v>0</v>
      </c>
      <c r="C165" s="763">
        <v>0</v>
      </c>
      <c r="D165" s="763">
        <v>0</v>
      </c>
      <c r="E165" s="763">
        <v>0</v>
      </c>
      <c r="F165" s="763">
        <v>0</v>
      </c>
      <c r="G165" s="689">
        <f t="shared" si="563"/>
        <v>0</v>
      </c>
      <c r="H165" s="764">
        <f t="shared" si="564"/>
        <v>0</v>
      </c>
      <c r="I165" s="763">
        <v>0</v>
      </c>
      <c r="J165" s="689">
        <f t="shared" si="565"/>
        <v>0</v>
      </c>
      <c r="K165" s="764">
        <f t="shared" si="566"/>
        <v>0</v>
      </c>
      <c r="L165" s="763">
        <v>0</v>
      </c>
      <c r="M165" s="689">
        <f t="shared" si="567"/>
        <v>0</v>
      </c>
      <c r="N165" s="765"/>
      <c r="O165" s="776"/>
      <c r="P165" s="776"/>
      <c r="Q165" s="777" t="s">
        <v>321</v>
      </c>
      <c r="R165" s="762" t="s">
        <v>211</v>
      </c>
      <c r="S165" s="768">
        <v>1</v>
      </c>
      <c r="T165" s="769">
        <f t="shared" si="568"/>
        <v>0</v>
      </c>
      <c r="U165" s="772">
        <f t="shared" si="569"/>
        <v>0</v>
      </c>
      <c r="V165" s="771">
        <v>0</v>
      </c>
      <c r="W165" s="772">
        <f t="shared" si="570"/>
        <v>0</v>
      </c>
      <c r="X165" s="773"/>
      <c r="Y165" s="773"/>
      <c r="Z165" s="772">
        <f t="shared" si="571"/>
        <v>0</v>
      </c>
      <c r="AA165" s="772">
        <f t="shared" si="572"/>
        <v>0</v>
      </c>
      <c r="AB165" s="772">
        <f t="shared" si="573"/>
        <v>0</v>
      </c>
      <c r="AC165" s="772">
        <f t="shared" si="574"/>
        <v>0</v>
      </c>
      <c r="AD165" s="772">
        <f t="shared" si="575"/>
        <v>0</v>
      </c>
      <c r="AE165" s="772">
        <f t="shared" si="576"/>
        <v>0</v>
      </c>
      <c r="AF165" s="774">
        <f t="shared" si="577"/>
        <v>0</v>
      </c>
      <c r="AG165" s="772">
        <f t="shared" si="578"/>
        <v>0</v>
      </c>
      <c r="AH165" s="772">
        <f t="shared" si="579"/>
        <v>0</v>
      </c>
      <c r="AI165" s="769">
        <f t="shared" si="580"/>
        <v>0</v>
      </c>
      <c r="AJ165" s="772">
        <f t="shared" si="581"/>
        <v>0</v>
      </c>
      <c r="AK165" s="769">
        <f t="shared" si="582"/>
        <v>0</v>
      </c>
      <c r="AL165" s="769">
        <f t="shared" si="583"/>
        <v>0</v>
      </c>
      <c r="AM165" s="769">
        <f t="shared" si="584"/>
        <v>0</v>
      </c>
      <c r="AN165" s="769">
        <f t="shared" si="585"/>
        <v>0</v>
      </c>
      <c r="AO165" s="769">
        <f t="shared" si="586"/>
        <v>0</v>
      </c>
      <c r="AP165" s="769">
        <f t="shared" si="587"/>
        <v>0</v>
      </c>
      <c r="AQ165" s="769">
        <f t="shared" si="588"/>
        <v>0</v>
      </c>
      <c r="AR165" s="769">
        <f t="shared" si="589"/>
        <v>0</v>
      </c>
      <c r="AS165" s="769">
        <v>0</v>
      </c>
      <c r="AT165" s="769">
        <f t="shared" si="590"/>
        <v>0</v>
      </c>
      <c r="AU165" s="769">
        <f t="shared" si="591"/>
        <v>0</v>
      </c>
      <c r="AV165" s="769">
        <f t="shared" si="592"/>
        <v>0</v>
      </c>
      <c r="AW165" s="769">
        <f t="shared" si="593"/>
        <v>0</v>
      </c>
      <c r="AX165" s="769">
        <f t="shared" si="594"/>
        <v>0</v>
      </c>
      <c r="AY165" s="769">
        <f t="shared" si="595"/>
        <v>0</v>
      </c>
      <c r="AZ165" s="769">
        <f t="shared" si="596"/>
        <v>0</v>
      </c>
      <c r="BA165" s="769">
        <f t="shared" si="597"/>
        <v>0</v>
      </c>
      <c r="BB165" s="769">
        <f t="shared" si="598"/>
        <v>0</v>
      </c>
      <c r="BC165" s="769">
        <f t="shared" si="599"/>
        <v>0</v>
      </c>
      <c r="BD165" s="661"/>
      <c r="BF165" s="480"/>
      <c r="BG165" s="480"/>
      <c r="BH165" s="480"/>
      <c r="BI165" s="480"/>
      <c r="BJ165" s="480"/>
      <c r="BK165" s="769">
        <f t="shared" si="600"/>
        <v>0</v>
      </c>
      <c r="BL165" s="769">
        <f t="shared" si="601"/>
        <v>0</v>
      </c>
      <c r="BM165" s="769">
        <f t="shared" si="602"/>
        <v>0</v>
      </c>
      <c r="BN165" s="769">
        <f t="shared" si="603"/>
        <v>0</v>
      </c>
      <c r="BO165" s="769">
        <f t="shared" si="604"/>
        <v>0</v>
      </c>
      <c r="BP165" s="769">
        <f t="shared" si="605"/>
        <v>0</v>
      </c>
    </row>
    <row r="166" spans="1:68" s="775" customFormat="1" ht="15.6">
      <c r="A166" s="762"/>
      <c r="B166" s="763">
        <v>0</v>
      </c>
      <c r="C166" s="763">
        <v>0</v>
      </c>
      <c r="D166" s="763">
        <v>0</v>
      </c>
      <c r="E166" s="763">
        <v>0</v>
      </c>
      <c r="F166" s="763">
        <v>0</v>
      </c>
      <c r="G166" s="689">
        <f t="shared" si="563"/>
        <v>0</v>
      </c>
      <c r="H166" s="764">
        <f t="shared" si="564"/>
        <v>0</v>
      </c>
      <c r="I166" s="763">
        <v>0</v>
      </c>
      <c r="J166" s="689">
        <f t="shared" si="565"/>
        <v>0</v>
      </c>
      <c r="K166" s="764">
        <f t="shared" si="566"/>
        <v>0</v>
      </c>
      <c r="L166" s="763">
        <v>0</v>
      </c>
      <c r="M166" s="689">
        <f t="shared" si="567"/>
        <v>0</v>
      </c>
      <c r="N166" s="765"/>
      <c r="O166" s="776"/>
      <c r="P166" s="776"/>
      <c r="Q166" s="777" t="s">
        <v>322</v>
      </c>
      <c r="R166" s="762" t="s">
        <v>211</v>
      </c>
      <c r="S166" s="768">
        <v>1</v>
      </c>
      <c r="T166" s="769">
        <f t="shared" si="568"/>
        <v>0</v>
      </c>
      <c r="U166" s="772">
        <f t="shared" si="569"/>
        <v>0</v>
      </c>
      <c r="V166" s="771">
        <v>0</v>
      </c>
      <c r="W166" s="772">
        <f t="shared" si="570"/>
        <v>0</v>
      </c>
      <c r="X166" s="773"/>
      <c r="Y166" s="773"/>
      <c r="Z166" s="772">
        <f t="shared" si="571"/>
        <v>0</v>
      </c>
      <c r="AA166" s="772">
        <f t="shared" si="572"/>
        <v>0</v>
      </c>
      <c r="AB166" s="772">
        <f t="shared" si="573"/>
        <v>0</v>
      </c>
      <c r="AC166" s="772">
        <f t="shared" si="574"/>
        <v>0</v>
      </c>
      <c r="AD166" s="772">
        <f t="shared" si="575"/>
        <v>0</v>
      </c>
      <c r="AE166" s="772">
        <f t="shared" si="576"/>
        <v>0</v>
      </c>
      <c r="AF166" s="774">
        <f t="shared" si="577"/>
        <v>0</v>
      </c>
      <c r="AG166" s="772">
        <f t="shared" si="578"/>
        <v>0</v>
      </c>
      <c r="AH166" s="772">
        <f t="shared" si="579"/>
        <v>0</v>
      </c>
      <c r="AI166" s="769">
        <f t="shared" si="580"/>
        <v>0</v>
      </c>
      <c r="AJ166" s="772">
        <f t="shared" si="581"/>
        <v>0</v>
      </c>
      <c r="AK166" s="769">
        <f t="shared" si="582"/>
        <v>0</v>
      </c>
      <c r="AL166" s="769">
        <f t="shared" si="583"/>
        <v>0</v>
      </c>
      <c r="AM166" s="769">
        <f t="shared" si="584"/>
        <v>0</v>
      </c>
      <c r="AN166" s="769">
        <f t="shared" si="585"/>
        <v>0</v>
      </c>
      <c r="AO166" s="769">
        <f t="shared" si="586"/>
        <v>0</v>
      </c>
      <c r="AP166" s="769">
        <f t="shared" si="587"/>
        <v>0</v>
      </c>
      <c r="AQ166" s="769">
        <f t="shared" si="588"/>
        <v>0</v>
      </c>
      <c r="AR166" s="769">
        <f t="shared" si="589"/>
        <v>0</v>
      </c>
      <c r="AS166" s="769">
        <v>0</v>
      </c>
      <c r="AT166" s="769">
        <f t="shared" si="590"/>
        <v>0</v>
      </c>
      <c r="AU166" s="769">
        <f t="shared" si="591"/>
        <v>0</v>
      </c>
      <c r="AV166" s="769">
        <f t="shared" si="592"/>
        <v>0</v>
      </c>
      <c r="AW166" s="769">
        <f t="shared" si="593"/>
        <v>0</v>
      </c>
      <c r="AX166" s="769">
        <f t="shared" si="594"/>
        <v>0</v>
      </c>
      <c r="AY166" s="769">
        <f t="shared" si="595"/>
        <v>0</v>
      </c>
      <c r="AZ166" s="769">
        <f t="shared" si="596"/>
        <v>0</v>
      </c>
      <c r="BA166" s="769">
        <f t="shared" si="597"/>
        <v>0</v>
      </c>
      <c r="BB166" s="769">
        <f t="shared" si="598"/>
        <v>0</v>
      </c>
      <c r="BC166" s="769">
        <f t="shared" si="599"/>
        <v>0</v>
      </c>
      <c r="BD166" s="661"/>
      <c r="BF166" s="480"/>
      <c r="BG166" s="480"/>
      <c r="BH166" s="480"/>
      <c r="BI166" s="480"/>
      <c r="BJ166" s="480"/>
      <c r="BK166" s="769">
        <f t="shared" si="600"/>
        <v>0</v>
      </c>
      <c r="BL166" s="769">
        <f t="shared" si="601"/>
        <v>0</v>
      </c>
      <c r="BM166" s="769">
        <f t="shared" si="602"/>
        <v>0</v>
      </c>
      <c r="BN166" s="769">
        <f t="shared" si="603"/>
        <v>0</v>
      </c>
      <c r="BO166" s="769">
        <f t="shared" si="604"/>
        <v>0</v>
      </c>
      <c r="BP166" s="769">
        <f t="shared" si="605"/>
        <v>0</v>
      </c>
    </row>
    <row r="167" spans="1:68" s="775" customFormat="1" ht="15.6">
      <c r="A167" s="762"/>
      <c r="B167" s="763">
        <v>0</v>
      </c>
      <c r="C167" s="763">
        <v>0</v>
      </c>
      <c r="D167" s="763">
        <v>0</v>
      </c>
      <c r="E167" s="763">
        <v>0</v>
      </c>
      <c r="F167" s="763">
        <v>0</v>
      </c>
      <c r="G167" s="689">
        <f t="shared" si="563"/>
        <v>0</v>
      </c>
      <c r="H167" s="764">
        <f t="shared" si="564"/>
        <v>0</v>
      </c>
      <c r="I167" s="763">
        <v>0</v>
      </c>
      <c r="J167" s="689">
        <f t="shared" si="565"/>
        <v>0</v>
      </c>
      <c r="K167" s="764">
        <f t="shared" si="566"/>
        <v>0</v>
      </c>
      <c r="L167" s="763">
        <v>0</v>
      </c>
      <c r="M167" s="689">
        <f t="shared" si="567"/>
        <v>0</v>
      </c>
      <c r="N167" s="765"/>
      <c r="O167" s="776"/>
      <c r="P167" s="776"/>
      <c r="Q167" s="777" t="s">
        <v>323</v>
      </c>
      <c r="R167" s="762" t="s">
        <v>211</v>
      </c>
      <c r="S167" s="768">
        <v>1</v>
      </c>
      <c r="T167" s="769">
        <f t="shared" si="568"/>
        <v>0</v>
      </c>
      <c r="U167" s="772">
        <f t="shared" si="569"/>
        <v>0</v>
      </c>
      <c r="V167" s="771">
        <v>0</v>
      </c>
      <c r="W167" s="772">
        <f t="shared" si="570"/>
        <v>0</v>
      </c>
      <c r="X167" s="773"/>
      <c r="Y167" s="773"/>
      <c r="Z167" s="772">
        <f t="shared" si="571"/>
        <v>0</v>
      </c>
      <c r="AA167" s="772">
        <f t="shared" si="572"/>
        <v>0</v>
      </c>
      <c r="AB167" s="772">
        <f t="shared" si="573"/>
        <v>0</v>
      </c>
      <c r="AC167" s="772">
        <f t="shared" si="574"/>
        <v>0</v>
      </c>
      <c r="AD167" s="772">
        <f t="shared" si="575"/>
        <v>0</v>
      </c>
      <c r="AE167" s="772">
        <f t="shared" si="576"/>
        <v>0</v>
      </c>
      <c r="AF167" s="774">
        <f t="shared" si="577"/>
        <v>0</v>
      </c>
      <c r="AG167" s="772">
        <f t="shared" si="578"/>
        <v>0</v>
      </c>
      <c r="AH167" s="772">
        <f t="shared" si="579"/>
        <v>0</v>
      </c>
      <c r="AI167" s="769">
        <f t="shared" si="580"/>
        <v>0</v>
      </c>
      <c r="AJ167" s="772">
        <f t="shared" si="581"/>
        <v>0</v>
      </c>
      <c r="AK167" s="769">
        <f t="shared" si="582"/>
        <v>0</v>
      </c>
      <c r="AL167" s="769">
        <f t="shared" si="583"/>
        <v>0</v>
      </c>
      <c r="AM167" s="769">
        <f t="shared" si="584"/>
        <v>0</v>
      </c>
      <c r="AN167" s="769">
        <f t="shared" si="585"/>
        <v>0</v>
      </c>
      <c r="AO167" s="769">
        <f t="shared" si="586"/>
        <v>0</v>
      </c>
      <c r="AP167" s="769">
        <f t="shared" si="587"/>
        <v>0</v>
      </c>
      <c r="AQ167" s="769">
        <f t="shared" si="588"/>
        <v>0</v>
      </c>
      <c r="AR167" s="769">
        <f t="shared" si="589"/>
        <v>0</v>
      </c>
      <c r="AS167" s="769">
        <v>0</v>
      </c>
      <c r="AT167" s="769">
        <f t="shared" si="590"/>
        <v>0</v>
      </c>
      <c r="AU167" s="769">
        <f t="shared" si="591"/>
        <v>0</v>
      </c>
      <c r="AV167" s="769">
        <f t="shared" si="592"/>
        <v>0</v>
      </c>
      <c r="AW167" s="769">
        <f t="shared" si="593"/>
        <v>0</v>
      </c>
      <c r="AX167" s="769">
        <f t="shared" si="594"/>
        <v>0</v>
      </c>
      <c r="AY167" s="769">
        <f t="shared" si="595"/>
        <v>0</v>
      </c>
      <c r="AZ167" s="769">
        <f t="shared" si="596"/>
        <v>0</v>
      </c>
      <c r="BA167" s="769">
        <f t="shared" si="597"/>
        <v>0</v>
      </c>
      <c r="BB167" s="769">
        <f t="shared" si="598"/>
        <v>0</v>
      </c>
      <c r="BC167" s="769">
        <f t="shared" si="599"/>
        <v>0</v>
      </c>
      <c r="BD167" s="661"/>
      <c r="BF167" s="480"/>
      <c r="BG167" s="480"/>
      <c r="BH167" s="480"/>
      <c r="BI167" s="480"/>
      <c r="BJ167" s="480"/>
      <c r="BK167" s="769">
        <f t="shared" si="600"/>
        <v>0</v>
      </c>
      <c r="BL167" s="769">
        <f t="shared" si="601"/>
        <v>0</v>
      </c>
      <c r="BM167" s="769">
        <f t="shared" si="602"/>
        <v>0</v>
      </c>
      <c r="BN167" s="769">
        <f t="shared" si="603"/>
        <v>0</v>
      </c>
      <c r="BO167" s="769">
        <f t="shared" si="604"/>
        <v>0</v>
      </c>
      <c r="BP167" s="769">
        <f t="shared" si="605"/>
        <v>0</v>
      </c>
    </row>
    <row r="168" spans="1:68" s="775" customFormat="1" ht="15.6">
      <c r="A168" s="762"/>
      <c r="B168" s="763">
        <v>0</v>
      </c>
      <c r="C168" s="763">
        <v>0</v>
      </c>
      <c r="D168" s="763">
        <v>0</v>
      </c>
      <c r="E168" s="763">
        <v>0</v>
      </c>
      <c r="F168" s="763">
        <v>0</v>
      </c>
      <c r="G168" s="689">
        <f t="shared" si="563"/>
        <v>0</v>
      </c>
      <c r="H168" s="764">
        <f t="shared" si="564"/>
        <v>0</v>
      </c>
      <c r="I168" s="763">
        <v>0</v>
      </c>
      <c r="J168" s="689">
        <f t="shared" si="565"/>
        <v>0</v>
      </c>
      <c r="K168" s="764">
        <f t="shared" si="566"/>
        <v>0</v>
      </c>
      <c r="L168" s="763">
        <v>0</v>
      </c>
      <c r="M168" s="689">
        <f t="shared" si="567"/>
        <v>0</v>
      </c>
      <c r="N168" s="765"/>
      <c r="O168" s="776"/>
      <c r="P168" s="776"/>
      <c r="Q168" s="777" t="s">
        <v>253</v>
      </c>
      <c r="R168" s="762" t="s">
        <v>211</v>
      </c>
      <c r="S168" s="768">
        <v>1</v>
      </c>
      <c r="T168" s="769">
        <f t="shared" si="568"/>
        <v>0</v>
      </c>
      <c r="U168" s="772">
        <f t="shared" si="569"/>
        <v>0</v>
      </c>
      <c r="V168" s="771">
        <v>0</v>
      </c>
      <c r="W168" s="772">
        <f t="shared" si="570"/>
        <v>0</v>
      </c>
      <c r="X168" s="773"/>
      <c r="Y168" s="773"/>
      <c r="Z168" s="772">
        <f t="shared" si="571"/>
        <v>0</v>
      </c>
      <c r="AA168" s="772">
        <f t="shared" si="572"/>
        <v>0</v>
      </c>
      <c r="AB168" s="772">
        <f t="shared" si="573"/>
        <v>0</v>
      </c>
      <c r="AC168" s="772">
        <f t="shared" si="574"/>
        <v>0</v>
      </c>
      <c r="AD168" s="772">
        <f t="shared" si="575"/>
        <v>0</v>
      </c>
      <c r="AE168" s="772">
        <f t="shared" si="576"/>
        <v>0</v>
      </c>
      <c r="AF168" s="774">
        <f t="shared" si="577"/>
        <v>0</v>
      </c>
      <c r="AG168" s="772">
        <f t="shared" si="578"/>
        <v>0</v>
      </c>
      <c r="AH168" s="772">
        <f t="shared" si="579"/>
        <v>0</v>
      </c>
      <c r="AI168" s="769">
        <f t="shared" si="580"/>
        <v>0</v>
      </c>
      <c r="AJ168" s="772">
        <f t="shared" si="581"/>
        <v>0</v>
      </c>
      <c r="AK168" s="769">
        <f t="shared" si="582"/>
        <v>0</v>
      </c>
      <c r="AL168" s="769">
        <f t="shared" si="583"/>
        <v>0</v>
      </c>
      <c r="AM168" s="769">
        <f t="shared" si="584"/>
        <v>0</v>
      </c>
      <c r="AN168" s="769">
        <f t="shared" si="585"/>
        <v>0</v>
      </c>
      <c r="AO168" s="769">
        <f t="shared" si="586"/>
        <v>0</v>
      </c>
      <c r="AP168" s="769">
        <f t="shared" si="587"/>
        <v>0</v>
      </c>
      <c r="AQ168" s="769">
        <f t="shared" si="588"/>
        <v>0</v>
      </c>
      <c r="AR168" s="769">
        <f t="shared" si="589"/>
        <v>0</v>
      </c>
      <c r="AS168" s="769">
        <v>0</v>
      </c>
      <c r="AT168" s="769">
        <f t="shared" si="590"/>
        <v>0</v>
      </c>
      <c r="AU168" s="769">
        <f t="shared" si="591"/>
        <v>0</v>
      </c>
      <c r="AV168" s="769">
        <f t="shared" si="592"/>
        <v>0</v>
      </c>
      <c r="AW168" s="769">
        <f t="shared" si="593"/>
        <v>0</v>
      </c>
      <c r="AX168" s="769">
        <f t="shared" si="594"/>
        <v>0</v>
      </c>
      <c r="AY168" s="769">
        <f t="shared" si="595"/>
        <v>0</v>
      </c>
      <c r="AZ168" s="769">
        <f t="shared" si="596"/>
        <v>0</v>
      </c>
      <c r="BA168" s="769">
        <f t="shared" si="597"/>
        <v>0</v>
      </c>
      <c r="BB168" s="769">
        <f t="shared" si="598"/>
        <v>0</v>
      </c>
      <c r="BC168" s="769">
        <f t="shared" si="599"/>
        <v>0</v>
      </c>
      <c r="BD168" s="661"/>
      <c r="BF168" s="480"/>
      <c r="BG168" s="480"/>
      <c r="BH168" s="480"/>
      <c r="BI168" s="480"/>
      <c r="BJ168" s="480"/>
      <c r="BK168" s="769">
        <f t="shared" si="600"/>
        <v>0</v>
      </c>
      <c r="BL168" s="769">
        <f t="shared" si="601"/>
        <v>0</v>
      </c>
      <c r="BM168" s="769">
        <f t="shared" si="602"/>
        <v>0</v>
      </c>
      <c r="BN168" s="769">
        <f t="shared" si="603"/>
        <v>0</v>
      </c>
      <c r="BO168" s="769">
        <f t="shared" si="604"/>
        <v>0</v>
      </c>
      <c r="BP168" s="769">
        <f t="shared" si="605"/>
        <v>0</v>
      </c>
    </row>
    <row r="169" spans="1:68" s="775" customFormat="1" ht="15.6">
      <c r="A169" s="762"/>
      <c r="B169" s="763">
        <v>0</v>
      </c>
      <c r="C169" s="763">
        <v>0</v>
      </c>
      <c r="D169" s="763">
        <v>0</v>
      </c>
      <c r="E169" s="763">
        <v>0</v>
      </c>
      <c r="F169" s="763">
        <v>0</v>
      </c>
      <c r="G169" s="689">
        <f t="shared" si="563"/>
        <v>0</v>
      </c>
      <c r="H169" s="764">
        <f t="shared" si="564"/>
        <v>0</v>
      </c>
      <c r="I169" s="763">
        <v>0</v>
      </c>
      <c r="J169" s="689">
        <f t="shared" si="565"/>
        <v>0</v>
      </c>
      <c r="K169" s="764">
        <f t="shared" si="566"/>
        <v>0</v>
      </c>
      <c r="L169" s="763">
        <v>0</v>
      </c>
      <c r="M169" s="689">
        <f t="shared" si="567"/>
        <v>0</v>
      </c>
      <c r="N169" s="765"/>
      <c r="O169" s="776"/>
      <c r="P169" s="776" t="s">
        <v>324</v>
      </c>
      <c r="Q169" s="777" t="s">
        <v>325</v>
      </c>
      <c r="R169" s="762" t="s">
        <v>231</v>
      </c>
      <c r="S169" s="768">
        <v>1</v>
      </c>
      <c r="T169" s="769">
        <f t="shared" si="568"/>
        <v>0</v>
      </c>
      <c r="U169" s="772">
        <f t="shared" si="569"/>
        <v>0</v>
      </c>
      <c r="V169" s="771">
        <v>0</v>
      </c>
      <c r="W169" s="772">
        <f t="shared" si="570"/>
        <v>0</v>
      </c>
      <c r="X169" s="773"/>
      <c r="Y169" s="773"/>
      <c r="Z169" s="772">
        <f t="shared" si="571"/>
        <v>0</v>
      </c>
      <c r="AA169" s="772">
        <f t="shared" si="572"/>
        <v>0</v>
      </c>
      <c r="AB169" s="772">
        <f t="shared" si="573"/>
        <v>0</v>
      </c>
      <c r="AC169" s="772">
        <f t="shared" si="574"/>
        <v>0</v>
      </c>
      <c r="AD169" s="772">
        <f t="shared" si="575"/>
        <v>0</v>
      </c>
      <c r="AE169" s="772">
        <f t="shared" si="576"/>
        <v>0</v>
      </c>
      <c r="AF169" s="774">
        <f t="shared" si="577"/>
        <v>0</v>
      </c>
      <c r="AG169" s="772">
        <f t="shared" si="578"/>
        <v>0</v>
      </c>
      <c r="AH169" s="772">
        <f t="shared" si="579"/>
        <v>0</v>
      </c>
      <c r="AI169" s="769">
        <f t="shared" si="580"/>
        <v>0</v>
      </c>
      <c r="AJ169" s="772">
        <f t="shared" si="581"/>
        <v>0</v>
      </c>
      <c r="AK169" s="769">
        <f t="shared" si="582"/>
        <v>0</v>
      </c>
      <c r="AL169" s="769">
        <f t="shared" si="583"/>
        <v>0</v>
      </c>
      <c r="AM169" s="769">
        <f t="shared" si="584"/>
        <v>0</v>
      </c>
      <c r="AN169" s="769">
        <f t="shared" si="585"/>
        <v>0</v>
      </c>
      <c r="AO169" s="769">
        <f t="shared" si="586"/>
        <v>0</v>
      </c>
      <c r="AP169" s="769">
        <f t="shared" si="587"/>
        <v>0</v>
      </c>
      <c r="AQ169" s="769">
        <f t="shared" si="588"/>
        <v>0</v>
      </c>
      <c r="AR169" s="769">
        <f t="shared" si="589"/>
        <v>0</v>
      </c>
      <c r="AS169" s="769">
        <v>0</v>
      </c>
      <c r="AT169" s="769">
        <f t="shared" si="590"/>
        <v>0</v>
      </c>
      <c r="AU169" s="769">
        <f t="shared" si="591"/>
        <v>0</v>
      </c>
      <c r="AV169" s="769">
        <f t="shared" si="592"/>
        <v>0</v>
      </c>
      <c r="AW169" s="769">
        <f t="shared" si="593"/>
        <v>0</v>
      </c>
      <c r="AX169" s="769">
        <f t="shared" si="594"/>
        <v>0</v>
      </c>
      <c r="AY169" s="769">
        <f t="shared" si="595"/>
        <v>0</v>
      </c>
      <c r="AZ169" s="769">
        <f t="shared" si="596"/>
        <v>0</v>
      </c>
      <c r="BA169" s="769">
        <f t="shared" si="597"/>
        <v>0</v>
      </c>
      <c r="BB169" s="769">
        <f t="shared" si="598"/>
        <v>0</v>
      </c>
      <c r="BC169" s="769">
        <f t="shared" si="599"/>
        <v>0</v>
      </c>
      <c r="BD169" s="661"/>
      <c r="BF169" s="480"/>
      <c r="BG169" s="480"/>
      <c r="BH169" s="480"/>
      <c r="BI169" s="480"/>
      <c r="BJ169" s="480"/>
      <c r="BK169" s="769">
        <f t="shared" si="600"/>
        <v>0</v>
      </c>
      <c r="BL169" s="769">
        <f t="shared" si="601"/>
        <v>0</v>
      </c>
      <c r="BM169" s="769">
        <f t="shared" si="602"/>
        <v>0</v>
      </c>
      <c r="BN169" s="769">
        <f t="shared" si="603"/>
        <v>0</v>
      </c>
      <c r="BO169" s="769">
        <f t="shared" si="604"/>
        <v>0</v>
      </c>
      <c r="BP169" s="769">
        <f t="shared" si="605"/>
        <v>0</v>
      </c>
    </row>
    <row r="170" spans="1:68" s="775" customFormat="1" ht="15.6">
      <c r="A170" s="762"/>
      <c r="B170" s="763">
        <v>0</v>
      </c>
      <c r="C170" s="763">
        <v>0</v>
      </c>
      <c r="D170" s="763">
        <v>0</v>
      </c>
      <c r="E170" s="763">
        <v>0</v>
      </c>
      <c r="F170" s="763">
        <v>0</v>
      </c>
      <c r="G170" s="689">
        <f t="shared" si="563"/>
        <v>0</v>
      </c>
      <c r="H170" s="764">
        <f t="shared" si="564"/>
        <v>0</v>
      </c>
      <c r="I170" s="763">
        <v>0</v>
      </c>
      <c r="J170" s="689">
        <f t="shared" si="565"/>
        <v>0</v>
      </c>
      <c r="K170" s="764">
        <f t="shared" si="566"/>
        <v>0</v>
      </c>
      <c r="L170" s="763">
        <v>0</v>
      </c>
      <c r="M170" s="689">
        <f t="shared" si="567"/>
        <v>0</v>
      </c>
      <c r="N170" s="765"/>
      <c r="O170" s="776"/>
      <c r="P170" s="776"/>
      <c r="Q170" s="777" t="s">
        <v>326</v>
      </c>
      <c r="R170" s="762" t="s">
        <v>231</v>
      </c>
      <c r="S170" s="768">
        <v>1</v>
      </c>
      <c r="T170" s="769">
        <f t="shared" si="568"/>
        <v>0</v>
      </c>
      <c r="U170" s="772">
        <f t="shared" si="569"/>
        <v>0</v>
      </c>
      <c r="V170" s="771">
        <v>0</v>
      </c>
      <c r="W170" s="772">
        <f t="shared" si="570"/>
        <v>0</v>
      </c>
      <c r="X170" s="773"/>
      <c r="Y170" s="773"/>
      <c r="Z170" s="772">
        <f t="shared" si="571"/>
        <v>0</v>
      </c>
      <c r="AA170" s="772">
        <f t="shared" si="572"/>
        <v>0</v>
      </c>
      <c r="AB170" s="772">
        <f t="shared" si="573"/>
        <v>0</v>
      </c>
      <c r="AC170" s="772">
        <f t="shared" si="574"/>
        <v>0</v>
      </c>
      <c r="AD170" s="772">
        <f t="shared" si="575"/>
        <v>0</v>
      </c>
      <c r="AE170" s="772">
        <f t="shared" si="576"/>
        <v>0</v>
      </c>
      <c r="AF170" s="774">
        <f t="shared" si="577"/>
        <v>0</v>
      </c>
      <c r="AG170" s="772">
        <f t="shared" si="578"/>
        <v>0</v>
      </c>
      <c r="AH170" s="772">
        <f t="shared" si="579"/>
        <v>0</v>
      </c>
      <c r="AI170" s="769">
        <f t="shared" si="580"/>
        <v>0</v>
      </c>
      <c r="AJ170" s="772">
        <f t="shared" si="581"/>
        <v>0</v>
      </c>
      <c r="AK170" s="769">
        <f t="shared" si="582"/>
        <v>0</v>
      </c>
      <c r="AL170" s="769">
        <f t="shared" si="583"/>
        <v>0</v>
      </c>
      <c r="AM170" s="769">
        <f t="shared" si="584"/>
        <v>0</v>
      </c>
      <c r="AN170" s="769">
        <f t="shared" si="585"/>
        <v>0</v>
      </c>
      <c r="AO170" s="769">
        <f t="shared" si="586"/>
        <v>0</v>
      </c>
      <c r="AP170" s="769">
        <f t="shared" si="587"/>
        <v>0</v>
      </c>
      <c r="AQ170" s="769">
        <f t="shared" si="588"/>
        <v>0</v>
      </c>
      <c r="AR170" s="769">
        <f t="shared" si="589"/>
        <v>0</v>
      </c>
      <c r="AS170" s="769">
        <v>0</v>
      </c>
      <c r="AT170" s="769">
        <f t="shared" si="590"/>
        <v>0</v>
      </c>
      <c r="AU170" s="769">
        <f t="shared" si="591"/>
        <v>0</v>
      </c>
      <c r="AV170" s="769">
        <f t="shared" si="592"/>
        <v>0</v>
      </c>
      <c r="AW170" s="769">
        <f t="shared" si="593"/>
        <v>0</v>
      </c>
      <c r="AX170" s="769">
        <f t="shared" si="594"/>
        <v>0</v>
      </c>
      <c r="AY170" s="769">
        <f t="shared" si="595"/>
        <v>0</v>
      </c>
      <c r="AZ170" s="769">
        <f t="shared" si="596"/>
        <v>0</v>
      </c>
      <c r="BA170" s="769">
        <f t="shared" si="597"/>
        <v>0</v>
      </c>
      <c r="BB170" s="769">
        <f t="shared" si="598"/>
        <v>0</v>
      </c>
      <c r="BC170" s="769">
        <f t="shared" si="599"/>
        <v>0</v>
      </c>
      <c r="BD170" s="661"/>
      <c r="BF170" s="480"/>
      <c r="BG170" s="480"/>
      <c r="BH170" s="480"/>
      <c r="BI170" s="480"/>
      <c r="BJ170" s="480"/>
      <c r="BK170" s="769">
        <f t="shared" si="600"/>
        <v>0</v>
      </c>
      <c r="BL170" s="769">
        <f t="shared" si="601"/>
        <v>0</v>
      </c>
      <c r="BM170" s="769">
        <f t="shared" si="602"/>
        <v>0</v>
      </c>
      <c r="BN170" s="769">
        <f t="shared" si="603"/>
        <v>0</v>
      </c>
      <c r="BO170" s="769">
        <f t="shared" si="604"/>
        <v>0</v>
      </c>
      <c r="BP170" s="769">
        <f t="shared" si="605"/>
        <v>0</v>
      </c>
    </row>
    <row r="171" spans="1:68" s="775" customFormat="1" ht="15.6">
      <c r="A171" s="762"/>
      <c r="B171" s="763">
        <v>0</v>
      </c>
      <c r="C171" s="763">
        <v>0</v>
      </c>
      <c r="D171" s="763">
        <v>0</v>
      </c>
      <c r="E171" s="763">
        <v>0</v>
      </c>
      <c r="F171" s="763">
        <v>0</v>
      </c>
      <c r="G171" s="689">
        <f t="shared" si="563"/>
        <v>0</v>
      </c>
      <c r="H171" s="764">
        <f t="shared" si="564"/>
        <v>0</v>
      </c>
      <c r="I171" s="763">
        <v>0</v>
      </c>
      <c r="J171" s="689">
        <f t="shared" si="565"/>
        <v>0</v>
      </c>
      <c r="K171" s="764">
        <f t="shared" si="566"/>
        <v>0</v>
      </c>
      <c r="L171" s="763">
        <v>0</v>
      </c>
      <c r="M171" s="689">
        <f t="shared" si="567"/>
        <v>0</v>
      </c>
      <c r="N171" s="765"/>
      <c r="O171" s="776"/>
      <c r="P171" s="776"/>
      <c r="Q171" s="777" t="s">
        <v>327</v>
      </c>
      <c r="R171" s="762" t="s">
        <v>231</v>
      </c>
      <c r="S171" s="768">
        <v>1</v>
      </c>
      <c r="T171" s="769">
        <f t="shared" si="568"/>
        <v>0</v>
      </c>
      <c r="U171" s="772">
        <f t="shared" si="569"/>
        <v>0</v>
      </c>
      <c r="V171" s="771">
        <v>0</v>
      </c>
      <c r="W171" s="772">
        <f t="shared" si="570"/>
        <v>0</v>
      </c>
      <c r="X171" s="773"/>
      <c r="Y171" s="773"/>
      <c r="Z171" s="772">
        <f t="shared" si="571"/>
        <v>0</v>
      </c>
      <c r="AA171" s="772">
        <f t="shared" si="572"/>
        <v>0</v>
      </c>
      <c r="AB171" s="772">
        <f t="shared" si="573"/>
        <v>0</v>
      </c>
      <c r="AC171" s="772">
        <f t="shared" si="574"/>
        <v>0</v>
      </c>
      <c r="AD171" s="772">
        <f t="shared" si="575"/>
        <v>0</v>
      </c>
      <c r="AE171" s="772">
        <f t="shared" si="576"/>
        <v>0</v>
      </c>
      <c r="AF171" s="774">
        <f t="shared" si="577"/>
        <v>0</v>
      </c>
      <c r="AG171" s="772">
        <f t="shared" si="578"/>
        <v>0</v>
      </c>
      <c r="AH171" s="772">
        <f t="shared" si="579"/>
        <v>0</v>
      </c>
      <c r="AI171" s="769">
        <f t="shared" si="580"/>
        <v>0</v>
      </c>
      <c r="AJ171" s="772">
        <f t="shared" si="581"/>
        <v>0</v>
      </c>
      <c r="AK171" s="769">
        <f t="shared" si="582"/>
        <v>0</v>
      </c>
      <c r="AL171" s="769">
        <f t="shared" si="583"/>
        <v>0</v>
      </c>
      <c r="AM171" s="769">
        <f t="shared" si="584"/>
        <v>0</v>
      </c>
      <c r="AN171" s="769">
        <f t="shared" si="585"/>
        <v>0</v>
      </c>
      <c r="AO171" s="769">
        <f t="shared" si="586"/>
        <v>0</v>
      </c>
      <c r="AP171" s="769">
        <f t="shared" si="587"/>
        <v>0</v>
      </c>
      <c r="AQ171" s="769">
        <f t="shared" si="588"/>
        <v>0</v>
      </c>
      <c r="AR171" s="769">
        <f t="shared" si="589"/>
        <v>0</v>
      </c>
      <c r="AS171" s="769">
        <v>0</v>
      </c>
      <c r="AT171" s="769">
        <f t="shared" si="590"/>
        <v>0</v>
      </c>
      <c r="AU171" s="769">
        <f t="shared" si="591"/>
        <v>0</v>
      </c>
      <c r="AV171" s="769">
        <f t="shared" si="592"/>
        <v>0</v>
      </c>
      <c r="AW171" s="769">
        <f t="shared" si="593"/>
        <v>0</v>
      </c>
      <c r="AX171" s="769">
        <f t="shared" si="594"/>
        <v>0</v>
      </c>
      <c r="AY171" s="769">
        <f t="shared" si="595"/>
        <v>0</v>
      </c>
      <c r="AZ171" s="769">
        <f t="shared" si="596"/>
        <v>0</v>
      </c>
      <c r="BA171" s="769">
        <f t="shared" si="597"/>
        <v>0</v>
      </c>
      <c r="BB171" s="769">
        <f t="shared" si="598"/>
        <v>0</v>
      </c>
      <c r="BC171" s="769">
        <f t="shared" si="599"/>
        <v>0</v>
      </c>
      <c r="BD171" s="661"/>
      <c r="BF171" s="480"/>
      <c r="BG171" s="480"/>
      <c r="BH171" s="480"/>
      <c r="BI171" s="480"/>
      <c r="BJ171" s="480"/>
      <c r="BK171" s="769">
        <f t="shared" si="600"/>
        <v>0</v>
      </c>
      <c r="BL171" s="769">
        <f t="shared" si="601"/>
        <v>0</v>
      </c>
      <c r="BM171" s="769">
        <f t="shared" si="602"/>
        <v>0</v>
      </c>
      <c r="BN171" s="769">
        <f t="shared" si="603"/>
        <v>0</v>
      </c>
      <c r="BO171" s="769">
        <f t="shared" si="604"/>
        <v>0</v>
      </c>
      <c r="BP171" s="769">
        <f t="shared" si="605"/>
        <v>0</v>
      </c>
    </row>
    <row r="172" spans="1:68" s="775" customFormat="1" ht="15.6">
      <c r="A172" s="762"/>
      <c r="B172" s="763">
        <v>0</v>
      </c>
      <c r="C172" s="763">
        <v>0</v>
      </c>
      <c r="D172" s="763">
        <v>0</v>
      </c>
      <c r="E172" s="763">
        <v>0</v>
      </c>
      <c r="F172" s="763">
        <v>0</v>
      </c>
      <c r="G172" s="689">
        <f t="shared" si="563"/>
        <v>0</v>
      </c>
      <c r="H172" s="764">
        <f t="shared" si="564"/>
        <v>0</v>
      </c>
      <c r="I172" s="763">
        <v>0</v>
      </c>
      <c r="J172" s="689">
        <f t="shared" si="565"/>
        <v>0</v>
      </c>
      <c r="K172" s="764">
        <f t="shared" si="566"/>
        <v>0</v>
      </c>
      <c r="L172" s="763">
        <v>0</v>
      </c>
      <c r="M172" s="689">
        <f t="shared" si="567"/>
        <v>0</v>
      </c>
      <c r="N172" s="765"/>
      <c r="O172" s="776"/>
      <c r="P172" s="776"/>
      <c r="Q172" s="777" t="s">
        <v>321</v>
      </c>
      <c r="R172" s="762" t="s">
        <v>231</v>
      </c>
      <c r="S172" s="768">
        <v>1</v>
      </c>
      <c r="T172" s="769">
        <f t="shared" si="568"/>
        <v>0</v>
      </c>
      <c r="U172" s="772">
        <f t="shared" si="569"/>
        <v>0</v>
      </c>
      <c r="V172" s="771">
        <v>0</v>
      </c>
      <c r="W172" s="772">
        <f t="shared" si="570"/>
        <v>0</v>
      </c>
      <c r="X172" s="773"/>
      <c r="Y172" s="773"/>
      <c r="Z172" s="772">
        <f t="shared" si="571"/>
        <v>0</v>
      </c>
      <c r="AA172" s="772">
        <f t="shared" si="572"/>
        <v>0</v>
      </c>
      <c r="AB172" s="772">
        <f t="shared" si="573"/>
        <v>0</v>
      </c>
      <c r="AC172" s="772">
        <f t="shared" si="574"/>
        <v>0</v>
      </c>
      <c r="AD172" s="772">
        <f t="shared" si="575"/>
        <v>0</v>
      </c>
      <c r="AE172" s="772">
        <f t="shared" si="576"/>
        <v>0</v>
      </c>
      <c r="AF172" s="774">
        <f t="shared" si="577"/>
        <v>0</v>
      </c>
      <c r="AG172" s="772">
        <f t="shared" si="578"/>
        <v>0</v>
      </c>
      <c r="AH172" s="772">
        <f t="shared" si="579"/>
        <v>0</v>
      </c>
      <c r="AI172" s="769">
        <f t="shared" si="580"/>
        <v>0</v>
      </c>
      <c r="AJ172" s="772">
        <f t="shared" si="581"/>
        <v>0</v>
      </c>
      <c r="AK172" s="769">
        <f t="shared" si="582"/>
        <v>0</v>
      </c>
      <c r="AL172" s="769">
        <f t="shared" si="583"/>
        <v>0</v>
      </c>
      <c r="AM172" s="769">
        <f t="shared" si="584"/>
        <v>0</v>
      </c>
      <c r="AN172" s="769">
        <f t="shared" si="585"/>
        <v>0</v>
      </c>
      <c r="AO172" s="769">
        <f t="shared" si="586"/>
        <v>0</v>
      </c>
      <c r="AP172" s="769">
        <f t="shared" si="587"/>
        <v>0</v>
      </c>
      <c r="AQ172" s="769">
        <f t="shared" si="588"/>
        <v>0</v>
      </c>
      <c r="AR172" s="769">
        <f t="shared" si="589"/>
        <v>0</v>
      </c>
      <c r="AS172" s="769">
        <v>0</v>
      </c>
      <c r="AT172" s="769">
        <f t="shared" si="590"/>
        <v>0</v>
      </c>
      <c r="AU172" s="769">
        <f t="shared" si="591"/>
        <v>0</v>
      </c>
      <c r="AV172" s="769">
        <f t="shared" si="592"/>
        <v>0</v>
      </c>
      <c r="AW172" s="769">
        <f t="shared" si="593"/>
        <v>0</v>
      </c>
      <c r="AX172" s="769">
        <f t="shared" si="594"/>
        <v>0</v>
      </c>
      <c r="AY172" s="769">
        <f t="shared" si="595"/>
        <v>0</v>
      </c>
      <c r="AZ172" s="769">
        <f t="shared" si="596"/>
        <v>0</v>
      </c>
      <c r="BA172" s="769">
        <f t="shared" si="597"/>
        <v>0</v>
      </c>
      <c r="BB172" s="769">
        <f t="shared" si="598"/>
        <v>0</v>
      </c>
      <c r="BC172" s="769">
        <f t="shared" si="599"/>
        <v>0</v>
      </c>
      <c r="BD172" s="661"/>
      <c r="BF172" s="480"/>
      <c r="BG172" s="480"/>
      <c r="BH172" s="480"/>
      <c r="BI172" s="480"/>
      <c r="BJ172" s="480"/>
      <c r="BK172" s="769">
        <f t="shared" si="600"/>
        <v>0</v>
      </c>
      <c r="BL172" s="769">
        <f t="shared" si="601"/>
        <v>0</v>
      </c>
      <c r="BM172" s="769">
        <f t="shared" si="602"/>
        <v>0</v>
      </c>
      <c r="BN172" s="769">
        <f t="shared" si="603"/>
        <v>0</v>
      </c>
      <c r="BO172" s="769">
        <f t="shared" si="604"/>
        <v>0</v>
      </c>
      <c r="BP172" s="769">
        <f t="shared" si="605"/>
        <v>0</v>
      </c>
    </row>
    <row r="173" spans="1:68" s="775" customFormat="1" ht="15.6">
      <c r="A173" s="762"/>
      <c r="B173" s="763">
        <v>0</v>
      </c>
      <c r="C173" s="763">
        <v>0</v>
      </c>
      <c r="D173" s="763">
        <v>0</v>
      </c>
      <c r="E173" s="763">
        <v>0</v>
      </c>
      <c r="F173" s="763">
        <v>0</v>
      </c>
      <c r="G173" s="689">
        <f t="shared" si="563"/>
        <v>0</v>
      </c>
      <c r="H173" s="764">
        <f t="shared" si="564"/>
        <v>0</v>
      </c>
      <c r="I173" s="763">
        <v>0</v>
      </c>
      <c r="J173" s="689">
        <f t="shared" si="565"/>
        <v>0</v>
      </c>
      <c r="K173" s="764">
        <f t="shared" si="566"/>
        <v>0</v>
      </c>
      <c r="L173" s="763">
        <v>0</v>
      </c>
      <c r="M173" s="689">
        <f t="shared" si="567"/>
        <v>0</v>
      </c>
      <c r="N173" s="765"/>
      <c r="O173" s="776"/>
      <c r="P173" s="776"/>
      <c r="Q173" s="777" t="s">
        <v>322</v>
      </c>
      <c r="R173" s="762" t="s">
        <v>211</v>
      </c>
      <c r="S173" s="768">
        <v>1</v>
      </c>
      <c r="T173" s="769">
        <f t="shared" si="568"/>
        <v>0</v>
      </c>
      <c r="U173" s="772">
        <f t="shared" si="569"/>
        <v>0</v>
      </c>
      <c r="V173" s="771">
        <v>0</v>
      </c>
      <c r="W173" s="772">
        <f t="shared" si="570"/>
        <v>0</v>
      </c>
      <c r="X173" s="773"/>
      <c r="Y173" s="773"/>
      <c r="Z173" s="772">
        <f t="shared" si="571"/>
        <v>0</v>
      </c>
      <c r="AA173" s="772">
        <f t="shared" si="572"/>
        <v>0</v>
      </c>
      <c r="AB173" s="772">
        <f t="shared" si="573"/>
        <v>0</v>
      </c>
      <c r="AC173" s="772">
        <f t="shared" si="574"/>
        <v>0</v>
      </c>
      <c r="AD173" s="772">
        <f t="shared" si="575"/>
        <v>0</v>
      </c>
      <c r="AE173" s="772">
        <f t="shared" si="576"/>
        <v>0</v>
      </c>
      <c r="AF173" s="774">
        <f t="shared" si="577"/>
        <v>0</v>
      </c>
      <c r="AG173" s="772">
        <f t="shared" si="578"/>
        <v>0</v>
      </c>
      <c r="AH173" s="772">
        <f t="shared" si="579"/>
        <v>0</v>
      </c>
      <c r="AI173" s="769">
        <f t="shared" si="580"/>
        <v>0</v>
      </c>
      <c r="AJ173" s="772">
        <f t="shared" si="581"/>
        <v>0</v>
      </c>
      <c r="AK173" s="769">
        <f t="shared" si="582"/>
        <v>0</v>
      </c>
      <c r="AL173" s="769">
        <f t="shared" si="583"/>
        <v>0</v>
      </c>
      <c r="AM173" s="769">
        <f t="shared" si="584"/>
        <v>0</v>
      </c>
      <c r="AN173" s="769">
        <f t="shared" si="585"/>
        <v>0</v>
      </c>
      <c r="AO173" s="769">
        <f t="shared" si="586"/>
        <v>0</v>
      </c>
      <c r="AP173" s="769">
        <f t="shared" si="587"/>
        <v>0</v>
      </c>
      <c r="AQ173" s="769">
        <f t="shared" si="588"/>
        <v>0</v>
      </c>
      <c r="AR173" s="769">
        <f t="shared" si="589"/>
        <v>0</v>
      </c>
      <c r="AS173" s="769">
        <v>0</v>
      </c>
      <c r="AT173" s="769">
        <f t="shared" si="590"/>
        <v>0</v>
      </c>
      <c r="AU173" s="769">
        <f t="shared" si="591"/>
        <v>0</v>
      </c>
      <c r="AV173" s="769">
        <f t="shared" si="592"/>
        <v>0</v>
      </c>
      <c r="AW173" s="769">
        <f t="shared" si="593"/>
        <v>0</v>
      </c>
      <c r="AX173" s="769">
        <f t="shared" si="594"/>
        <v>0</v>
      </c>
      <c r="AY173" s="769">
        <f t="shared" si="595"/>
        <v>0</v>
      </c>
      <c r="AZ173" s="769">
        <f t="shared" si="596"/>
        <v>0</v>
      </c>
      <c r="BA173" s="769">
        <f t="shared" si="597"/>
        <v>0</v>
      </c>
      <c r="BB173" s="769">
        <f t="shared" si="598"/>
        <v>0</v>
      </c>
      <c r="BC173" s="769">
        <f t="shared" si="599"/>
        <v>0</v>
      </c>
      <c r="BD173" s="661"/>
      <c r="BF173" s="480"/>
      <c r="BG173" s="480"/>
      <c r="BH173" s="480"/>
      <c r="BI173" s="480"/>
      <c r="BJ173" s="480"/>
      <c r="BK173" s="769">
        <f t="shared" si="600"/>
        <v>0</v>
      </c>
      <c r="BL173" s="769">
        <f t="shared" si="601"/>
        <v>0</v>
      </c>
      <c r="BM173" s="769">
        <f t="shared" si="602"/>
        <v>0</v>
      </c>
      <c r="BN173" s="769">
        <f t="shared" si="603"/>
        <v>0</v>
      </c>
      <c r="BO173" s="769">
        <f t="shared" si="604"/>
        <v>0</v>
      </c>
      <c r="BP173" s="769">
        <f t="shared" si="605"/>
        <v>0</v>
      </c>
    </row>
    <row r="174" spans="1:68" s="775" customFormat="1" ht="15.6">
      <c r="A174" s="762"/>
      <c r="B174" s="763">
        <v>0</v>
      </c>
      <c r="C174" s="763">
        <v>0</v>
      </c>
      <c r="D174" s="763">
        <v>0</v>
      </c>
      <c r="E174" s="763">
        <v>0</v>
      </c>
      <c r="F174" s="763">
        <v>0</v>
      </c>
      <c r="G174" s="689">
        <f t="shared" si="563"/>
        <v>0</v>
      </c>
      <c r="H174" s="764">
        <f t="shared" si="564"/>
        <v>0</v>
      </c>
      <c r="I174" s="763">
        <v>0</v>
      </c>
      <c r="J174" s="689">
        <f t="shared" si="565"/>
        <v>0</v>
      </c>
      <c r="K174" s="764">
        <f t="shared" si="566"/>
        <v>0</v>
      </c>
      <c r="L174" s="763">
        <v>0</v>
      </c>
      <c r="M174" s="689">
        <f t="shared" si="567"/>
        <v>0</v>
      </c>
      <c r="N174" s="765"/>
      <c r="O174" s="776"/>
      <c r="P174" s="776"/>
      <c r="Q174" s="777" t="s">
        <v>323</v>
      </c>
      <c r="R174" s="762" t="s">
        <v>211</v>
      </c>
      <c r="S174" s="768">
        <v>1</v>
      </c>
      <c r="T174" s="769">
        <f t="shared" si="568"/>
        <v>0</v>
      </c>
      <c r="U174" s="772">
        <f t="shared" si="569"/>
        <v>0</v>
      </c>
      <c r="V174" s="771">
        <v>0</v>
      </c>
      <c r="W174" s="772">
        <f t="shared" si="570"/>
        <v>0</v>
      </c>
      <c r="X174" s="773"/>
      <c r="Y174" s="773"/>
      <c r="Z174" s="772">
        <f t="shared" si="571"/>
        <v>0</v>
      </c>
      <c r="AA174" s="772">
        <f t="shared" si="572"/>
        <v>0</v>
      </c>
      <c r="AB174" s="772">
        <f t="shared" si="573"/>
        <v>0</v>
      </c>
      <c r="AC174" s="772">
        <f t="shared" si="574"/>
        <v>0</v>
      </c>
      <c r="AD174" s="772">
        <f t="shared" si="575"/>
        <v>0</v>
      </c>
      <c r="AE174" s="772">
        <f t="shared" si="576"/>
        <v>0</v>
      </c>
      <c r="AF174" s="774">
        <f t="shared" si="577"/>
        <v>0</v>
      </c>
      <c r="AG174" s="772">
        <f t="shared" si="578"/>
        <v>0</v>
      </c>
      <c r="AH174" s="772">
        <f t="shared" si="579"/>
        <v>0</v>
      </c>
      <c r="AI174" s="769">
        <f t="shared" si="580"/>
        <v>0</v>
      </c>
      <c r="AJ174" s="772">
        <f t="shared" si="581"/>
        <v>0</v>
      </c>
      <c r="AK174" s="769">
        <f t="shared" si="582"/>
        <v>0</v>
      </c>
      <c r="AL174" s="769">
        <f t="shared" si="583"/>
        <v>0</v>
      </c>
      <c r="AM174" s="769">
        <f t="shared" si="584"/>
        <v>0</v>
      </c>
      <c r="AN174" s="769">
        <f t="shared" si="585"/>
        <v>0</v>
      </c>
      <c r="AO174" s="769">
        <f t="shared" si="586"/>
        <v>0</v>
      </c>
      <c r="AP174" s="769">
        <f t="shared" si="587"/>
        <v>0</v>
      </c>
      <c r="AQ174" s="769">
        <f t="shared" si="588"/>
        <v>0</v>
      </c>
      <c r="AR174" s="769">
        <f t="shared" si="589"/>
        <v>0</v>
      </c>
      <c r="AS174" s="769">
        <v>0</v>
      </c>
      <c r="AT174" s="769">
        <f t="shared" si="590"/>
        <v>0</v>
      </c>
      <c r="AU174" s="769">
        <f t="shared" si="591"/>
        <v>0</v>
      </c>
      <c r="AV174" s="769">
        <f t="shared" si="592"/>
        <v>0</v>
      </c>
      <c r="AW174" s="769">
        <f t="shared" si="593"/>
        <v>0</v>
      </c>
      <c r="AX174" s="769">
        <f t="shared" si="594"/>
        <v>0</v>
      </c>
      <c r="AY174" s="769">
        <f t="shared" si="595"/>
        <v>0</v>
      </c>
      <c r="AZ174" s="769">
        <f t="shared" si="596"/>
        <v>0</v>
      </c>
      <c r="BA174" s="769">
        <f t="shared" si="597"/>
        <v>0</v>
      </c>
      <c r="BB174" s="769">
        <f t="shared" si="598"/>
        <v>0</v>
      </c>
      <c r="BC174" s="769">
        <f t="shared" si="599"/>
        <v>0</v>
      </c>
      <c r="BD174" s="661"/>
      <c r="BF174" s="480"/>
      <c r="BG174" s="480"/>
      <c r="BH174" s="480"/>
      <c r="BI174" s="480"/>
      <c r="BJ174" s="480"/>
      <c r="BK174" s="769">
        <f t="shared" si="600"/>
        <v>0</v>
      </c>
      <c r="BL174" s="769">
        <f t="shared" si="601"/>
        <v>0</v>
      </c>
      <c r="BM174" s="769">
        <f t="shared" si="602"/>
        <v>0</v>
      </c>
      <c r="BN174" s="769">
        <f t="shared" si="603"/>
        <v>0</v>
      </c>
      <c r="BO174" s="769">
        <f t="shared" si="604"/>
        <v>0</v>
      </c>
      <c r="BP174" s="769">
        <f t="shared" si="605"/>
        <v>0</v>
      </c>
    </row>
    <row r="175" spans="1:68" s="775" customFormat="1" ht="15.6">
      <c r="A175" s="762"/>
      <c r="B175" s="763">
        <v>0</v>
      </c>
      <c r="C175" s="763">
        <v>0</v>
      </c>
      <c r="D175" s="763">
        <v>0</v>
      </c>
      <c r="E175" s="763">
        <v>0</v>
      </c>
      <c r="F175" s="763">
        <v>0</v>
      </c>
      <c r="G175" s="689">
        <f t="shared" si="563"/>
        <v>0</v>
      </c>
      <c r="H175" s="764">
        <f t="shared" si="564"/>
        <v>0</v>
      </c>
      <c r="I175" s="763">
        <v>0</v>
      </c>
      <c r="J175" s="689">
        <f t="shared" si="565"/>
        <v>0</v>
      </c>
      <c r="K175" s="764">
        <f t="shared" si="566"/>
        <v>0</v>
      </c>
      <c r="L175" s="763">
        <v>0</v>
      </c>
      <c r="M175" s="689">
        <f t="shared" si="567"/>
        <v>0</v>
      </c>
      <c r="N175" s="765"/>
      <c r="O175" s="776"/>
      <c r="P175" s="776"/>
      <c r="Q175" s="777" t="s">
        <v>253</v>
      </c>
      <c r="R175" s="762" t="s">
        <v>231</v>
      </c>
      <c r="S175" s="768">
        <v>1</v>
      </c>
      <c r="T175" s="769">
        <f t="shared" si="568"/>
        <v>0</v>
      </c>
      <c r="U175" s="772">
        <f t="shared" si="569"/>
        <v>0</v>
      </c>
      <c r="V175" s="771">
        <v>0</v>
      </c>
      <c r="W175" s="772">
        <f t="shared" si="570"/>
        <v>0</v>
      </c>
      <c r="X175" s="773"/>
      <c r="Y175" s="773"/>
      <c r="Z175" s="772">
        <f t="shared" si="571"/>
        <v>0</v>
      </c>
      <c r="AA175" s="772">
        <f t="shared" si="572"/>
        <v>0</v>
      </c>
      <c r="AB175" s="772">
        <f t="shared" si="573"/>
        <v>0</v>
      </c>
      <c r="AC175" s="772">
        <f t="shared" si="574"/>
        <v>0</v>
      </c>
      <c r="AD175" s="772">
        <f t="shared" si="575"/>
        <v>0</v>
      </c>
      <c r="AE175" s="772">
        <f t="shared" si="576"/>
        <v>0</v>
      </c>
      <c r="AF175" s="774">
        <f t="shared" si="577"/>
        <v>0</v>
      </c>
      <c r="AG175" s="772">
        <f t="shared" si="578"/>
        <v>0</v>
      </c>
      <c r="AH175" s="772">
        <f t="shared" si="579"/>
        <v>0</v>
      </c>
      <c r="AI175" s="769">
        <f t="shared" si="580"/>
        <v>0</v>
      </c>
      <c r="AJ175" s="772">
        <f t="shared" si="581"/>
        <v>0</v>
      </c>
      <c r="AK175" s="769">
        <f t="shared" si="582"/>
        <v>0</v>
      </c>
      <c r="AL175" s="769">
        <f t="shared" si="583"/>
        <v>0</v>
      </c>
      <c r="AM175" s="769">
        <f t="shared" si="584"/>
        <v>0</v>
      </c>
      <c r="AN175" s="769">
        <f t="shared" si="585"/>
        <v>0</v>
      </c>
      <c r="AO175" s="769">
        <f t="shared" si="586"/>
        <v>0</v>
      </c>
      <c r="AP175" s="769">
        <f t="shared" si="587"/>
        <v>0</v>
      </c>
      <c r="AQ175" s="769">
        <f t="shared" si="588"/>
        <v>0</v>
      </c>
      <c r="AR175" s="769">
        <f t="shared" si="589"/>
        <v>0</v>
      </c>
      <c r="AS175" s="769">
        <v>0</v>
      </c>
      <c r="AT175" s="769">
        <f t="shared" si="590"/>
        <v>0</v>
      </c>
      <c r="AU175" s="769">
        <f t="shared" si="591"/>
        <v>0</v>
      </c>
      <c r="AV175" s="769">
        <f t="shared" si="592"/>
        <v>0</v>
      </c>
      <c r="AW175" s="769">
        <f t="shared" si="593"/>
        <v>0</v>
      </c>
      <c r="AX175" s="769">
        <f t="shared" si="594"/>
        <v>0</v>
      </c>
      <c r="AY175" s="769">
        <f t="shared" si="595"/>
        <v>0</v>
      </c>
      <c r="AZ175" s="769">
        <f t="shared" si="596"/>
        <v>0</v>
      </c>
      <c r="BA175" s="769">
        <f t="shared" si="597"/>
        <v>0</v>
      </c>
      <c r="BB175" s="769">
        <f t="shared" si="598"/>
        <v>0</v>
      </c>
      <c r="BC175" s="769">
        <f t="shared" si="599"/>
        <v>0</v>
      </c>
      <c r="BD175" s="661"/>
      <c r="BF175" s="480"/>
      <c r="BG175" s="480"/>
      <c r="BH175" s="480"/>
      <c r="BI175" s="480"/>
      <c r="BJ175" s="480"/>
      <c r="BK175" s="769">
        <f t="shared" si="600"/>
        <v>0</v>
      </c>
      <c r="BL175" s="769">
        <f t="shared" si="601"/>
        <v>0</v>
      </c>
      <c r="BM175" s="769">
        <f t="shared" si="602"/>
        <v>0</v>
      </c>
      <c r="BN175" s="769">
        <f t="shared" si="603"/>
        <v>0</v>
      </c>
      <c r="BO175" s="769">
        <f t="shared" si="604"/>
        <v>0</v>
      </c>
      <c r="BP175" s="769">
        <f t="shared" si="605"/>
        <v>0</v>
      </c>
    </row>
    <row r="176" spans="1:68" s="775" customFormat="1" ht="15.6">
      <c r="A176" s="762"/>
      <c r="B176" s="763"/>
      <c r="C176" s="763"/>
      <c r="D176" s="763"/>
      <c r="E176" s="763"/>
      <c r="F176" s="763"/>
      <c r="G176" s="689"/>
      <c r="H176" s="764"/>
      <c r="I176" s="763"/>
      <c r="J176" s="689"/>
      <c r="K176" s="764"/>
      <c r="L176" s="763"/>
      <c r="M176" s="689"/>
      <c r="N176" s="765"/>
      <c r="O176" s="776"/>
      <c r="P176" s="776"/>
      <c r="Q176" s="777"/>
      <c r="R176" s="762"/>
      <c r="S176" s="768"/>
      <c r="T176" s="769"/>
      <c r="U176" s="772"/>
      <c r="V176" s="771"/>
      <c r="W176" s="772"/>
      <c r="X176" s="773"/>
      <c r="Y176" s="773"/>
      <c r="Z176" s="772"/>
      <c r="AA176" s="772"/>
      <c r="AB176" s="772"/>
      <c r="AC176" s="772"/>
      <c r="AD176" s="772"/>
      <c r="AE176" s="772"/>
      <c r="AF176" s="774"/>
      <c r="AG176" s="772"/>
      <c r="AH176" s="772"/>
      <c r="AI176" s="769"/>
      <c r="AJ176" s="772"/>
      <c r="AK176" s="769"/>
      <c r="AL176" s="769"/>
      <c r="AM176" s="769"/>
      <c r="AN176" s="769"/>
      <c r="AO176" s="769"/>
      <c r="AP176" s="769"/>
      <c r="AQ176" s="769"/>
      <c r="AR176" s="769"/>
      <c r="AS176" s="769"/>
      <c r="AT176" s="769"/>
      <c r="AU176" s="769"/>
      <c r="AV176" s="769"/>
      <c r="AW176" s="769"/>
      <c r="AX176" s="769"/>
      <c r="AY176" s="769"/>
      <c r="AZ176" s="769"/>
      <c r="BA176" s="769"/>
      <c r="BB176" s="769"/>
      <c r="BC176" s="769"/>
      <c r="BD176" s="661"/>
      <c r="BF176" s="480"/>
      <c r="BG176" s="480"/>
      <c r="BH176" s="480"/>
      <c r="BI176" s="480"/>
      <c r="BJ176" s="480"/>
      <c r="BK176" s="769"/>
      <c r="BL176" s="769"/>
      <c r="BM176" s="769"/>
      <c r="BN176" s="769"/>
      <c r="BO176" s="769"/>
      <c r="BP176" s="769"/>
    </row>
    <row r="177" spans="1:68" s="775" customFormat="1" ht="15.6">
      <c r="A177" s="762"/>
      <c r="B177" s="763"/>
      <c r="C177" s="763"/>
      <c r="D177" s="763"/>
      <c r="E177" s="763"/>
      <c r="F177" s="763"/>
      <c r="G177" s="689"/>
      <c r="H177" s="764"/>
      <c r="I177" s="763"/>
      <c r="J177" s="689"/>
      <c r="K177" s="764"/>
      <c r="L177" s="763"/>
      <c r="M177" s="689"/>
      <c r="N177" s="765"/>
      <c r="O177" s="766">
        <v>21</v>
      </c>
      <c r="P177" s="766" t="s">
        <v>328</v>
      </c>
      <c r="Q177" s="767"/>
      <c r="R177" s="762"/>
      <c r="S177" s="768"/>
      <c r="T177" s="769"/>
      <c r="U177" s="770" t="s">
        <v>437</v>
      </c>
      <c r="V177" s="771"/>
      <c r="W177" s="772"/>
      <c r="X177" s="773"/>
      <c r="Y177" s="773"/>
      <c r="Z177" s="772"/>
      <c r="AA177" s="772"/>
      <c r="AB177" s="772"/>
      <c r="AC177" s="772"/>
      <c r="AD177" s="772"/>
      <c r="AE177" s="772"/>
      <c r="AF177" s="774"/>
      <c r="AG177" s="772"/>
      <c r="AH177" s="772"/>
      <c r="AI177" s="769"/>
      <c r="AJ177" s="772"/>
      <c r="AK177" s="769"/>
      <c r="AL177" s="769"/>
      <c r="AM177" s="769"/>
      <c r="AN177" s="769"/>
      <c r="AO177" s="769"/>
      <c r="AP177" s="769"/>
      <c r="AQ177" s="769"/>
      <c r="AR177" s="769"/>
      <c r="AS177" s="769"/>
      <c r="AT177" s="769"/>
      <c r="AU177" s="769"/>
      <c r="AV177" s="769"/>
      <c r="AW177" s="769"/>
      <c r="AX177" s="769"/>
      <c r="AY177" s="769"/>
      <c r="AZ177" s="769"/>
      <c r="BA177" s="769"/>
      <c r="BB177" s="769"/>
      <c r="BC177" s="769"/>
      <c r="BD177" s="661"/>
      <c r="BF177" s="480"/>
      <c r="BG177" s="480"/>
      <c r="BH177" s="480"/>
      <c r="BI177" s="480"/>
      <c r="BJ177" s="480"/>
      <c r="BK177" s="769"/>
      <c r="BL177" s="769"/>
      <c r="BM177" s="769"/>
      <c r="BN177" s="769"/>
      <c r="BO177" s="769"/>
      <c r="BP177" s="769"/>
    </row>
    <row r="178" spans="1:68" s="775" customFormat="1" ht="15.6">
      <c r="A178" s="762"/>
      <c r="B178" s="763"/>
      <c r="C178" s="763"/>
      <c r="D178" s="763"/>
      <c r="E178" s="763"/>
      <c r="F178" s="763"/>
      <c r="G178" s="689"/>
      <c r="H178" s="764"/>
      <c r="I178" s="763"/>
      <c r="J178" s="689"/>
      <c r="K178" s="764"/>
      <c r="L178" s="763"/>
      <c r="M178" s="689"/>
      <c r="N178" s="765"/>
      <c r="O178" s="776"/>
      <c r="P178" s="776"/>
      <c r="Q178" s="777"/>
      <c r="R178" s="762"/>
      <c r="S178" s="768"/>
      <c r="T178" s="769"/>
      <c r="U178" s="772"/>
      <c r="V178" s="771"/>
      <c r="W178" s="772"/>
      <c r="X178" s="773"/>
      <c r="Y178" s="773"/>
      <c r="Z178" s="772"/>
      <c r="AA178" s="772"/>
      <c r="AB178" s="772"/>
      <c r="AC178" s="772"/>
      <c r="AD178" s="772"/>
      <c r="AE178" s="772"/>
      <c r="AF178" s="774"/>
      <c r="AG178" s="772"/>
      <c r="AH178" s="772"/>
      <c r="AI178" s="769"/>
      <c r="AJ178" s="772"/>
      <c r="AK178" s="769"/>
      <c r="AL178" s="769"/>
      <c r="AM178" s="769"/>
      <c r="AN178" s="769"/>
      <c r="AO178" s="769"/>
      <c r="AP178" s="769"/>
      <c r="AQ178" s="769"/>
      <c r="AR178" s="769"/>
      <c r="AS178" s="769"/>
      <c r="AT178" s="769"/>
      <c r="AU178" s="769"/>
      <c r="AV178" s="769"/>
      <c r="AW178" s="769"/>
      <c r="AX178" s="769"/>
      <c r="AY178" s="769"/>
      <c r="AZ178" s="769"/>
      <c r="BA178" s="769"/>
      <c r="BB178" s="769"/>
      <c r="BC178" s="769"/>
      <c r="BD178" s="661"/>
      <c r="BF178" s="480"/>
      <c r="BG178" s="480"/>
      <c r="BH178" s="480"/>
      <c r="BI178" s="480"/>
      <c r="BJ178" s="480"/>
      <c r="BK178" s="769"/>
      <c r="BL178" s="769"/>
      <c r="BM178" s="769"/>
      <c r="BN178" s="769"/>
      <c r="BO178" s="769"/>
      <c r="BP178" s="769"/>
    </row>
    <row r="179" spans="1:68" s="775" customFormat="1" ht="15.6">
      <c r="A179" s="762"/>
      <c r="B179" s="763">
        <v>0</v>
      </c>
      <c r="C179" s="763">
        <v>0</v>
      </c>
      <c r="D179" s="763">
        <v>0</v>
      </c>
      <c r="E179" s="763">
        <v>0</v>
      </c>
      <c r="F179" s="763">
        <v>0</v>
      </c>
      <c r="G179" s="689">
        <f>+G$4</f>
        <v>0</v>
      </c>
      <c r="H179" s="764">
        <f>AM179+AN179</f>
        <v>0</v>
      </c>
      <c r="I179" s="763">
        <v>0</v>
      </c>
      <c r="J179" s="689">
        <f>+J$4</f>
        <v>0</v>
      </c>
      <c r="K179" s="764">
        <f>AR179+AT179+AV179+AX179</f>
        <v>0</v>
      </c>
      <c r="L179" s="763">
        <v>0</v>
      </c>
      <c r="M179" s="689">
        <f>+M$4</f>
        <v>0</v>
      </c>
      <c r="N179" s="765"/>
      <c r="O179" s="776"/>
      <c r="P179" s="776"/>
      <c r="Q179" s="777" t="s">
        <v>329</v>
      </c>
      <c r="R179" s="762" t="s">
        <v>223</v>
      </c>
      <c r="S179" s="768">
        <v>1</v>
      </c>
      <c r="T179" s="769">
        <f t="shared" ref="T179:T183" si="606">_xlfn.IFNA(ROUNDUP(AF179+AJ179+AO179+AQ179+L179+AS179+AU179+AW179+F179+AZ179+BB179,2),0)</f>
        <v>0</v>
      </c>
      <c r="U179" s="772">
        <f t="shared" ref="U179:U183" si="607">ROUND(T179*ROUNDUP(S179,1),2)</f>
        <v>0</v>
      </c>
      <c r="V179" s="771">
        <v>0</v>
      </c>
      <c r="W179" s="772">
        <f t="shared" ref="W179:W183" si="608">ROUND(+U179*V179,2)</f>
        <v>0</v>
      </c>
      <c r="X179" s="773"/>
      <c r="Y179" s="773"/>
      <c r="Z179" s="772">
        <f t="shared" ref="Z179:Z183" si="609">_xlfn.IFNA(ROUNDUP(AJ179*U179,2),0)</f>
        <v>0</v>
      </c>
      <c r="AA179" s="772">
        <f t="shared" ref="AA179:AA183" si="610">_xlfn.IFNA(ROUNDUP(AK179*V179,2),0)</f>
        <v>0</v>
      </c>
      <c r="AB179" s="772">
        <f t="shared" ref="AB179:AB183" si="611">ROUNDUP((AP179+AL179)*V179,2)</f>
        <v>0</v>
      </c>
      <c r="AC179" s="772">
        <f t="shared" ref="AC179:AC183" si="612">_xlfn.IFNA(ROUNDUP((AT179+AV179+AR179)*V179,2),0)</f>
        <v>0</v>
      </c>
      <c r="AD179" s="772">
        <f t="shared" ref="AD179:AD183" si="613">_xlfn.IFNA(ROUNDUP((BA179+AY179)*V179,2),0)</f>
        <v>0</v>
      </c>
      <c r="AE179" s="772">
        <f t="shared" ref="AE179:AE183" si="614">_xlfn.IFNA((BC179+AX179+AG179)*V179,0)</f>
        <v>0</v>
      </c>
      <c r="AF179" s="774">
        <f t="shared" ref="AF179:AF183" si="615">+_xlfn.IFNA(D179,0)</f>
        <v>0</v>
      </c>
      <c r="AG179" s="772">
        <f t="shared" ref="AG179:AG183" si="616">_xlfn.IFNA(ROUNDUP(D179*S179,2),0)</f>
        <v>0</v>
      </c>
      <c r="AH179" s="772">
        <f t="shared" ref="AH179:AH183" si="617">+_xlfn.IFNA(C179,0)</f>
        <v>0</v>
      </c>
      <c r="AI179" s="769">
        <f t="shared" ref="AI179:AI183" si="618">_xlfn.IFNA(C179*S179,0)</f>
        <v>0</v>
      </c>
      <c r="AJ179" s="772">
        <f t="shared" ref="AJ179:AJ183" si="619">+_xlfn.IFNA(E179,0)</f>
        <v>0</v>
      </c>
      <c r="AK179" s="769">
        <f t="shared" ref="AK179:AK183" si="620">_xlfn.IFNA(E179*S179,0)</f>
        <v>0</v>
      </c>
      <c r="AL179" s="769">
        <f t="shared" ref="AL179:AL183" si="621">ROUNDUP(S179*AQ179,2)</f>
        <v>0</v>
      </c>
      <c r="AM179" s="769">
        <f t="shared" ref="AM179:AM183" si="622">ROUNDUP(+I179*S179,2)</f>
        <v>0</v>
      </c>
      <c r="AN179" s="769">
        <f t="shared" ref="AN179:AN183" si="623">J179*I179*S179</f>
        <v>0</v>
      </c>
      <c r="AO179" s="769">
        <f t="shared" ref="AO179:AO183" si="624">ROUNDUP(I179*I$4*J179,2)</f>
        <v>0</v>
      </c>
      <c r="AP179" s="769">
        <f t="shared" ref="AP179:AP183" si="625">AO179*S179</f>
        <v>0</v>
      </c>
      <c r="AQ179" s="769">
        <f t="shared" ref="AQ179:AQ183" si="626">IF(I179=0,0,ROUNDUP(I$4*I179,2))</f>
        <v>0</v>
      </c>
      <c r="AR179" s="769">
        <f t="shared" ref="AR179:AR183" si="627">+_xlfn.IFNA(ROUNDUP(L179*ROUNDUP(S179,1),2),0)</f>
        <v>0</v>
      </c>
      <c r="AS179" s="769">
        <v>0</v>
      </c>
      <c r="AT179" s="769">
        <f t="shared" ref="AT179:AT183" si="628">+ROUNDUP(AS179*S179,2)</f>
        <v>0</v>
      </c>
      <c r="AU179" s="769">
        <f t="shared" ref="AU179:AU183" si="629">_xlfn.IFNA(ROUNDUP((L179+AS179)*M179,2),0)</f>
        <v>0</v>
      </c>
      <c r="AV179" s="769">
        <f t="shared" ref="AV179:AV183" si="630">ROUNDUP(AU179*S179,2)</f>
        <v>0</v>
      </c>
      <c r="AW179" s="769">
        <f t="shared" ref="AW179:AW183" si="631">_xlfn.IFNA(ROUNDUP((L179+AS179+AU179)*(L$4)*L$3,2),0)</f>
        <v>0</v>
      </c>
      <c r="AX179" s="769">
        <f t="shared" ref="AX179:AX183" si="632">ROUNDUP(+AW179*ROUNDUP(S179,1),2)</f>
        <v>0</v>
      </c>
      <c r="AY179" s="769">
        <f t="shared" ref="AY179:AY183" si="633">_xlfn.IFNA(ROUNDUP(F179*S179,2),0)</f>
        <v>0</v>
      </c>
      <c r="AZ179" s="769">
        <f t="shared" ref="AZ179:AZ183" si="634">_xlfn.IFNA(ROUNDUP(F179*G179,2),0)</f>
        <v>0</v>
      </c>
      <c r="BA179" s="769">
        <f t="shared" ref="BA179:BA183" si="635">ROUNDUP(AZ179*S179,2)</f>
        <v>0</v>
      </c>
      <c r="BB179" s="769">
        <f t="shared" ref="BB179:BB183" si="636">_xlfn.IFNA(ROUNDUP((ROUNDUP(F179+AZ179,2)*F$4)*F$3,2),0)</f>
        <v>0</v>
      </c>
      <c r="BC179" s="769">
        <f t="shared" ref="BC179:BC183" si="637">BB179*S179</f>
        <v>0</v>
      </c>
      <c r="BD179" s="661"/>
      <c r="BF179" s="480"/>
      <c r="BG179" s="480"/>
      <c r="BH179" s="480"/>
      <c r="BI179" s="480"/>
      <c r="BJ179" s="480"/>
      <c r="BK179" s="769">
        <f>IF(BK$7=$Y179,(+$AL179+$AP179),(0))</f>
        <v>0</v>
      </c>
      <c r="BL179" s="769">
        <f>IF(BL$7=$Y179,(+BK179*$V179),(0))</f>
        <v>0</v>
      </c>
      <c r="BM179" s="769">
        <f>IF(BM$7=$Y179,(+$AR179+$AT179+$AV179),(0))</f>
        <v>0</v>
      </c>
      <c r="BN179" s="769">
        <f>IF(BN$7=$Y179,(+BM179*$V179),(0))</f>
        <v>0</v>
      </c>
      <c r="BO179" s="769">
        <f>IF(BO$7=$X179,($AY179+$BA179),(0))</f>
        <v>0</v>
      </c>
      <c r="BP179" s="769">
        <f>IF(BP$7=$X179,(+BO179*$V179),(0))</f>
        <v>0</v>
      </c>
    </row>
    <row r="180" spans="1:68" s="775" customFormat="1" ht="15.6">
      <c r="A180" s="762"/>
      <c r="B180" s="763">
        <v>0</v>
      </c>
      <c r="C180" s="763">
        <v>0</v>
      </c>
      <c r="D180" s="763">
        <v>0</v>
      </c>
      <c r="E180" s="763">
        <v>0</v>
      </c>
      <c r="F180" s="763">
        <v>0</v>
      </c>
      <c r="G180" s="689">
        <f>+G$4</f>
        <v>0</v>
      </c>
      <c r="H180" s="764">
        <f>AM180+AN180</f>
        <v>0</v>
      </c>
      <c r="I180" s="763">
        <v>0</v>
      </c>
      <c r="J180" s="689">
        <f>+J$4</f>
        <v>0</v>
      </c>
      <c r="K180" s="764">
        <f>AR180+AT180+AV180+AX180</f>
        <v>0</v>
      </c>
      <c r="L180" s="763">
        <v>0</v>
      </c>
      <c r="M180" s="689">
        <f>+M$4</f>
        <v>0</v>
      </c>
      <c r="N180" s="765"/>
      <c r="O180" s="776"/>
      <c r="P180" s="776"/>
      <c r="Q180" s="777" t="s">
        <v>330</v>
      </c>
      <c r="R180" s="762" t="s">
        <v>231</v>
      </c>
      <c r="S180" s="768">
        <v>1</v>
      </c>
      <c r="T180" s="769">
        <f t="shared" si="606"/>
        <v>0</v>
      </c>
      <c r="U180" s="772">
        <f t="shared" si="607"/>
        <v>0</v>
      </c>
      <c r="V180" s="771">
        <v>0</v>
      </c>
      <c r="W180" s="772">
        <f t="shared" si="608"/>
        <v>0</v>
      </c>
      <c r="X180" s="773"/>
      <c r="Y180" s="773"/>
      <c r="Z180" s="772">
        <f t="shared" si="609"/>
        <v>0</v>
      </c>
      <c r="AA180" s="772">
        <f t="shared" si="610"/>
        <v>0</v>
      </c>
      <c r="AB180" s="772">
        <f t="shared" si="611"/>
        <v>0</v>
      </c>
      <c r="AC180" s="772">
        <f t="shared" si="612"/>
        <v>0</v>
      </c>
      <c r="AD180" s="772">
        <f t="shared" si="613"/>
        <v>0</v>
      </c>
      <c r="AE180" s="772">
        <f t="shared" si="614"/>
        <v>0</v>
      </c>
      <c r="AF180" s="774">
        <f t="shared" si="615"/>
        <v>0</v>
      </c>
      <c r="AG180" s="772">
        <f t="shared" si="616"/>
        <v>0</v>
      </c>
      <c r="AH180" s="772">
        <f t="shared" si="617"/>
        <v>0</v>
      </c>
      <c r="AI180" s="769">
        <f t="shared" si="618"/>
        <v>0</v>
      </c>
      <c r="AJ180" s="772">
        <f t="shared" si="619"/>
        <v>0</v>
      </c>
      <c r="AK180" s="769">
        <f t="shared" si="620"/>
        <v>0</v>
      </c>
      <c r="AL180" s="769">
        <f t="shared" si="621"/>
        <v>0</v>
      </c>
      <c r="AM180" s="769">
        <f t="shared" si="622"/>
        <v>0</v>
      </c>
      <c r="AN180" s="769">
        <f t="shared" si="623"/>
        <v>0</v>
      </c>
      <c r="AO180" s="769">
        <f t="shared" si="624"/>
        <v>0</v>
      </c>
      <c r="AP180" s="769">
        <f t="shared" si="625"/>
        <v>0</v>
      </c>
      <c r="AQ180" s="769">
        <f t="shared" si="626"/>
        <v>0</v>
      </c>
      <c r="AR180" s="769">
        <f t="shared" si="627"/>
        <v>0</v>
      </c>
      <c r="AS180" s="769">
        <v>0</v>
      </c>
      <c r="AT180" s="769">
        <f t="shared" si="628"/>
        <v>0</v>
      </c>
      <c r="AU180" s="769">
        <f t="shared" si="629"/>
        <v>0</v>
      </c>
      <c r="AV180" s="769">
        <f t="shared" si="630"/>
        <v>0</v>
      </c>
      <c r="AW180" s="769">
        <f t="shared" si="631"/>
        <v>0</v>
      </c>
      <c r="AX180" s="769">
        <f t="shared" si="632"/>
        <v>0</v>
      </c>
      <c r="AY180" s="769">
        <f t="shared" si="633"/>
        <v>0</v>
      </c>
      <c r="AZ180" s="769">
        <f t="shared" si="634"/>
        <v>0</v>
      </c>
      <c r="BA180" s="769">
        <f t="shared" si="635"/>
        <v>0</v>
      </c>
      <c r="BB180" s="769">
        <f t="shared" si="636"/>
        <v>0</v>
      </c>
      <c r="BC180" s="769">
        <f t="shared" si="637"/>
        <v>0</v>
      </c>
      <c r="BD180" s="661"/>
      <c r="BF180" s="480"/>
      <c r="BG180" s="480"/>
      <c r="BH180" s="480"/>
      <c r="BI180" s="480"/>
      <c r="BJ180" s="480"/>
      <c r="BK180" s="769">
        <f>IF(BK$7=$Y180,(+$AL180+$AP180),(0))</f>
        <v>0</v>
      </c>
      <c r="BL180" s="769">
        <f>IF(BL$7=$Y180,(+BK180*$V180),(0))</f>
        <v>0</v>
      </c>
      <c r="BM180" s="769">
        <f>IF(BM$7=$Y180,(+$AR180+$AT180+$AV180),(0))</f>
        <v>0</v>
      </c>
      <c r="BN180" s="769">
        <f>IF(BN$7=$Y180,(+BM180*$V180),(0))</f>
        <v>0</v>
      </c>
      <c r="BO180" s="769">
        <f>IF(BO$7=$X180,($AY180+$BA180),(0))</f>
        <v>0</v>
      </c>
      <c r="BP180" s="769">
        <f>IF(BP$7=$X180,(+BO180*$V180),(0))</f>
        <v>0</v>
      </c>
    </row>
    <row r="181" spans="1:68" s="775" customFormat="1" ht="15.6">
      <c r="A181" s="762"/>
      <c r="B181" s="763">
        <v>0</v>
      </c>
      <c r="C181" s="763">
        <v>0</v>
      </c>
      <c r="D181" s="763">
        <v>0</v>
      </c>
      <c r="E181" s="763">
        <v>0</v>
      </c>
      <c r="F181" s="763">
        <v>0</v>
      </c>
      <c r="G181" s="689">
        <f>+G$4</f>
        <v>0</v>
      </c>
      <c r="H181" s="764">
        <f>AM181+AN181</f>
        <v>0</v>
      </c>
      <c r="I181" s="763">
        <v>0</v>
      </c>
      <c r="J181" s="689">
        <f>+J$4</f>
        <v>0</v>
      </c>
      <c r="K181" s="764">
        <f>AR181+AT181+AV181+AX181</f>
        <v>0</v>
      </c>
      <c r="L181" s="763">
        <v>0</v>
      </c>
      <c r="M181" s="689">
        <f>+M$4</f>
        <v>0</v>
      </c>
      <c r="N181" s="765"/>
      <c r="O181" s="776"/>
      <c r="P181" s="776"/>
      <c r="Q181" s="777" t="s">
        <v>331</v>
      </c>
      <c r="R181" s="762" t="s">
        <v>231</v>
      </c>
      <c r="S181" s="768">
        <v>1</v>
      </c>
      <c r="T181" s="769">
        <f t="shared" si="606"/>
        <v>0</v>
      </c>
      <c r="U181" s="772">
        <f t="shared" si="607"/>
        <v>0</v>
      </c>
      <c r="V181" s="771">
        <v>0</v>
      </c>
      <c r="W181" s="772">
        <f t="shared" si="608"/>
        <v>0</v>
      </c>
      <c r="X181" s="773"/>
      <c r="Y181" s="773"/>
      <c r="Z181" s="772">
        <f t="shared" si="609"/>
        <v>0</v>
      </c>
      <c r="AA181" s="772">
        <f t="shared" si="610"/>
        <v>0</v>
      </c>
      <c r="AB181" s="772">
        <f t="shared" si="611"/>
        <v>0</v>
      </c>
      <c r="AC181" s="772">
        <f t="shared" si="612"/>
        <v>0</v>
      </c>
      <c r="AD181" s="772">
        <f t="shared" si="613"/>
        <v>0</v>
      </c>
      <c r="AE181" s="772">
        <f t="shared" si="614"/>
        <v>0</v>
      </c>
      <c r="AF181" s="774">
        <f t="shared" si="615"/>
        <v>0</v>
      </c>
      <c r="AG181" s="772">
        <f t="shared" si="616"/>
        <v>0</v>
      </c>
      <c r="AH181" s="772">
        <f t="shared" si="617"/>
        <v>0</v>
      </c>
      <c r="AI181" s="769">
        <f t="shared" si="618"/>
        <v>0</v>
      </c>
      <c r="AJ181" s="772">
        <f t="shared" si="619"/>
        <v>0</v>
      </c>
      <c r="AK181" s="769">
        <f t="shared" si="620"/>
        <v>0</v>
      </c>
      <c r="AL181" s="769">
        <f t="shared" si="621"/>
        <v>0</v>
      </c>
      <c r="AM181" s="769">
        <f t="shared" si="622"/>
        <v>0</v>
      </c>
      <c r="AN181" s="769">
        <f t="shared" si="623"/>
        <v>0</v>
      </c>
      <c r="AO181" s="769">
        <f t="shared" si="624"/>
        <v>0</v>
      </c>
      <c r="AP181" s="769">
        <f t="shared" si="625"/>
        <v>0</v>
      </c>
      <c r="AQ181" s="769">
        <f t="shared" si="626"/>
        <v>0</v>
      </c>
      <c r="AR181" s="769">
        <f t="shared" si="627"/>
        <v>0</v>
      </c>
      <c r="AS181" s="769">
        <v>0</v>
      </c>
      <c r="AT181" s="769">
        <f t="shared" si="628"/>
        <v>0</v>
      </c>
      <c r="AU181" s="769">
        <f t="shared" si="629"/>
        <v>0</v>
      </c>
      <c r="AV181" s="769">
        <f t="shared" si="630"/>
        <v>0</v>
      </c>
      <c r="AW181" s="769">
        <f t="shared" si="631"/>
        <v>0</v>
      </c>
      <c r="AX181" s="769">
        <f t="shared" si="632"/>
        <v>0</v>
      </c>
      <c r="AY181" s="769">
        <f t="shared" si="633"/>
        <v>0</v>
      </c>
      <c r="AZ181" s="769">
        <f t="shared" si="634"/>
        <v>0</v>
      </c>
      <c r="BA181" s="769">
        <f t="shared" si="635"/>
        <v>0</v>
      </c>
      <c r="BB181" s="769">
        <f t="shared" si="636"/>
        <v>0</v>
      </c>
      <c r="BC181" s="769">
        <f t="shared" si="637"/>
        <v>0</v>
      </c>
      <c r="BD181" s="661"/>
      <c r="BF181" s="480"/>
      <c r="BG181" s="480"/>
      <c r="BH181" s="480"/>
      <c r="BI181" s="480"/>
      <c r="BJ181" s="480"/>
      <c r="BK181" s="769">
        <f>IF(BK$7=$Y181,(+$AL181+$AP181),(0))</f>
        <v>0</v>
      </c>
      <c r="BL181" s="769">
        <f>IF(BL$7=$Y181,(+BK181*$V181),(0))</f>
        <v>0</v>
      </c>
      <c r="BM181" s="769">
        <f>IF(BM$7=$Y181,(+$AR181+$AT181+$AV181),(0))</f>
        <v>0</v>
      </c>
      <c r="BN181" s="769">
        <f>IF(BN$7=$Y181,(+BM181*$V181),(0))</f>
        <v>0</v>
      </c>
      <c r="BO181" s="769">
        <f>IF(BO$7=$X181,($AY181+$BA181),(0))</f>
        <v>0</v>
      </c>
      <c r="BP181" s="769">
        <f>IF(BP$7=$X181,(+BO181*$V181),(0))</f>
        <v>0</v>
      </c>
    </row>
    <row r="182" spans="1:68" s="775" customFormat="1" ht="15.6">
      <c r="A182" s="762"/>
      <c r="B182" s="763">
        <v>0</v>
      </c>
      <c r="C182" s="763">
        <v>0</v>
      </c>
      <c r="D182" s="763">
        <v>0</v>
      </c>
      <c r="E182" s="763">
        <v>0</v>
      </c>
      <c r="F182" s="763">
        <v>0</v>
      </c>
      <c r="G182" s="689">
        <f>+G$4</f>
        <v>0</v>
      </c>
      <c r="H182" s="764">
        <f>AM182+AN182</f>
        <v>0</v>
      </c>
      <c r="I182" s="763">
        <v>0</v>
      </c>
      <c r="J182" s="689">
        <f>+J$4</f>
        <v>0</v>
      </c>
      <c r="K182" s="764">
        <f>AR182+AT182+AV182+AX182</f>
        <v>0</v>
      </c>
      <c r="L182" s="763">
        <v>0</v>
      </c>
      <c r="M182" s="689">
        <f>+M$4</f>
        <v>0</v>
      </c>
      <c r="N182" s="765"/>
      <c r="O182" s="776"/>
      <c r="P182" s="776"/>
      <c r="Q182" s="777" t="s">
        <v>332</v>
      </c>
      <c r="R182" s="762" t="s">
        <v>231</v>
      </c>
      <c r="S182" s="768">
        <v>1</v>
      </c>
      <c r="T182" s="769">
        <f t="shared" si="606"/>
        <v>0</v>
      </c>
      <c r="U182" s="772">
        <f t="shared" si="607"/>
        <v>0</v>
      </c>
      <c r="V182" s="771">
        <v>0</v>
      </c>
      <c r="W182" s="772">
        <f t="shared" si="608"/>
        <v>0</v>
      </c>
      <c r="X182" s="773"/>
      <c r="Y182" s="773"/>
      <c r="Z182" s="772">
        <f t="shared" si="609"/>
        <v>0</v>
      </c>
      <c r="AA182" s="772">
        <f t="shared" si="610"/>
        <v>0</v>
      </c>
      <c r="AB182" s="772">
        <f t="shared" si="611"/>
        <v>0</v>
      </c>
      <c r="AC182" s="772">
        <f t="shared" si="612"/>
        <v>0</v>
      </c>
      <c r="AD182" s="772">
        <f t="shared" si="613"/>
        <v>0</v>
      </c>
      <c r="AE182" s="772">
        <f t="shared" si="614"/>
        <v>0</v>
      </c>
      <c r="AF182" s="774">
        <f t="shared" si="615"/>
        <v>0</v>
      </c>
      <c r="AG182" s="772">
        <f t="shared" si="616"/>
        <v>0</v>
      </c>
      <c r="AH182" s="772">
        <f t="shared" si="617"/>
        <v>0</v>
      </c>
      <c r="AI182" s="769">
        <f t="shared" si="618"/>
        <v>0</v>
      </c>
      <c r="AJ182" s="772">
        <f t="shared" si="619"/>
        <v>0</v>
      </c>
      <c r="AK182" s="769">
        <f t="shared" si="620"/>
        <v>0</v>
      </c>
      <c r="AL182" s="769">
        <f t="shared" si="621"/>
        <v>0</v>
      </c>
      <c r="AM182" s="769">
        <f t="shared" si="622"/>
        <v>0</v>
      </c>
      <c r="AN182" s="769">
        <f t="shared" si="623"/>
        <v>0</v>
      </c>
      <c r="AO182" s="769">
        <f t="shared" si="624"/>
        <v>0</v>
      </c>
      <c r="AP182" s="769">
        <f t="shared" si="625"/>
        <v>0</v>
      </c>
      <c r="AQ182" s="769">
        <f t="shared" si="626"/>
        <v>0</v>
      </c>
      <c r="AR182" s="769">
        <f t="shared" si="627"/>
        <v>0</v>
      </c>
      <c r="AS182" s="769">
        <v>0</v>
      </c>
      <c r="AT182" s="769">
        <f t="shared" si="628"/>
        <v>0</v>
      </c>
      <c r="AU182" s="769">
        <f t="shared" si="629"/>
        <v>0</v>
      </c>
      <c r="AV182" s="769">
        <f t="shared" si="630"/>
        <v>0</v>
      </c>
      <c r="AW182" s="769">
        <f t="shared" si="631"/>
        <v>0</v>
      </c>
      <c r="AX182" s="769">
        <f t="shared" si="632"/>
        <v>0</v>
      </c>
      <c r="AY182" s="769">
        <f t="shared" si="633"/>
        <v>0</v>
      </c>
      <c r="AZ182" s="769">
        <f t="shared" si="634"/>
        <v>0</v>
      </c>
      <c r="BA182" s="769">
        <f t="shared" si="635"/>
        <v>0</v>
      </c>
      <c r="BB182" s="769">
        <f t="shared" si="636"/>
        <v>0</v>
      </c>
      <c r="BC182" s="769">
        <f t="shared" si="637"/>
        <v>0</v>
      </c>
      <c r="BD182" s="661"/>
      <c r="BF182" s="480"/>
      <c r="BG182" s="480"/>
      <c r="BH182" s="480"/>
      <c r="BI182" s="480"/>
      <c r="BJ182" s="480"/>
      <c r="BK182" s="769">
        <f>IF(BK$7=$Y182,(+$AL182+$AP182),(0))</f>
        <v>0</v>
      </c>
      <c r="BL182" s="769">
        <f>IF(BL$7=$Y182,(+BK182*$V182),(0))</f>
        <v>0</v>
      </c>
      <c r="BM182" s="769">
        <f>IF(BM$7=$Y182,(+$AR182+$AT182+$AV182),(0))</f>
        <v>0</v>
      </c>
      <c r="BN182" s="769">
        <f>IF(BN$7=$Y182,(+BM182*$V182),(0))</f>
        <v>0</v>
      </c>
      <c r="BO182" s="769">
        <f>IF(BO$7=$X182,($AY182+$BA182),(0))</f>
        <v>0</v>
      </c>
      <c r="BP182" s="769">
        <f>IF(BP$7=$X182,(+BO182*$V182),(0))</f>
        <v>0</v>
      </c>
    </row>
    <row r="183" spans="1:68" s="775" customFormat="1" ht="15.6">
      <c r="A183" s="762"/>
      <c r="B183" s="763">
        <v>0</v>
      </c>
      <c r="C183" s="763">
        <v>0</v>
      </c>
      <c r="D183" s="763">
        <v>0</v>
      </c>
      <c r="E183" s="763">
        <v>0</v>
      </c>
      <c r="F183" s="763">
        <v>0</v>
      </c>
      <c r="G183" s="689">
        <f>+G$4</f>
        <v>0</v>
      </c>
      <c r="H183" s="764">
        <f>AM183+AN183</f>
        <v>0</v>
      </c>
      <c r="I183" s="763">
        <v>0</v>
      </c>
      <c r="J183" s="689">
        <f>+J$4</f>
        <v>0</v>
      </c>
      <c r="K183" s="764">
        <f>AR183+AT183+AV183+AX183</f>
        <v>0</v>
      </c>
      <c r="L183" s="763">
        <v>0</v>
      </c>
      <c r="M183" s="689">
        <f>+M$4</f>
        <v>0</v>
      </c>
      <c r="N183" s="765"/>
      <c r="O183" s="776"/>
      <c r="P183" s="776"/>
      <c r="Q183" s="777" t="s">
        <v>333</v>
      </c>
      <c r="R183" s="762" t="s">
        <v>211</v>
      </c>
      <c r="S183" s="768">
        <v>1</v>
      </c>
      <c r="T183" s="769">
        <f t="shared" si="606"/>
        <v>0</v>
      </c>
      <c r="U183" s="772">
        <f t="shared" si="607"/>
        <v>0</v>
      </c>
      <c r="V183" s="771">
        <v>0</v>
      </c>
      <c r="W183" s="772">
        <f t="shared" si="608"/>
        <v>0</v>
      </c>
      <c r="X183" s="773"/>
      <c r="Y183" s="773"/>
      <c r="Z183" s="772">
        <f t="shared" si="609"/>
        <v>0</v>
      </c>
      <c r="AA183" s="772">
        <f t="shared" si="610"/>
        <v>0</v>
      </c>
      <c r="AB183" s="772">
        <f t="shared" si="611"/>
        <v>0</v>
      </c>
      <c r="AC183" s="772">
        <f t="shared" si="612"/>
        <v>0</v>
      </c>
      <c r="AD183" s="772">
        <f t="shared" si="613"/>
        <v>0</v>
      </c>
      <c r="AE183" s="772">
        <f t="shared" si="614"/>
        <v>0</v>
      </c>
      <c r="AF183" s="774">
        <f t="shared" si="615"/>
        <v>0</v>
      </c>
      <c r="AG183" s="772">
        <f t="shared" si="616"/>
        <v>0</v>
      </c>
      <c r="AH183" s="772">
        <f t="shared" si="617"/>
        <v>0</v>
      </c>
      <c r="AI183" s="769">
        <f t="shared" si="618"/>
        <v>0</v>
      </c>
      <c r="AJ183" s="772">
        <f t="shared" si="619"/>
        <v>0</v>
      </c>
      <c r="AK183" s="769">
        <f t="shared" si="620"/>
        <v>0</v>
      </c>
      <c r="AL183" s="769">
        <f t="shared" si="621"/>
        <v>0</v>
      </c>
      <c r="AM183" s="769">
        <f t="shared" si="622"/>
        <v>0</v>
      </c>
      <c r="AN183" s="769">
        <f t="shared" si="623"/>
        <v>0</v>
      </c>
      <c r="AO183" s="769">
        <f t="shared" si="624"/>
        <v>0</v>
      </c>
      <c r="AP183" s="769">
        <f t="shared" si="625"/>
        <v>0</v>
      </c>
      <c r="AQ183" s="769">
        <f t="shared" si="626"/>
        <v>0</v>
      </c>
      <c r="AR183" s="769">
        <f t="shared" si="627"/>
        <v>0</v>
      </c>
      <c r="AS183" s="769">
        <v>0</v>
      </c>
      <c r="AT183" s="769">
        <f t="shared" si="628"/>
        <v>0</v>
      </c>
      <c r="AU183" s="769">
        <f t="shared" si="629"/>
        <v>0</v>
      </c>
      <c r="AV183" s="769">
        <f t="shared" si="630"/>
        <v>0</v>
      </c>
      <c r="AW183" s="769">
        <f t="shared" si="631"/>
        <v>0</v>
      </c>
      <c r="AX183" s="769">
        <f t="shared" si="632"/>
        <v>0</v>
      </c>
      <c r="AY183" s="769">
        <f t="shared" si="633"/>
        <v>0</v>
      </c>
      <c r="AZ183" s="769">
        <f t="shared" si="634"/>
        <v>0</v>
      </c>
      <c r="BA183" s="769">
        <f t="shared" si="635"/>
        <v>0</v>
      </c>
      <c r="BB183" s="769">
        <f t="shared" si="636"/>
        <v>0</v>
      </c>
      <c r="BC183" s="769">
        <f t="shared" si="637"/>
        <v>0</v>
      </c>
      <c r="BD183" s="661"/>
      <c r="BF183" s="480"/>
      <c r="BG183" s="480"/>
      <c r="BH183" s="480"/>
      <c r="BI183" s="480"/>
      <c r="BJ183" s="480"/>
      <c r="BK183" s="769">
        <f>IF(BK$7=$Y183,(+$AL183+$AP183),(0))</f>
        <v>0</v>
      </c>
      <c r="BL183" s="769">
        <f>IF(BL$7=$Y183,(+BK183*$V183),(0))</f>
        <v>0</v>
      </c>
      <c r="BM183" s="769">
        <f>IF(BM$7=$Y183,(+$AR183+$AT183+$AV183),(0))</f>
        <v>0</v>
      </c>
      <c r="BN183" s="769">
        <f>IF(BN$7=$Y183,(+BM183*$V183),(0))</f>
        <v>0</v>
      </c>
      <c r="BO183" s="769">
        <f>IF(BO$7=$X183,($AY183+$BA183),(0))</f>
        <v>0</v>
      </c>
      <c r="BP183" s="769">
        <f>IF(BP$7=$X183,(+BO183*$V183),(0))</f>
        <v>0</v>
      </c>
    </row>
    <row r="184" spans="1:68" s="775" customFormat="1" ht="15.6">
      <c r="A184" s="762"/>
      <c r="B184" s="763"/>
      <c r="C184" s="763"/>
      <c r="D184" s="763"/>
      <c r="E184" s="763"/>
      <c r="F184" s="763"/>
      <c r="G184" s="689"/>
      <c r="H184" s="764"/>
      <c r="I184" s="763"/>
      <c r="J184" s="689"/>
      <c r="K184" s="764"/>
      <c r="L184" s="763"/>
      <c r="M184" s="689"/>
      <c r="N184" s="765"/>
      <c r="O184" s="776"/>
      <c r="P184" s="776"/>
      <c r="Q184" s="777"/>
      <c r="R184" s="762"/>
      <c r="S184" s="768"/>
      <c r="T184" s="769"/>
      <c r="U184" s="772"/>
      <c r="V184" s="771"/>
      <c r="W184" s="772"/>
      <c r="X184" s="773"/>
      <c r="Y184" s="773"/>
      <c r="Z184" s="772"/>
      <c r="AA184" s="772"/>
      <c r="AB184" s="772"/>
      <c r="AC184" s="772"/>
      <c r="AD184" s="772"/>
      <c r="AE184" s="772"/>
      <c r="AF184" s="774"/>
      <c r="AG184" s="772"/>
      <c r="AH184" s="772"/>
      <c r="AI184" s="769"/>
      <c r="AJ184" s="772"/>
      <c r="AK184" s="769"/>
      <c r="AL184" s="769"/>
      <c r="AM184" s="769"/>
      <c r="AN184" s="769"/>
      <c r="AO184" s="769"/>
      <c r="AP184" s="769"/>
      <c r="AQ184" s="769"/>
      <c r="AR184" s="769"/>
      <c r="AS184" s="769"/>
      <c r="AT184" s="769"/>
      <c r="AU184" s="769"/>
      <c r="AV184" s="769"/>
      <c r="AW184" s="769"/>
      <c r="AX184" s="769"/>
      <c r="AY184" s="769"/>
      <c r="AZ184" s="769"/>
      <c r="BA184" s="769"/>
      <c r="BB184" s="769"/>
      <c r="BC184" s="769"/>
      <c r="BD184" s="661"/>
      <c r="BF184" s="480"/>
      <c r="BG184" s="480"/>
      <c r="BH184" s="480"/>
      <c r="BI184" s="480"/>
      <c r="BJ184" s="480"/>
      <c r="BK184" s="769"/>
      <c r="BL184" s="769"/>
      <c r="BM184" s="769"/>
      <c r="BN184" s="769"/>
      <c r="BO184" s="769"/>
      <c r="BP184" s="769"/>
    </row>
    <row r="185" spans="1:68" s="775" customFormat="1" ht="15.6">
      <c r="A185" s="762"/>
      <c r="B185" s="763"/>
      <c r="C185" s="763"/>
      <c r="D185" s="763"/>
      <c r="E185" s="763"/>
      <c r="F185" s="763"/>
      <c r="G185" s="689"/>
      <c r="H185" s="764"/>
      <c r="I185" s="763"/>
      <c r="J185" s="689"/>
      <c r="K185" s="764"/>
      <c r="L185" s="763"/>
      <c r="M185" s="689"/>
      <c r="N185" s="765"/>
      <c r="O185" s="776"/>
      <c r="P185" s="776"/>
      <c r="Q185" s="777"/>
      <c r="R185" s="762"/>
      <c r="S185" s="768"/>
      <c r="T185" s="769"/>
      <c r="U185" s="772"/>
      <c r="V185" s="771"/>
      <c r="W185" s="772"/>
      <c r="X185" s="773"/>
      <c r="Y185" s="773"/>
      <c r="Z185" s="772"/>
      <c r="AA185" s="772"/>
      <c r="AB185" s="772"/>
      <c r="AC185" s="772"/>
      <c r="AD185" s="772"/>
      <c r="AE185" s="772"/>
      <c r="AF185" s="774"/>
      <c r="AG185" s="772"/>
      <c r="AH185" s="772"/>
      <c r="AI185" s="769"/>
      <c r="AJ185" s="772"/>
      <c r="AK185" s="769"/>
      <c r="AL185" s="769"/>
      <c r="AM185" s="769"/>
      <c r="AN185" s="769"/>
      <c r="AO185" s="769"/>
      <c r="AP185" s="769"/>
      <c r="AQ185" s="769"/>
      <c r="AR185" s="769"/>
      <c r="AS185" s="769"/>
      <c r="AT185" s="769"/>
      <c r="AU185" s="769"/>
      <c r="AV185" s="769"/>
      <c r="AW185" s="769"/>
      <c r="AX185" s="769"/>
      <c r="AY185" s="769"/>
      <c r="AZ185" s="769"/>
      <c r="BA185" s="769"/>
      <c r="BB185" s="769"/>
      <c r="BC185" s="769"/>
      <c r="BD185" s="661"/>
      <c r="BF185" s="480"/>
      <c r="BG185" s="480"/>
      <c r="BH185" s="480"/>
      <c r="BI185" s="480"/>
      <c r="BJ185" s="480"/>
      <c r="BK185" s="769"/>
      <c r="BL185" s="769"/>
      <c r="BM185" s="769"/>
      <c r="BN185" s="769"/>
      <c r="BO185" s="769"/>
      <c r="BP185" s="769"/>
    </row>
    <row r="186" spans="1:68" s="775" customFormat="1" ht="15.6">
      <c r="A186" s="762"/>
      <c r="B186" s="763"/>
      <c r="C186" s="763"/>
      <c r="D186" s="763"/>
      <c r="E186" s="763"/>
      <c r="F186" s="763"/>
      <c r="G186" s="689"/>
      <c r="H186" s="764"/>
      <c r="I186" s="763"/>
      <c r="J186" s="689"/>
      <c r="K186" s="764"/>
      <c r="L186" s="763"/>
      <c r="M186" s="689"/>
      <c r="N186" s="765"/>
      <c r="O186" s="766">
        <v>22</v>
      </c>
      <c r="P186" s="766" t="s">
        <v>334</v>
      </c>
      <c r="Q186" s="767"/>
      <c r="R186" s="762"/>
      <c r="S186" s="768"/>
      <c r="T186" s="769"/>
      <c r="U186" s="770" t="s">
        <v>437</v>
      </c>
      <c r="V186" s="771"/>
      <c r="W186" s="772"/>
      <c r="X186" s="773"/>
      <c r="Y186" s="773"/>
      <c r="Z186" s="772"/>
      <c r="AA186" s="772"/>
      <c r="AB186" s="772"/>
      <c r="AC186" s="772"/>
      <c r="AD186" s="772"/>
      <c r="AE186" s="772"/>
      <c r="AF186" s="774"/>
      <c r="AG186" s="772"/>
      <c r="AH186" s="772"/>
      <c r="AI186" s="769"/>
      <c r="AJ186" s="772"/>
      <c r="AK186" s="769"/>
      <c r="AL186" s="769"/>
      <c r="AM186" s="769"/>
      <c r="AN186" s="769"/>
      <c r="AO186" s="769"/>
      <c r="AP186" s="769"/>
      <c r="AQ186" s="769"/>
      <c r="AR186" s="769"/>
      <c r="AS186" s="769"/>
      <c r="AT186" s="769"/>
      <c r="AU186" s="769"/>
      <c r="AV186" s="769"/>
      <c r="AW186" s="769"/>
      <c r="AX186" s="769"/>
      <c r="AY186" s="769"/>
      <c r="AZ186" s="769"/>
      <c r="BA186" s="769"/>
      <c r="BB186" s="769"/>
      <c r="BC186" s="769"/>
      <c r="BD186" s="661"/>
      <c r="BF186" s="480"/>
      <c r="BG186" s="480"/>
      <c r="BH186" s="480"/>
      <c r="BI186" s="480"/>
      <c r="BJ186" s="480"/>
      <c r="BK186" s="769"/>
      <c r="BL186" s="769"/>
      <c r="BM186" s="769"/>
      <c r="BN186" s="769"/>
      <c r="BO186" s="769"/>
      <c r="BP186" s="769"/>
    </row>
    <row r="187" spans="1:68" s="775" customFormat="1" ht="15.6">
      <c r="A187" s="762"/>
      <c r="B187" s="763"/>
      <c r="C187" s="763"/>
      <c r="D187" s="763"/>
      <c r="E187" s="763"/>
      <c r="F187" s="763"/>
      <c r="G187" s="689"/>
      <c r="H187" s="764"/>
      <c r="I187" s="763"/>
      <c r="J187" s="689"/>
      <c r="K187" s="764"/>
      <c r="L187" s="763"/>
      <c r="M187" s="689"/>
      <c r="N187" s="765"/>
      <c r="O187" s="776"/>
      <c r="P187" s="776"/>
      <c r="Q187" s="777"/>
      <c r="R187" s="762"/>
      <c r="S187" s="768"/>
      <c r="T187" s="769"/>
      <c r="U187" s="772"/>
      <c r="V187" s="771"/>
      <c r="W187" s="772"/>
      <c r="X187" s="773"/>
      <c r="Y187" s="773"/>
      <c r="Z187" s="772"/>
      <c r="AA187" s="772"/>
      <c r="AB187" s="772"/>
      <c r="AC187" s="772"/>
      <c r="AD187" s="772"/>
      <c r="AE187" s="772"/>
      <c r="AF187" s="774"/>
      <c r="AG187" s="772"/>
      <c r="AH187" s="772"/>
      <c r="AI187" s="769"/>
      <c r="AJ187" s="772"/>
      <c r="AK187" s="769"/>
      <c r="AL187" s="769"/>
      <c r="AM187" s="769"/>
      <c r="AN187" s="769"/>
      <c r="AO187" s="769"/>
      <c r="AP187" s="769"/>
      <c r="AQ187" s="769"/>
      <c r="AR187" s="769"/>
      <c r="AS187" s="769"/>
      <c r="AT187" s="769"/>
      <c r="AU187" s="769"/>
      <c r="AV187" s="769"/>
      <c r="AW187" s="769"/>
      <c r="AX187" s="769"/>
      <c r="AY187" s="769"/>
      <c r="AZ187" s="769"/>
      <c r="BA187" s="769"/>
      <c r="BB187" s="769"/>
      <c r="BC187" s="769"/>
      <c r="BD187" s="661"/>
      <c r="BF187" s="480"/>
      <c r="BG187" s="480"/>
      <c r="BH187" s="480"/>
      <c r="BI187" s="480"/>
      <c r="BJ187" s="480"/>
      <c r="BK187" s="769"/>
      <c r="BL187" s="769"/>
      <c r="BM187" s="769"/>
      <c r="BN187" s="769"/>
      <c r="BO187" s="769"/>
      <c r="BP187" s="769"/>
    </row>
    <row r="188" spans="1:68" s="775" customFormat="1" ht="15.6">
      <c r="A188" s="762"/>
      <c r="B188" s="763">
        <v>0</v>
      </c>
      <c r="C188" s="763">
        <v>0</v>
      </c>
      <c r="D188" s="763">
        <v>0</v>
      </c>
      <c r="E188" s="763">
        <v>0</v>
      </c>
      <c r="F188" s="763">
        <v>0</v>
      </c>
      <c r="G188" s="689">
        <f>+G$4</f>
        <v>0</v>
      </c>
      <c r="H188" s="764">
        <f>AM188+AN188</f>
        <v>0</v>
      </c>
      <c r="I188" s="763">
        <v>0</v>
      </c>
      <c r="J188" s="689">
        <f>+J$4</f>
        <v>0</v>
      </c>
      <c r="K188" s="764">
        <f>AR188+AT188+AV188+AX188</f>
        <v>0</v>
      </c>
      <c r="L188" s="763">
        <v>0</v>
      </c>
      <c r="M188" s="689">
        <f>+M$4</f>
        <v>0</v>
      </c>
      <c r="N188" s="765"/>
      <c r="O188" s="776"/>
      <c r="P188" s="776"/>
      <c r="Q188" s="777" t="s">
        <v>335</v>
      </c>
      <c r="R188" s="762" t="s">
        <v>211</v>
      </c>
      <c r="S188" s="768">
        <v>1</v>
      </c>
      <c r="T188" s="769">
        <f t="shared" ref="T188:T189" si="638">_xlfn.IFNA(ROUNDUP(AF188+AJ188+AO188+AQ188+L188+AS188+AU188+AW188+F188+AZ188+BB188,2),0)</f>
        <v>0</v>
      </c>
      <c r="U188" s="772">
        <f t="shared" ref="U188:U189" si="639">ROUND(T188*ROUNDUP(S188,1),2)</f>
        <v>0</v>
      </c>
      <c r="V188" s="771">
        <v>0</v>
      </c>
      <c r="W188" s="772">
        <f t="shared" ref="W188:W189" si="640">ROUND(+U188*V188,2)</f>
        <v>0</v>
      </c>
      <c r="X188" s="773"/>
      <c r="Y188" s="773"/>
      <c r="Z188" s="772">
        <f t="shared" ref="Z188:Z189" si="641">_xlfn.IFNA(ROUNDUP(AJ188*U188,2),0)</f>
        <v>0</v>
      </c>
      <c r="AA188" s="772">
        <f t="shared" ref="AA188:AA189" si="642">_xlfn.IFNA(ROUNDUP(AK188*V188,2),0)</f>
        <v>0</v>
      </c>
      <c r="AB188" s="772">
        <f t="shared" ref="AB188:AB189" si="643">ROUNDUP((AP188+AL188)*V188,2)</f>
        <v>0</v>
      </c>
      <c r="AC188" s="772">
        <f t="shared" ref="AC188:AC189" si="644">_xlfn.IFNA(ROUNDUP((AT188+AV188+AR188)*V188,2),0)</f>
        <v>0</v>
      </c>
      <c r="AD188" s="772">
        <f t="shared" ref="AD188:AD189" si="645">_xlfn.IFNA(ROUNDUP((BA188+AY188)*V188,2),0)</f>
        <v>0</v>
      </c>
      <c r="AE188" s="772">
        <f t="shared" ref="AE188:AE189" si="646">_xlfn.IFNA((BC188+AX188+AG188)*V188,0)</f>
        <v>0</v>
      </c>
      <c r="AF188" s="774">
        <f t="shared" ref="AF188:AF189" si="647">+_xlfn.IFNA(D188,0)</f>
        <v>0</v>
      </c>
      <c r="AG188" s="772">
        <f t="shared" ref="AG188:AG189" si="648">_xlfn.IFNA(ROUNDUP(D188*S188,2),0)</f>
        <v>0</v>
      </c>
      <c r="AH188" s="772">
        <f t="shared" ref="AH188:AH189" si="649">+_xlfn.IFNA(C188,0)</f>
        <v>0</v>
      </c>
      <c r="AI188" s="769">
        <f t="shared" ref="AI188:AI189" si="650">_xlfn.IFNA(C188*S188,0)</f>
        <v>0</v>
      </c>
      <c r="AJ188" s="772">
        <f t="shared" ref="AJ188:AJ189" si="651">+_xlfn.IFNA(E188,0)</f>
        <v>0</v>
      </c>
      <c r="AK188" s="769">
        <f t="shared" ref="AK188:AK189" si="652">_xlfn.IFNA(E188*S188,0)</f>
        <v>0</v>
      </c>
      <c r="AL188" s="769">
        <f t="shared" ref="AL188:AL189" si="653">ROUNDUP(S188*AQ188,2)</f>
        <v>0</v>
      </c>
      <c r="AM188" s="769">
        <f t="shared" ref="AM188:AM189" si="654">ROUNDUP(+I188*S188,2)</f>
        <v>0</v>
      </c>
      <c r="AN188" s="769">
        <f t="shared" ref="AN188:AN189" si="655">J188*I188*S188</f>
        <v>0</v>
      </c>
      <c r="AO188" s="769">
        <f t="shared" ref="AO188:AO189" si="656">ROUNDUP(I188*I$4*J188,2)</f>
        <v>0</v>
      </c>
      <c r="AP188" s="769">
        <f t="shared" ref="AP188:AP189" si="657">AO188*S188</f>
        <v>0</v>
      </c>
      <c r="AQ188" s="769">
        <f t="shared" ref="AQ188:AQ189" si="658">IF(I188=0,0,ROUNDUP(I$4*I188,2))</f>
        <v>0</v>
      </c>
      <c r="AR188" s="769">
        <f t="shared" ref="AR188:AR189" si="659">+_xlfn.IFNA(ROUNDUP(L188*ROUNDUP(S188,1),2),0)</f>
        <v>0</v>
      </c>
      <c r="AS188" s="769">
        <v>0</v>
      </c>
      <c r="AT188" s="769">
        <f t="shared" ref="AT188:AT189" si="660">+ROUNDUP(AS188*S188,2)</f>
        <v>0</v>
      </c>
      <c r="AU188" s="769">
        <f t="shared" ref="AU188:AU189" si="661">_xlfn.IFNA(ROUNDUP((L188+AS188)*M188,2),0)</f>
        <v>0</v>
      </c>
      <c r="AV188" s="769">
        <f t="shared" ref="AV188:AV189" si="662">ROUNDUP(AU188*S188,2)</f>
        <v>0</v>
      </c>
      <c r="AW188" s="769">
        <f t="shared" ref="AW188:AW189" si="663">_xlfn.IFNA(ROUNDUP((L188+AS188+AU188)*(L$4)*L$3,2),0)</f>
        <v>0</v>
      </c>
      <c r="AX188" s="769">
        <f t="shared" ref="AX188:AX189" si="664">ROUNDUP(+AW188*ROUNDUP(S188,1),2)</f>
        <v>0</v>
      </c>
      <c r="AY188" s="769">
        <f t="shared" ref="AY188:AY189" si="665">_xlfn.IFNA(ROUNDUP(F188*S188,2),0)</f>
        <v>0</v>
      </c>
      <c r="AZ188" s="769">
        <f t="shared" ref="AZ188:AZ189" si="666">_xlfn.IFNA(ROUNDUP(F188*G188,2),0)</f>
        <v>0</v>
      </c>
      <c r="BA188" s="769">
        <f t="shared" ref="BA188:BA189" si="667">ROUNDUP(AZ188*S188,2)</f>
        <v>0</v>
      </c>
      <c r="BB188" s="769">
        <f t="shared" ref="BB188:BB189" si="668">_xlfn.IFNA(ROUNDUP((ROUNDUP(F188+AZ188,2)*F$4)*F$3,2),0)</f>
        <v>0</v>
      </c>
      <c r="BC188" s="769">
        <f t="shared" ref="BC188:BC189" si="669">BB188*S188</f>
        <v>0</v>
      </c>
      <c r="BD188" s="661"/>
      <c r="BF188" s="480"/>
      <c r="BG188" s="480"/>
      <c r="BH188" s="480"/>
      <c r="BI188" s="480"/>
      <c r="BJ188" s="480"/>
      <c r="BK188" s="769">
        <f>IF(BK$7=$Y188,(+$AL188+$AP188),(0))</f>
        <v>0</v>
      </c>
      <c r="BL188" s="769">
        <f>IF(BL$7=$Y188,(+BK188*$V188),(0))</f>
        <v>0</v>
      </c>
      <c r="BM188" s="769">
        <f>IF(BM$7=$Y188,(+$AR188+$AT188+$AV188),(0))</f>
        <v>0</v>
      </c>
      <c r="BN188" s="769">
        <f>IF(BN$7=$Y188,(+BM188*$V188),(0))</f>
        <v>0</v>
      </c>
      <c r="BO188" s="769">
        <f>IF(BO$7=$X188,($AY188+$BA188),(0))</f>
        <v>0</v>
      </c>
      <c r="BP188" s="769">
        <f>IF(BP$7=$X188,(+BO188*$V188),(0))</f>
        <v>0</v>
      </c>
    </row>
    <row r="189" spans="1:68" s="775" customFormat="1" ht="15.6">
      <c r="A189" s="762"/>
      <c r="B189" s="763">
        <v>0</v>
      </c>
      <c r="C189" s="763">
        <v>0</v>
      </c>
      <c r="D189" s="763">
        <v>0</v>
      </c>
      <c r="E189" s="763">
        <v>0</v>
      </c>
      <c r="F189" s="763">
        <v>0</v>
      </c>
      <c r="G189" s="689">
        <f>+G$4</f>
        <v>0</v>
      </c>
      <c r="H189" s="764">
        <f>AM189+AN189</f>
        <v>0</v>
      </c>
      <c r="I189" s="763">
        <v>0</v>
      </c>
      <c r="J189" s="689">
        <f>+J$4</f>
        <v>0</v>
      </c>
      <c r="K189" s="764">
        <f>AR189+AT189+AV189+AX189</f>
        <v>0</v>
      </c>
      <c r="L189" s="763">
        <v>0</v>
      </c>
      <c r="M189" s="689">
        <f>+M$4</f>
        <v>0</v>
      </c>
      <c r="N189" s="765"/>
      <c r="O189" s="776"/>
      <c r="P189" s="776"/>
      <c r="Q189" s="777" t="s">
        <v>478</v>
      </c>
      <c r="R189" s="762" t="s">
        <v>231</v>
      </c>
      <c r="S189" s="768">
        <v>1</v>
      </c>
      <c r="T189" s="769">
        <f t="shared" si="638"/>
        <v>0</v>
      </c>
      <c r="U189" s="772">
        <f t="shared" si="639"/>
        <v>0</v>
      </c>
      <c r="V189" s="771">
        <v>0</v>
      </c>
      <c r="W189" s="772">
        <f t="shared" si="640"/>
        <v>0</v>
      </c>
      <c r="X189" s="773"/>
      <c r="Y189" s="773"/>
      <c r="Z189" s="772">
        <f t="shared" si="641"/>
        <v>0</v>
      </c>
      <c r="AA189" s="772">
        <f t="shared" si="642"/>
        <v>0</v>
      </c>
      <c r="AB189" s="772">
        <f t="shared" si="643"/>
        <v>0</v>
      </c>
      <c r="AC189" s="772">
        <f t="shared" si="644"/>
        <v>0</v>
      </c>
      <c r="AD189" s="772">
        <f t="shared" si="645"/>
        <v>0</v>
      </c>
      <c r="AE189" s="772">
        <f t="shared" si="646"/>
        <v>0</v>
      </c>
      <c r="AF189" s="774">
        <f t="shared" si="647"/>
        <v>0</v>
      </c>
      <c r="AG189" s="772">
        <f t="shared" si="648"/>
        <v>0</v>
      </c>
      <c r="AH189" s="772">
        <f t="shared" si="649"/>
        <v>0</v>
      </c>
      <c r="AI189" s="769">
        <f t="shared" si="650"/>
        <v>0</v>
      </c>
      <c r="AJ189" s="772">
        <f t="shared" si="651"/>
        <v>0</v>
      </c>
      <c r="AK189" s="769">
        <f t="shared" si="652"/>
        <v>0</v>
      </c>
      <c r="AL189" s="769">
        <f t="shared" si="653"/>
        <v>0</v>
      </c>
      <c r="AM189" s="769">
        <f t="shared" si="654"/>
        <v>0</v>
      </c>
      <c r="AN189" s="769">
        <f t="shared" si="655"/>
        <v>0</v>
      </c>
      <c r="AO189" s="769">
        <f t="shared" si="656"/>
        <v>0</v>
      </c>
      <c r="AP189" s="769">
        <f t="shared" si="657"/>
        <v>0</v>
      </c>
      <c r="AQ189" s="769">
        <f t="shared" si="658"/>
        <v>0</v>
      </c>
      <c r="AR189" s="769">
        <f t="shared" si="659"/>
        <v>0</v>
      </c>
      <c r="AS189" s="769">
        <v>0</v>
      </c>
      <c r="AT189" s="769">
        <f t="shared" si="660"/>
        <v>0</v>
      </c>
      <c r="AU189" s="769">
        <f t="shared" si="661"/>
        <v>0</v>
      </c>
      <c r="AV189" s="769">
        <f t="shared" si="662"/>
        <v>0</v>
      </c>
      <c r="AW189" s="769">
        <f t="shared" si="663"/>
        <v>0</v>
      </c>
      <c r="AX189" s="769">
        <f t="shared" si="664"/>
        <v>0</v>
      </c>
      <c r="AY189" s="769">
        <f t="shared" si="665"/>
        <v>0</v>
      </c>
      <c r="AZ189" s="769">
        <f t="shared" si="666"/>
        <v>0</v>
      </c>
      <c r="BA189" s="769">
        <f t="shared" si="667"/>
        <v>0</v>
      </c>
      <c r="BB189" s="769">
        <f t="shared" si="668"/>
        <v>0</v>
      </c>
      <c r="BC189" s="769">
        <f t="shared" si="669"/>
        <v>0</v>
      </c>
      <c r="BD189" s="661"/>
      <c r="BF189" s="480"/>
      <c r="BG189" s="480"/>
      <c r="BH189" s="480"/>
      <c r="BI189" s="480"/>
      <c r="BJ189" s="480"/>
      <c r="BK189" s="769">
        <f>IF(BK$7=$Y189,(+$AL189+$AP189),(0))</f>
        <v>0</v>
      </c>
      <c r="BL189" s="769">
        <f>IF(BL$7=$Y189,(+BK189*$V189),(0))</f>
        <v>0</v>
      </c>
      <c r="BM189" s="769">
        <f>IF(BM$7=$Y189,(+$AR189+$AT189+$AV189),(0))</f>
        <v>0</v>
      </c>
      <c r="BN189" s="769">
        <f>IF(BN$7=$Y189,(+BM189*$V189),(0))</f>
        <v>0</v>
      </c>
      <c r="BO189" s="769">
        <f>IF(BO$7=$X189,($AY189+$BA189),(0))</f>
        <v>0</v>
      </c>
      <c r="BP189" s="769">
        <f>IF(BP$7=$X189,(+BO189*$V189),(0))</f>
        <v>0</v>
      </c>
    </row>
    <row r="190" spans="1:68" s="775" customFormat="1" ht="15.6">
      <c r="A190" s="762"/>
      <c r="B190" s="763"/>
      <c r="C190" s="763"/>
      <c r="D190" s="763"/>
      <c r="E190" s="763"/>
      <c r="F190" s="763"/>
      <c r="G190" s="689"/>
      <c r="H190" s="764"/>
      <c r="I190" s="763"/>
      <c r="J190" s="689"/>
      <c r="K190" s="764"/>
      <c r="L190" s="763"/>
      <c r="M190" s="689"/>
      <c r="N190" s="765"/>
      <c r="O190" s="776"/>
      <c r="P190" s="776"/>
      <c r="Q190" s="777"/>
      <c r="R190" s="762"/>
      <c r="S190" s="768"/>
      <c r="T190" s="769"/>
      <c r="U190" s="772"/>
      <c r="V190" s="771"/>
      <c r="W190" s="772"/>
      <c r="X190" s="773"/>
      <c r="Y190" s="773"/>
      <c r="Z190" s="772"/>
      <c r="AA190" s="772"/>
      <c r="AB190" s="772"/>
      <c r="AC190" s="772"/>
      <c r="AD190" s="772"/>
      <c r="AE190" s="772"/>
      <c r="AF190" s="774"/>
      <c r="AG190" s="772"/>
      <c r="AH190" s="772"/>
      <c r="AI190" s="769"/>
      <c r="AJ190" s="772"/>
      <c r="AK190" s="769"/>
      <c r="AL190" s="769"/>
      <c r="AM190" s="769"/>
      <c r="AN190" s="769"/>
      <c r="AO190" s="769"/>
      <c r="AP190" s="769"/>
      <c r="AQ190" s="769"/>
      <c r="AR190" s="769"/>
      <c r="AS190" s="769"/>
      <c r="AT190" s="769"/>
      <c r="AU190" s="769"/>
      <c r="AV190" s="769"/>
      <c r="AW190" s="769"/>
      <c r="AX190" s="769"/>
      <c r="AY190" s="769"/>
      <c r="AZ190" s="769"/>
      <c r="BA190" s="769"/>
      <c r="BB190" s="769"/>
      <c r="BC190" s="769"/>
      <c r="BD190" s="661"/>
      <c r="BF190" s="480"/>
      <c r="BG190" s="480"/>
      <c r="BH190" s="480"/>
      <c r="BI190" s="480"/>
      <c r="BJ190" s="480"/>
      <c r="BK190" s="769"/>
      <c r="BL190" s="769"/>
      <c r="BM190" s="769"/>
      <c r="BN190" s="769"/>
      <c r="BO190" s="769"/>
      <c r="BP190" s="769"/>
    </row>
    <row r="191" spans="1:68" s="775" customFormat="1" ht="15.6">
      <c r="A191" s="762"/>
      <c r="B191" s="763"/>
      <c r="C191" s="763"/>
      <c r="D191" s="763"/>
      <c r="E191" s="763"/>
      <c r="F191" s="763"/>
      <c r="G191" s="689"/>
      <c r="H191" s="764"/>
      <c r="I191" s="763"/>
      <c r="J191" s="689"/>
      <c r="K191" s="764"/>
      <c r="L191" s="763"/>
      <c r="M191" s="689"/>
      <c r="N191" s="765"/>
      <c r="O191" s="766">
        <v>23</v>
      </c>
      <c r="P191" s="766" t="s">
        <v>337</v>
      </c>
      <c r="Q191" s="767"/>
      <c r="R191" s="762"/>
      <c r="S191" s="768"/>
      <c r="T191" s="769"/>
      <c r="U191" s="770" t="s">
        <v>437</v>
      </c>
      <c r="V191" s="771"/>
      <c r="W191" s="772"/>
      <c r="X191" s="773"/>
      <c r="Y191" s="773"/>
      <c r="Z191" s="772"/>
      <c r="AA191" s="772"/>
      <c r="AB191" s="772"/>
      <c r="AC191" s="772"/>
      <c r="AD191" s="772"/>
      <c r="AE191" s="772"/>
      <c r="AF191" s="774"/>
      <c r="AG191" s="772"/>
      <c r="AH191" s="772"/>
      <c r="AI191" s="769"/>
      <c r="AJ191" s="772"/>
      <c r="AK191" s="769"/>
      <c r="AL191" s="769"/>
      <c r="AM191" s="769"/>
      <c r="AN191" s="769"/>
      <c r="AO191" s="769"/>
      <c r="AP191" s="769"/>
      <c r="AQ191" s="769"/>
      <c r="AR191" s="769"/>
      <c r="AS191" s="769"/>
      <c r="AT191" s="769"/>
      <c r="AU191" s="769"/>
      <c r="AV191" s="769"/>
      <c r="AW191" s="769"/>
      <c r="AX191" s="769"/>
      <c r="AY191" s="769"/>
      <c r="AZ191" s="769"/>
      <c r="BA191" s="769"/>
      <c r="BB191" s="769"/>
      <c r="BC191" s="769"/>
      <c r="BD191" s="661"/>
      <c r="BF191" s="480"/>
      <c r="BG191" s="480"/>
      <c r="BH191" s="480"/>
      <c r="BI191" s="480"/>
      <c r="BJ191" s="480"/>
      <c r="BK191" s="769"/>
      <c r="BL191" s="769"/>
      <c r="BM191" s="769"/>
      <c r="BN191" s="769"/>
      <c r="BO191" s="769"/>
      <c r="BP191" s="769"/>
    </row>
    <row r="192" spans="1:68" s="775" customFormat="1" ht="15.6">
      <c r="A192" s="762"/>
      <c r="B192" s="763"/>
      <c r="C192" s="763"/>
      <c r="D192" s="763"/>
      <c r="E192" s="763"/>
      <c r="F192" s="763"/>
      <c r="G192" s="689"/>
      <c r="H192" s="764"/>
      <c r="I192" s="763"/>
      <c r="J192" s="689"/>
      <c r="K192" s="764"/>
      <c r="L192" s="763"/>
      <c r="M192" s="689"/>
      <c r="N192" s="765"/>
      <c r="O192" s="776"/>
      <c r="P192" s="776"/>
      <c r="Q192" s="777"/>
      <c r="R192" s="762"/>
      <c r="S192" s="768"/>
      <c r="T192" s="769"/>
      <c r="U192" s="772"/>
      <c r="V192" s="771"/>
      <c r="W192" s="772"/>
      <c r="X192" s="773"/>
      <c r="Y192" s="773"/>
      <c r="Z192" s="772"/>
      <c r="AA192" s="772"/>
      <c r="AB192" s="772"/>
      <c r="AC192" s="772"/>
      <c r="AD192" s="772"/>
      <c r="AE192" s="772"/>
      <c r="AF192" s="774"/>
      <c r="AG192" s="772"/>
      <c r="AH192" s="772"/>
      <c r="AI192" s="769"/>
      <c r="AJ192" s="772"/>
      <c r="AK192" s="769"/>
      <c r="AL192" s="769"/>
      <c r="AM192" s="769"/>
      <c r="AN192" s="769"/>
      <c r="AO192" s="769"/>
      <c r="AP192" s="769"/>
      <c r="AQ192" s="769"/>
      <c r="AR192" s="769"/>
      <c r="AS192" s="769"/>
      <c r="AT192" s="769"/>
      <c r="AU192" s="769"/>
      <c r="AV192" s="769"/>
      <c r="AW192" s="769"/>
      <c r="AX192" s="769"/>
      <c r="AY192" s="769"/>
      <c r="AZ192" s="769"/>
      <c r="BA192" s="769"/>
      <c r="BB192" s="769"/>
      <c r="BC192" s="769"/>
      <c r="BD192" s="661"/>
      <c r="BF192" s="480"/>
      <c r="BG192" s="480"/>
      <c r="BH192" s="480"/>
      <c r="BI192" s="480"/>
      <c r="BJ192" s="480"/>
      <c r="BK192" s="769"/>
      <c r="BL192" s="769"/>
      <c r="BM192" s="769"/>
      <c r="BN192" s="769"/>
      <c r="BO192" s="769"/>
      <c r="BP192" s="769"/>
    </row>
    <row r="193" spans="1:68" s="775" customFormat="1" ht="15.6">
      <c r="A193" s="762"/>
      <c r="B193" s="763">
        <v>0</v>
      </c>
      <c r="C193" s="763">
        <v>0</v>
      </c>
      <c r="D193" s="763">
        <v>0</v>
      </c>
      <c r="E193" s="763">
        <v>0</v>
      </c>
      <c r="F193" s="763">
        <v>0</v>
      </c>
      <c r="G193" s="689">
        <f>+G$4</f>
        <v>0</v>
      </c>
      <c r="H193" s="764">
        <f>AM193+AN193</f>
        <v>0</v>
      </c>
      <c r="I193" s="763">
        <v>0</v>
      </c>
      <c r="J193" s="689">
        <f>+J$4</f>
        <v>0</v>
      </c>
      <c r="K193" s="764">
        <f>AR193+AT193+AV193+AX193</f>
        <v>0</v>
      </c>
      <c r="L193" s="763">
        <v>0</v>
      </c>
      <c r="M193" s="689">
        <f>+M$4</f>
        <v>0</v>
      </c>
      <c r="N193" s="765"/>
      <c r="O193" s="776"/>
      <c r="P193" s="776"/>
      <c r="Q193" s="777" t="s">
        <v>338</v>
      </c>
      <c r="R193" s="762" t="s">
        <v>211</v>
      </c>
      <c r="S193" s="768">
        <v>1</v>
      </c>
      <c r="T193" s="769">
        <f t="shared" ref="T193:T194" si="670">_xlfn.IFNA(ROUNDUP(AF193+AJ193+AO193+AQ193+L193+AS193+AU193+AW193+F193+AZ193+BB193,2),0)</f>
        <v>0</v>
      </c>
      <c r="U193" s="772">
        <f t="shared" ref="U193:U194" si="671">ROUND(T193*ROUNDUP(S193,1),2)</f>
        <v>0</v>
      </c>
      <c r="V193" s="771">
        <v>0</v>
      </c>
      <c r="W193" s="772">
        <f t="shared" ref="W193:W194" si="672">ROUND(+U193*V193,2)</f>
        <v>0</v>
      </c>
      <c r="X193" s="773"/>
      <c r="Y193" s="773"/>
      <c r="Z193" s="772">
        <f t="shared" ref="Z193:Z194" si="673">_xlfn.IFNA(ROUNDUP(AJ193*U193,2),0)</f>
        <v>0</v>
      </c>
      <c r="AA193" s="772">
        <f t="shared" ref="AA193:AA194" si="674">_xlfn.IFNA(ROUNDUP(AK193*V193,2),0)</f>
        <v>0</v>
      </c>
      <c r="AB193" s="772">
        <f t="shared" ref="AB193:AB194" si="675">ROUNDUP((AP193+AL193)*V193,2)</f>
        <v>0</v>
      </c>
      <c r="AC193" s="772">
        <f t="shared" ref="AC193:AC194" si="676">_xlfn.IFNA(ROUNDUP((AT193+AV193+AR193)*V193,2),0)</f>
        <v>0</v>
      </c>
      <c r="AD193" s="772">
        <f t="shared" ref="AD193:AD194" si="677">_xlfn.IFNA(ROUNDUP((BA193+AY193)*V193,2),0)</f>
        <v>0</v>
      </c>
      <c r="AE193" s="772">
        <f t="shared" ref="AE193:AE194" si="678">_xlfn.IFNA((BC193+AX193+AG193)*V193,0)</f>
        <v>0</v>
      </c>
      <c r="AF193" s="774">
        <f t="shared" ref="AF193:AF194" si="679">+_xlfn.IFNA(D193,0)</f>
        <v>0</v>
      </c>
      <c r="AG193" s="772">
        <f t="shared" ref="AG193:AG194" si="680">_xlfn.IFNA(ROUNDUP(D193*S193,2),0)</f>
        <v>0</v>
      </c>
      <c r="AH193" s="772">
        <f t="shared" ref="AH193:AH194" si="681">+_xlfn.IFNA(C193,0)</f>
        <v>0</v>
      </c>
      <c r="AI193" s="769">
        <f t="shared" ref="AI193:AI194" si="682">_xlfn.IFNA(C193*S193,0)</f>
        <v>0</v>
      </c>
      <c r="AJ193" s="772">
        <f t="shared" ref="AJ193:AJ194" si="683">+_xlfn.IFNA(E193,0)</f>
        <v>0</v>
      </c>
      <c r="AK193" s="769">
        <f t="shared" ref="AK193:AK194" si="684">_xlfn.IFNA(E193*S193,0)</f>
        <v>0</v>
      </c>
      <c r="AL193" s="769">
        <f t="shared" ref="AL193:AL194" si="685">ROUNDUP(S193*AQ193,2)</f>
        <v>0</v>
      </c>
      <c r="AM193" s="769">
        <f t="shared" ref="AM193:AM194" si="686">ROUNDUP(+I193*S193,2)</f>
        <v>0</v>
      </c>
      <c r="AN193" s="769">
        <f t="shared" ref="AN193:AN194" si="687">J193*I193*S193</f>
        <v>0</v>
      </c>
      <c r="AO193" s="769">
        <f t="shared" ref="AO193:AO194" si="688">ROUNDUP(I193*I$4*J193,2)</f>
        <v>0</v>
      </c>
      <c r="AP193" s="769">
        <f t="shared" ref="AP193:AP194" si="689">AO193*S193</f>
        <v>0</v>
      </c>
      <c r="AQ193" s="769">
        <f t="shared" ref="AQ193:AQ194" si="690">IF(I193=0,0,ROUNDUP(I$4*I193,2))</f>
        <v>0</v>
      </c>
      <c r="AR193" s="769">
        <f t="shared" ref="AR193:AR194" si="691">+_xlfn.IFNA(ROUNDUP(L193*ROUNDUP(S193,1),2),0)</f>
        <v>0</v>
      </c>
      <c r="AS193" s="769">
        <v>0</v>
      </c>
      <c r="AT193" s="769">
        <f t="shared" ref="AT193:AT194" si="692">+ROUNDUP(AS193*S193,2)</f>
        <v>0</v>
      </c>
      <c r="AU193" s="769">
        <f t="shared" ref="AU193:AU194" si="693">_xlfn.IFNA(ROUNDUP((L193+AS193)*M193,2),0)</f>
        <v>0</v>
      </c>
      <c r="AV193" s="769">
        <f t="shared" ref="AV193:AV194" si="694">ROUNDUP(AU193*S193,2)</f>
        <v>0</v>
      </c>
      <c r="AW193" s="769">
        <f t="shared" ref="AW193:AW194" si="695">_xlfn.IFNA(ROUNDUP((L193+AS193+AU193)*(L$4)*L$3,2),0)</f>
        <v>0</v>
      </c>
      <c r="AX193" s="769">
        <f t="shared" ref="AX193:AX194" si="696">ROUNDUP(+AW193*ROUNDUP(S193,1),2)</f>
        <v>0</v>
      </c>
      <c r="AY193" s="769">
        <f t="shared" ref="AY193:AY194" si="697">_xlfn.IFNA(ROUNDUP(F193*S193,2),0)</f>
        <v>0</v>
      </c>
      <c r="AZ193" s="769">
        <f t="shared" ref="AZ193:AZ194" si="698">_xlfn.IFNA(ROUNDUP(F193*G193,2),0)</f>
        <v>0</v>
      </c>
      <c r="BA193" s="769">
        <f t="shared" ref="BA193:BA194" si="699">ROUNDUP(AZ193*S193,2)</f>
        <v>0</v>
      </c>
      <c r="BB193" s="769">
        <f t="shared" ref="BB193:BB194" si="700">_xlfn.IFNA(ROUNDUP((ROUNDUP(F193+AZ193,2)*F$4)*F$3,2),0)</f>
        <v>0</v>
      </c>
      <c r="BC193" s="769">
        <f t="shared" ref="BC193:BC194" si="701">BB193*S193</f>
        <v>0</v>
      </c>
      <c r="BD193" s="661"/>
      <c r="BF193" s="480"/>
      <c r="BG193" s="480"/>
      <c r="BH193" s="480"/>
      <c r="BI193" s="480"/>
      <c r="BJ193" s="480"/>
      <c r="BK193" s="769">
        <f>IF(BK$7=$Y193,(+$AL193+$AP193),(0))</f>
        <v>0</v>
      </c>
      <c r="BL193" s="769">
        <f>IF(BL$7=$Y193,(+BK193*$V193),(0))</f>
        <v>0</v>
      </c>
      <c r="BM193" s="769">
        <f>IF(BM$7=$Y193,(+$AR193+$AT193+$AV193),(0))</f>
        <v>0</v>
      </c>
      <c r="BN193" s="769">
        <f>IF(BN$7=$Y193,(+BM193*$V193),(0))</f>
        <v>0</v>
      </c>
      <c r="BO193" s="769">
        <f>IF(BO$7=$X193,($AY193+$BA193),(0))</f>
        <v>0</v>
      </c>
      <c r="BP193" s="769">
        <f>IF(BP$7=$X193,(+BO193*$V193),(0))</f>
        <v>0</v>
      </c>
    </row>
    <row r="194" spans="1:68" s="775" customFormat="1" ht="15.6">
      <c r="A194" s="762"/>
      <c r="B194" s="763">
        <v>0</v>
      </c>
      <c r="C194" s="763">
        <v>0</v>
      </c>
      <c r="D194" s="763">
        <v>0</v>
      </c>
      <c r="E194" s="763">
        <v>0</v>
      </c>
      <c r="F194" s="763">
        <v>0</v>
      </c>
      <c r="G194" s="689">
        <f>+G$4</f>
        <v>0</v>
      </c>
      <c r="H194" s="764">
        <f>AM194+AN194</f>
        <v>0</v>
      </c>
      <c r="I194" s="763">
        <v>0</v>
      </c>
      <c r="J194" s="689">
        <f>+J$4</f>
        <v>0</v>
      </c>
      <c r="K194" s="764">
        <f>AR194+AT194+AV194+AX194</f>
        <v>0</v>
      </c>
      <c r="L194" s="763">
        <v>0</v>
      </c>
      <c r="M194" s="689">
        <f>+M$4</f>
        <v>0</v>
      </c>
      <c r="N194" s="765"/>
      <c r="O194" s="776"/>
      <c r="P194" s="776"/>
      <c r="Q194" s="777" t="s">
        <v>339</v>
      </c>
      <c r="R194" s="762" t="s">
        <v>96</v>
      </c>
      <c r="S194" s="768">
        <v>1</v>
      </c>
      <c r="T194" s="769">
        <f t="shared" si="670"/>
        <v>0</v>
      </c>
      <c r="U194" s="772">
        <f t="shared" si="671"/>
        <v>0</v>
      </c>
      <c r="V194" s="771">
        <v>0</v>
      </c>
      <c r="W194" s="772">
        <f t="shared" si="672"/>
        <v>0</v>
      </c>
      <c r="X194" s="773"/>
      <c r="Y194" s="773"/>
      <c r="Z194" s="772">
        <f t="shared" si="673"/>
        <v>0</v>
      </c>
      <c r="AA194" s="772">
        <f t="shared" si="674"/>
        <v>0</v>
      </c>
      <c r="AB194" s="772">
        <f t="shared" si="675"/>
        <v>0</v>
      </c>
      <c r="AC194" s="772">
        <f t="shared" si="676"/>
        <v>0</v>
      </c>
      <c r="AD194" s="772">
        <f t="shared" si="677"/>
        <v>0</v>
      </c>
      <c r="AE194" s="772">
        <f t="shared" si="678"/>
        <v>0</v>
      </c>
      <c r="AF194" s="774">
        <f t="shared" si="679"/>
        <v>0</v>
      </c>
      <c r="AG194" s="772">
        <f t="shared" si="680"/>
        <v>0</v>
      </c>
      <c r="AH194" s="772">
        <f t="shared" si="681"/>
        <v>0</v>
      </c>
      <c r="AI194" s="769">
        <f t="shared" si="682"/>
        <v>0</v>
      </c>
      <c r="AJ194" s="772">
        <f t="shared" si="683"/>
        <v>0</v>
      </c>
      <c r="AK194" s="769">
        <f t="shared" si="684"/>
        <v>0</v>
      </c>
      <c r="AL194" s="769">
        <f t="shared" si="685"/>
        <v>0</v>
      </c>
      <c r="AM194" s="769">
        <f t="shared" si="686"/>
        <v>0</v>
      </c>
      <c r="AN194" s="769">
        <f t="shared" si="687"/>
        <v>0</v>
      </c>
      <c r="AO194" s="769">
        <f t="shared" si="688"/>
        <v>0</v>
      </c>
      <c r="AP194" s="769">
        <f t="shared" si="689"/>
        <v>0</v>
      </c>
      <c r="AQ194" s="769">
        <f t="shared" si="690"/>
        <v>0</v>
      </c>
      <c r="AR194" s="769">
        <f t="shared" si="691"/>
        <v>0</v>
      </c>
      <c r="AS194" s="769">
        <v>0</v>
      </c>
      <c r="AT194" s="769">
        <f t="shared" si="692"/>
        <v>0</v>
      </c>
      <c r="AU194" s="769">
        <f t="shared" si="693"/>
        <v>0</v>
      </c>
      <c r="AV194" s="769">
        <f t="shared" si="694"/>
        <v>0</v>
      </c>
      <c r="AW194" s="769">
        <f t="shared" si="695"/>
        <v>0</v>
      </c>
      <c r="AX194" s="769">
        <f t="shared" si="696"/>
        <v>0</v>
      </c>
      <c r="AY194" s="769">
        <f t="shared" si="697"/>
        <v>0</v>
      </c>
      <c r="AZ194" s="769">
        <f t="shared" si="698"/>
        <v>0</v>
      </c>
      <c r="BA194" s="769">
        <f t="shared" si="699"/>
        <v>0</v>
      </c>
      <c r="BB194" s="769">
        <f t="shared" si="700"/>
        <v>0</v>
      </c>
      <c r="BC194" s="769">
        <f t="shared" si="701"/>
        <v>0</v>
      </c>
      <c r="BD194" s="661"/>
      <c r="BF194" s="480"/>
      <c r="BG194" s="480"/>
      <c r="BH194" s="480"/>
      <c r="BI194" s="480"/>
      <c r="BJ194" s="480"/>
      <c r="BK194" s="769">
        <f>IF(BK$7=$Y194,(+$AL194+$AP194),(0))</f>
        <v>0</v>
      </c>
      <c r="BL194" s="769">
        <f>IF(BL$7=$Y194,(+BK194*$V194),(0))</f>
        <v>0</v>
      </c>
      <c r="BM194" s="769">
        <f>IF(BM$7=$Y194,(+$AR194+$AT194+$AV194),(0))</f>
        <v>0</v>
      </c>
      <c r="BN194" s="769">
        <f>IF(BN$7=$Y194,(+BM194*$V194),(0))</f>
        <v>0</v>
      </c>
      <c r="BO194" s="769">
        <f>IF(BO$7=$X194,($AY194+$BA194),(0))</f>
        <v>0</v>
      </c>
      <c r="BP194" s="769">
        <f>IF(BP$7=$X194,(+BO194*$V194),(0))</f>
        <v>0</v>
      </c>
    </row>
    <row r="195" spans="1:68" s="775" customFormat="1" ht="15.6">
      <c r="A195" s="762"/>
      <c r="B195" s="763"/>
      <c r="C195" s="763"/>
      <c r="D195" s="763"/>
      <c r="E195" s="763"/>
      <c r="F195" s="763"/>
      <c r="G195" s="689"/>
      <c r="H195" s="764"/>
      <c r="I195" s="763"/>
      <c r="J195" s="689"/>
      <c r="K195" s="764"/>
      <c r="L195" s="763"/>
      <c r="M195" s="689"/>
      <c r="N195" s="765"/>
      <c r="O195" s="776"/>
      <c r="P195" s="776"/>
      <c r="Q195" s="777"/>
      <c r="R195" s="762"/>
      <c r="S195" s="768"/>
      <c r="T195" s="769"/>
      <c r="U195" s="772"/>
      <c r="V195" s="771"/>
      <c r="W195" s="772"/>
      <c r="X195" s="773"/>
      <c r="Y195" s="773"/>
      <c r="Z195" s="772"/>
      <c r="AA195" s="772"/>
      <c r="AB195" s="772"/>
      <c r="AC195" s="772"/>
      <c r="AD195" s="772"/>
      <c r="AE195" s="772"/>
      <c r="AF195" s="774"/>
      <c r="AG195" s="772"/>
      <c r="AH195" s="772"/>
      <c r="AI195" s="769"/>
      <c r="AJ195" s="772"/>
      <c r="AK195" s="769"/>
      <c r="AL195" s="769"/>
      <c r="AM195" s="769"/>
      <c r="AN195" s="769"/>
      <c r="AO195" s="769"/>
      <c r="AP195" s="769"/>
      <c r="AQ195" s="769"/>
      <c r="AR195" s="769"/>
      <c r="AS195" s="769"/>
      <c r="AT195" s="769"/>
      <c r="AU195" s="769"/>
      <c r="AV195" s="769"/>
      <c r="AW195" s="769"/>
      <c r="AX195" s="769"/>
      <c r="AY195" s="769"/>
      <c r="AZ195" s="769"/>
      <c r="BA195" s="769"/>
      <c r="BB195" s="769"/>
      <c r="BC195" s="769"/>
      <c r="BD195" s="661"/>
      <c r="BF195" s="480"/>
      <c r="BG195" s="480"/>
      <c r="BH195" s="480"/>
      <c r="BI195" s="480"/>
      <c r="BJ195" s="480"/>
      <c r="BK195" s="769"/>
      <c r="BL195" s="769"/>
      <c r="BM195" s="769"/>
      <c r="BN195" s="769"/>
      <c r="BO195" s="769"/>
      <c r="BP195" s="769"/>
    </row>
    <row r="196" spans="1:68" s="775" customFormat="1" ht="15.6">
      <c r="A196" s="762"/>
      <c r="B196" s="763"/>
      <c r="C196" s="763"/>
      <c r="D196" s="763"/>
      <c r="E196" s="763"/>
      <c r="F196" s="763"/>
      <c r="G196" s="689"/>
      <c r="H196" s="764"/>
      <c r="I196" s="763"/>
      <c r="J196" s="689"/>
      <c r="K196" s="764"/>
      <c r="L196" s="763"/>
      <c r="M196" s="689"/>
      <c r="N196" s="765"/>
      <c r="O196" s="766">
        <v>24</v>
      </c>
      <c r="P196" s="766" t="s">
        <v>340</v>
      </c>
      <c r="Q196" s="767"/>
      <c r="R196" s="762"/>
      <c r="S196" s="768"/>
      <c r="T196" s="769"/>
      <c r="U196" s="770" t="s">
        <v>437</v>
      </c>
      <c r="V196" s="771"/>
      <c r="W196" s="772"/>
      <c r="X196" s="773"/>
      <c r="Y196" s="773"/>
      <c r="Z196" s="772"/>
      <c r="AA196" s="772"/>
      <c r="AB196" s="772"/>
      <c r="AC196" s="772"/>
      <c r="AD196" s="772"/>
      <c r="AE196" s="772"/>
      <c r="AF196" s="774"/>
      <c r="AG196" s="772"/>
      <c r="AH196" s="772"/>
      <c r="AI196" s="769"/>
      <c r="AJ196" s="772"/>
      <c r="AK196" s="769"/>
      <c r="AL196" s="769"/>
      <c r="AM196" s="769"/>
      <c r="AN196" s="769"/>
      <c r="AO196" s="769"/>
      <c r="AP196" s="769"/>
      <c r="AQ196" s="769"/>
      <c r="AR196" s="769"/>
      <c r="AS196" s="769"/>
      <c r="AT196" s="769"/>
      <c r="AU196" s="769"/>
      <c r="AV196" s="769"/>
      <c r="AW196" s="769"/>
      <c r="AX196" s="769"/>
      <c r="AY196" s="769"/>
      <c r="AZ196" s="769"/>
      <c r="BA196" s="769"/>
      <c r="BB196" s="769"/>
      <c r="BC196" s="769"/>
      <c r="BD196" s="661"/>
      <c r="BF196" s="480"/>
      <c r="BG196" s="480"/>
      <c r="BH196" s="480"/>
      <c r="BI196" s="480"/>
      <c r="BJ196" s="480"/>
      <c r="BK196" s="769"/>
      <c r="BL196" s="769"/>
      <c r="BM196" s="769"/>
      <c r="BN196" s="769"/>
      <c r="BO196" s="769"/>
      <c r="BP196" s="769"/>
    </row>
    <row r="197" spans="1:68" s="775" customFormat="1" ht="15.6">
      <c r="A197" s="762"/>
      <c r="B197" s="763"/>
      <c r="C197" s="763"/>
      <c r="D197" s="763"/>
      <c r="E197" s="763"/>
      <c r="F197" s="763"/>
      <c r="G197" s="689"/>
      <c r="H197" s="764"/>
      <c r="I197" s="763"/>
      <c r="J197" s="689"/>
      <c r="K197" s="764"/>
      <c r="L197" s="763"/>
      <c r="M197" s="689"/>
      <c r="N197" s="765"/>
      <c r="O197" s="776"/>
      <c r="P197" s="776"/>
      <c r="Q197" s="777"/>
      <c r="R197" s="762"/>
      <c r="S197" s="768"/>
      <c r="T197" s="769"/>
      <c r="U197" s="772"/>
      <c r="V197" s="771"/>
      <c r="W197" s="772"/>
      <c r="X197" s="773"/>
      <c r="Y197" s="773"/>
      <c r="Z197" s="772"/>
      <c r="AA197" s="772"/>
      <c r="AB197" s="772"/>
      <c r="AC197" s="772"/>
      <c r="AD197" s="772"/>
      <c r="AE197" s="772"/>
      <c r="AF197" s="774"/>
      <c r="AG197" s="772"/>
      <c r="AH197" s="772"/>
      <c r="AI197" s="769"/>
      <c r="AJ197" s="772"/>
      <c r="AK197" s="769"/>
      <c r="AL197" s="769"/>
      <c r="AM197" s="769"/>
      <c r="AN197" s="769"/>
      <c r="AO197" s="769"/>
      <c r="AP197" s="769"/>
      <c r="AQ197" s="769"/>
      <c r="AR197" s="769"/>
      <c r="AS197" s="769"/>
      <c r="AT197" s="769"/>
      <c r="AU197" s="769"/>
      <c r="AV197" s="769"/>
      <c r="AW197" s="769"/>
      <c r="AX197" s="769"/>
      <c r="AY197" s="769"/>
      <c r="AZ197" s="769"/>
      <c r="BA197" s="769"/>
      <c r="BB197" s="769"/>
      <c r="BC197" s="769"/>
      <c r="BD197" s="661"/>
      <c r="BF197" s="480"/>
      <c r="BG197" s="480"/>
      <c r="BH197" s="480"/>
      <c r="BI197" s="480"/>
      <c r="BJ197" s="480"/>
      <c r="BK197" s="769"/>
      <c r="BL197" s="769"/>
      <c r="BM197" s="769"/>
      <c r="BN197" s="769"/>
      <c r="BO197" s="769"/>
      <c r="BP197" s="769"/>
    </row>
    <row r="198" spans="1:68" s="775" customFormat="1" ht="15.6">
      <c r="A198" s="762"/>
      <c r="B198" s="763">
        <v>0</v>
      </c>
      <c r="C198" s="763">
        <v>0</v>
      </c>
      <c r="D198" s="763">
        <v>0</v>
      </c>
      <c r="E198" s="763">
        <v>0</v>
      </c>
      <c r="F198" s="763">
        <v>0</v>
      </c>
      <c r="G198" s="689">
        <f>+G$4</f>
        <v>0</v>
      </c>
      <c r="H198" s="764">
        <f>AM198+AN198</f>
        <v>0</v>
      </c>
      <c r="I198" s="763">
        <v>0</v>
      </c>
      <c r="J198" s="689">
        <f>+J$4</f>
        <v>0</v>
      </c>
      <c r="K198" s="764">
        <f>AR198+AT198+AV198+AX198</f>
        <v>0</v>
      </c>
      <c r="L198" s="763">
        <v>0</v>
      </c>
      <c r="M198" s="689">
        <f>+M$4</f>
        <v>0</v>
      </c>
      <c r="N198" s="765"/>
      <c r="O198" s="776"/>
      <c r="P198" s="776"/>
      <c r="Q198" s="777" t="s">
        <v>341</v>
      </c>
      <c r="R198" s="762" t="s">
        <v>96</v>
      </c>
      <c r="S198" s="768">
        <v>1</v>
      </c>
      <c r="T198" s="769">
        <f t="shared" ref="T198:T201" si="702">_xlfn.IFNA(ROUNDUP(AF198+AJ198+AO198+AQ198+L198+AS198+AU198+AW198+F198+AZ198+BB198,2),0)</f>
        <v>0</v>
      </c>
      <c r="U198" s="772">
        <f t="shared" ref="U198:U201" si="703">ROUND(T198*ROUNDUP(S198,1),2)</f>
        <v>0</v>
      </c>
      <c r="V198" s="771">
        <v>0</v>
      </c>
      <c r="W198" s="772">
        <f t="shared" ref="W198:W201" si="704">ROUND(+U198*V198,2)</f>
        <v>0</v>
      </c>
      <c r="X198" s="773"/>
      <c r="Y198" s="773"/>
      <c r="Z198" s="772">
        <f t="shared" ref="Z198:Z201" si="705">_xlfn.IFNA(ROUNDUP(AJ198*U198,2),0)</f>
        <v>0</v>
      </c>
      <c r="AA198" s="772">
        <f t="shared" ref="AA198:AA201" si="706">_xlfn.IFNA(ROUNDUP(AK198*V198,2),0)</f>
        <v>0</v>
      </c>
      <c r="AB198" s="772">
        <f t="shared" ref="AB198:AB201" si="707">ROUNDUP((AP198+AL198)*V198,2)</f>
        <v>0</v>
      </c>
      <c r="AC198" s="772">
        <f t="shared" ref="AC198:AC201" si="708">_xlfn.IFNA(ROUNDUP((AT198+AV198+AR198)*V198,2),0)</f>
        <v>0</v>
      </c>
      <c r="AD198" s="772">
        <f t="shared" ref="AD198:AD201" si="709">_xlfn.IFNA(ROUNDUP((BA198+AY198)*V198,2),0)</f>
        <v>0</v>
      </c>
      <c r="AE198" s="772">
        <f t="shared" ref="AE198:AE201" si="710">_xlfn.IFNA((BC198+AX198+AG198)*V198,0)</f>
        <v>0</v>
      </c>
      <c r="AF198" s="774">
        <f t="shared" ref="AF198:AF201" si="711">+_xlfn.IFNA(D198,0)</f>
        <v>0</v>
      </c>
      <c r="AG198" s="772">
        <f t="shared" ref="AG198:AG201" si="712">_xlfn.IFNA(ROUNDUP(D198*S198,2),0)</f>
        <v>0</v>
      </c>
      <c r="AH198" s="772">
        <f t="shared" ref="AH198:AH201" si="713">+_xlfn.IFNA(C198,0)</f>
        <v>0</v>
      </c>
      <c r="AI198" s="769">
        <f t="shared" ref="AI198:AI201" si="714">_xlfn.IFNA(C198*S198,0)</f>
        <v>0</v>
      </c>
      <c r="AJ198" s="772">
        <f t="shared" ref="AJ198:AJ201" si="715">+_xlfn.IFNA(E198,0)</f>
        <v>0</v>
      </c>
      <c r="AK198" s="769">
        <f t="shared" ref="AK198:AK201" si="716">_xlfn.IFNA(E198*S198,0)</f>
        <v>0</v>
      </c>
      <c r="AL198" s="769">
        <f t="shared" ref="AL198:AL201" si="717">ROUNDUP(S198*AQ198,2)</f>
        <v>0</v>
      </c>
      <c r="AM198" s="769">
        <f t="shared" ref="AM198:AM201" si="718">ROUNDUP(+I198*S198,2)</f>
        <v>0</v>
      </c>
      <c r="AN198" s="769">
        <f t="shared" ref="AN198:AN201" si="719">J198*I198*S198</f>
        <v>0</v>
      </c>
      <c r="AO198" s="769">
        <f t="shared" ref="AO198:AO201" si="720">ROUNDUP(I198*I$4*J198,2)</f>
        <v>0</v>
      </c>
      <c r="AP198" s="769">
        <f t="shared" ref="AP198:AP201" si="721">AO198*S198</f>
        <v>0</v>
      </c>
      <c r="AQ198" s="769">
        <f t="shared" ref="AQ198:AQ201" si="722">IF(I198=0,0,ROUNDUP(I$4*I198,2))</f>
        <v>0</v>
      </c>
      <c r="AR198" s="769">
        <f t="shared" ref="AR198:AR201" si="723">+_xlfn.IFNA(ROUNDUP(L198*ROUNDUP(S198,1),2),0)</f>
        <v>0</v>
      </c>
      <c r="AS198" s="769">
        <v>0</v>
      </c>
      <c r="AT198" s="769">
        <f t="shared" ref="AT198:AT201" si="724">+ROUNDUP(AS198*S198,2)</f>
        <v>0</v>
      </c>
      <c r="AU198" s="769">
        <f t="shared" ref="AU198:AU201" si="725">_xlfn.IFNA(ROUNDUP((L198+AS198)*M198,2),0)</f>
        <v>0</v>
      </c>
      <c r="AV198" s="769">
        <f t="shared" ref="AV198:AV201" si="726">ROUNDUP(AU198*S198,2)</f>
        <v>0</v>
      </c>
      <c r="AW198" s="769">
        <f t="shared" ref="AW198:AW201" si="727">_xlfn.IFNA(ROUNDUP((L198+AS198+AU198)*(L$4)*L$3,2),0)</f>
        <v>0</v>
      </c>
      <c r="AX198" s="769">
        <f t="shared" ref="AX198:AX201" si="728">ROUNDUP(+AW198*ROUNDUP(S198,1),2)</f>
        <v>0</v>
      </c>
      <c r="AY198" s="769">
        <f t="shared" ref="AY198:AY201" si="729">_xlfn.IFNA(ROUNDUP(F198*S198,2),0)</f>
        <v>0</v>
      </c>
      <c r="AZ198" s="769">
        <f t="shared" ref="AZ198:AZ201" si="730">_xlfn.IFNA(ROUNDUP(F198*G198,2),0)</f>
        <v>0</v>
      </c>
      <c r="BA198" s="769">
        <f t="shared" ref="BA198:BA201" si="731">ROUNDUP(AZ198*S198,2)</f>
        <v>0</v>
      </c>
      <c r="BB198" s="769">
        <f t="shared" ref="BB198:BB201" si="732">_xlfn.IFNA(ROUNDUP((ROUNDUP(F198+AZ198,2)*F$4)*F$3,2),0)</f>
        <v>0</v>
      </c>
      <c r="BC198" s="769">
        <f t="shared" ref="BC198:BC201" si="733">BB198*S198</f>
        <v>0</v>
      </c>
      <c r="BD198" s="661"/>
      <c r="BF198" s="480"/>
      <c r="BG198" s="480"/>
      <c r="BH198" s="480"/>
      <c r="BI198" s="480"/>
      <c r="BJ198" s="480"/>
      <c r="BK198" s="769">
        <f>IF(BK$7=$Y198,(+$AL198+$AP198),(0))</f>
        <v>0</v>
      </c>
      <c r="BL198" s="769">
        <f>IF(BL$7=$Y198,(+BK198*$V198),(0))</f>
        <v>0</v>
      </c>
      <c r="BM198" s="769">
        <f>IF(BM$7=$Y198,(+$AR198+$AT198+$AV198),(0))</f>
        <v>0</v>
      </c>
      <c r="BN198" s="769">
        <f>IF(BN$7=$Y198,(+BM198*$V198),(0))</f>
        <v>0</v>
      </c>
      <c r="BO198" s="769">
        <f>IF(BO$7=$X198,($AY198+$BA198),(0))</f>
        <v>0</v>
      </c>
      <c r="BP198" s="769">
        <f>IF(BP$7=$X198,(+BO198*$V198),(0))</f>
        <v>0</v>
      </c>
    </row>
    <row r="199" spans="1:68" s="775" customFormat="1" ht="15.6">
      <c r="A199" s="762"/>
      <c r="B199" s="763">
        <v>0</v>
      </c>
      <c r="C199" s="763">
        <v>0</v>
      </c>
      <c r="D199" s="763">
        <v>0</v>
      </c>
      <c r="E199" s="763">
        <v>0</v>
      </c>
      <c r="F199" s="763">
        <v>0</v>
      </c>
      <c r="G199" s="689">
        <f>+G$4</f>
        <v>0</v>
      </c>
      <c r="H199" s="764">
        <f>AM199+AN199</f>
        <v>0</v>
      </c>
      <c r="I199" s="763">
        <v>0</v>
      </c>
      <c r="J199" s="689">
        <f>+J$4</f>
        <v>0</v>
      </c>
      <c r="K199" s="764">
        <f>AR199+AT199+AV199+AX199</f>
        <v>0</v>
      </c>
      <c r="L199" s="763">
        <v>0</v>
      </c>
      <c r="M199" s="689">
        <f>+M$4</f>
        <v>0</v>
      </c>
      <c r="N199" s="765"/>
      <c r="O199" s="776"/>
      <c r="P199" s="776"/>
      <c r="Q199" s="777" t="s">
        <v>342</v>
      </c>
      <c r="R199" s="762" t="s">
        <v>211</v>
      </c>
      <c r="S199" s="768">
        <v>1</v>
      </c>
      <c r="T199" s="769">
        <f t="shared" si="702"/>
        <v>0</v>
      </c>
      <c r="U199" s="772">
        <f t="shared" si="703"/>
        <v>0</v>
      </c>
      <c r="V199" s="771">
        <v>0</v>
      </c>
      <c r="W199" s="772">
        <f t="shared" si="704"/>
        <v>0</v>
      </c>
      <c r="X199" s="773"/>
      <c r="Y199" s="773"/>
      <c r="Z199" s="772">
        <f t="shared" si="705"/>
        <v>0</v>
      </c>
      <c r="AA199" s="772">
        <f t="shared" si="706"/>
        <v>0</v>
      </c>
      <c r="AB199" s="772">
        <f t="shared" si="707"/>
        <v>0</v>
      </c>
      <c r="AC199" s="772">
        <f t="shared" si="708"/>
        <v>0</v>
      </c>
      <c r="AD199" s="772">
        <f t="shared" si="709"/>
        <v>0</v>
      </c>
      <c r="AE199" s="772">
        <f t="shared" si="710"/>
        <v>0</v>
      </c>
      <c r="AF199" s="774">
        <f t="shared" si="711"/>
        <v>0</v>
      </c>
      <c r="AG199" s="772">
        <f t="shared" si="712"/>
        <v>0</v>
      </c>
      <c r="AH199" s="772">
        <f t="shared" si="713"/>
        <v>0</v>
      </c>
      <c r="AI199" s="769">
        <f t="shared" si="714"/>
        <v>0</v>
      </c>
      <c r="AJ199" s="772">
        <f t="shared" si="715"/>
        <v>0</v>
      </c>
      <c r="AK199" s="769">
        <f t="shared" si="716"/>
        <v>0</v>
      </c>
      <c r="AL199" s="769">
        <f t="shared" si="717"/>
        <v>0</v>
      </c>
      <c r="AM199" s="769">
        <f t="shared" si="718"/>
        <v>0</v>
      </c>
      <c r="AN199" s="769">
        <f t="shared" si="719"/>
        <v>0</v>
      </c>
      <c r="AO199" s="769">
        <f t="shared" si="720"/>
        <v>0</v>
      </c>
      <c r="AP199" s="769">
        <f t="shared" si="721"/>
        <v>0</v>
      </c>
      <c r="AQ199" s="769">
        <f t="shared" si="722"/>
        <v>0</v>
      </c>
      <c r="AR199" s="769">
        <f t="shared" si="723"/>
        <v>0</v>
      </c>
      <c r="AS199" s="769">
        <v>0</v>
      </c>
      <c r="AT199" s="769">
        <f t="shared" si="724"/>
        <v>0</v>
      </c>
      <c r="AU199" s="769">
        <f t="shared" si="725"/>
        <v>0</v>
      </c>
      <c r="AV199" s="769">
        <f t="shared" si="726"/>
        <v>0</v>
      </c>
      <c r="AW199" s="769">
        <f t="shared" si="727"/>
        <v>0</v>
      </c>
      <c r="AX199" s="769">
        <f t="shared" si="728"/>
        <v>0</v>
      </c>
      <c r="AY199" s="769">
        <f t="shared" si="729"/>
        <v>0</v>
      </c>
      <c r="AZ199" s="769">
        <f t="shared" si="730"/>
        <v>0</v>
      </c>
      <c r="BA199" s="769">
        <f t="shared" si="731"/>
        <v>0</v>
      </c>
      <c r="BB199" s="769">
        <f t="shared" si="732"/>
        <v>0</v>
      </c>
      <c r="BC199" s="769">
        <f t="shared" si="733"/>
        <v>0</v>
      </c>
      <c r="BD199" s="661"/>
      <c r="BF199" s="480"/>
      <c r="BG199" s="480"/>
      <c r="BH199" s="480"/>
      <c r="BI199" s="480"/>
      <c r="BJ199" s="480"/>
      <c r="BK199" s="769">
        <f>IF(BK$7=$Y199,(+$AL199+$AP199),(0))</f>
        <v>0</v>
      </c>
      <c r="BL199" s="769">
        <f>IF(BL$7=$Y199,(+BK199*$V199),(0))</f>
        <v>0</v>
      </c>
      <c r="BM199" s="769">
        <f>IF(BM$7=$Y199,(+$AR199+$AT199+$AV199),(0))</f>
        <v>0</v>
      </c>
      <c r="BN199" s="769">
        <f>IF(BN$7=$Y199,(+BM199*$V199),(0))</f>
        <v>0</v>
      </c>
      <c r="BO199" s="769">
        <f>IF(BO$7=$X199,($AY199+$BA199),(0))</f>
        <v>0</v>
      </c>
      <c r="BP199" s="769">
        <f>IF(BP$7=$X199,(+BO199*$V199),(0))</f>
        <v>0</v>
      </c>
    </row>
    <row r="200" spans="1:68" s="775" customFormat="1" ht="15.6">
      <c r="A200" s="762"/>
      <c r="B200" s="763">
        <v>0</v>
      </c>
      <c r="C200" s="763">
        <v>0</v>
      </c>
      <c r="D200" s="763">
        <v>0</v>
      </c>
      <c r="E200" s="763">
        <v>0</v>
      </c>
      <c r="F200" s="763">
        <v>0</v>
      </c>
      <c r="G200" s="689">
        <f>+G$4</f>
        <v>0</v>
      </c>
      <c r="H200" s="764">
        <f>AM200+AN200</f>
        <v>0</v>
      </c>
      <c r="I200" s="763">
        <v>0</v>
      </c>
      <c r="J200" s="689">
        <f>+J$4</f>
        <v>0</v>
      </c>
      <c r="K200" s="764">
        <f>AR200+AT200+AV200+AX200</f>
        <v>0</v>
      </c>
      <c r="L200" s="763">
        <v>0</v>
      </c>
      <c r="M200" s="689">
        <f>+M$4</f>
        <v>0</v>
      </c>
      <c r="N200" s="765"/>
      <c r="O200" s="776"/>
      <c r="P200" s="776"/>
      <c r="Q200" s="777" t="s">
        <v>343</v>
      </c>
      <c r="R200" s="762" t="s">
        <v>96</v>
      </c>
      <c r="S200" s="768">
        <v>1</v>
      </c>
      <c r="T200" s="769">
        <f t="shared" si="702"/>
        <v>0</v>
      </c>
      <c r="U200" s="772">
        <f t="shared" si="703"/>
        <v>0</v>
      </c>
      <c r="V200" s="771">
        <v>0</v>
      </c>
      <c r="W200" s="772">
        <f t="shared" si="704"/>
        <v>0</v>
      </c>
      <c r="X200" s="773"/>
      <c r="Y200" s="773"/>
      <c r="Z200" s="772">
        <f t="shared" si="705"/>
        <v>0</v>
      </c>
      <c r="AA200" s="772">
        <f t="shared" si="706"/>
        <v>0</v>
      </c>
      <c r="AB200" s="772">
        <f t="shared" si="707"/>
        <v>0</v>
      </c>
      <c r="AC200" s="772">
        <f t="shared" si="708"/>
        <v>0</v>
      </c>
      <c r="AD200" s="772">
        <f t="shared" si="709"/>
        <v>0</v>
      </c>
      <c r="AE200" s="772">
        <f t="shared" si="710"/>
        <v>0</v>
      </c>
      <c r="AF200" s="774">
        <f t="shared" si="711"/>
        <v>0</v>
      </c>
      <c r="AG200" s="772">
        <f t="shared" si="712"/>
        <v>0</v>
      </c>
      <c r="AH200" s="772">
        <f t="shared" si="713"/>
        <v>0</v>
      </c>
      <c r="AI200" s="769">
        <f t="shared" si="714"/>
        <v>0</v>
      </c>
      <c r="AJ200" s="772">
        <f t="shared" si="715"/>
        <v>0</v>
      </c>
      <c r="AK200" s="769">
        <f t="shared" si="716"/>
        <v>0</v>
      </c>
      <c r="AL200" s="769">
        <f t="shared" si="717"/>
        <v>0</v>
      </c>
      <c r="AM200" s="769">
        <f t="shared" si="718"/>
        <v>0</v>
      </c>
      <c r="AN200" s="769">
        <f t="shared" si="719"/>
        <v>0</v>
      </c>
      <c r="AO200" s="769">
        <f t="shared" si="720"/>
        <v>0</v>
      </c>
      <c r="AP200" s="769">
        <f t="shared" si="721"/>
        <v>0</v>
      </c>
      <c r="AQ200" s="769">
        <f t="shared" si="722"/>
        <v>0</v>
      </c>
      <c r="AR200" s="769">
        <f t="shared" si="723"/>
        <v>0</v>
      </c>
      <c r="AS200" s="769">
        <v>0</v>
      </c>
      <c r="AT200" s="769">
        <f t="shared" si="724"/>
        <v>0</v>
      </c>
      <c r="AU200" s="769">
        <f t="shared" si="725"/>
        <v>0</v>
      </c>
      <c r="AV200" s="769">
        <f t="shared" si="726"/>
        <v>0</v>
      </c>
      <c r="AW200" s="769">
        <f t="shared" si="727"/>
        <v>0</v>
      </c>
      <c r="AX200" s="769">
        <f t="shared" si="728"/>
        <v>0</v>
      </c>
      <c r="AY200" s="769">
        <f t="shared" si="729"/>
        <v>0</v>
      </c>
      <c r="AZ200" s="769">
        <f t="shared" si="730"/>
        <v>0</v>
      </c>
      <c r="BA200" s="769">
        <f t="shared" si="731"/>
        <v>0</v>
      </c>
      <c r="BB200" s="769">
        <f t="shared" si="732"/>
        <v>0</v>
      </c>
      <c r="BC200" s="769">
        <f t="shared" si="733"/>
        <v>0</v>
      </c>
      <c r="BD200" s="661"/>
      <c r="BF200" s="480"/>
      <c r="BG200" s="480"/>
      <c r="BH200" s="480"/>
      <c r="BI200" s="480"/>
      <c r="BJ200" s="480"/>
      <c r="BK200" s="769">
        <f>IF(BK$7=$Y200,(+$AL200+$AP200),(0))</f>
        <v>0</v>
      </c>
      <c r="BL200" s="769">
        <f>IF(BL$7=$Y200,(+BK200*$V200),(0))</f>
        <v>0</v>
      </c>
      <c r="BM200" s="769">
        <f>IF(BM$7=$Y200,(+$AR200+$AT200+$AV200),(0))</f>
        <v>0</v>
      </c>
      <c r="BN200" s="769">
        <f>IF(BN$7=$Y200,(+BM200*$V200),(0))</f>
        <v>0</v>
      </c>
      <c r="BO200" s="769">
        <f>IF(BO$7=$X200,($AY200+$BA200),(0))</f>
        <v>0</v>
      </c>
      <c r="BP200" s="769">
        <f>IF(BP$7=$X200,(+BO200*$V200),(0))</f>
        <v>0</v>
      </c>
    </row>
    <row r="201" spans="1:68" s="775" customFormat="1" ht="15.6">
      <c r="A201" s="762"/>
      <c r="B201" s="763">
        <v>0</v>
      </c>
      <c r="C201" s="763">
        <v>0</v>
      </c>
      <c r="D201" s="763">
        <v>0</v>
      </c>
      <c r="E201" s="763">
        <v>0</v>
      </c>
      <c r="F201" s="763">
        <v>0</v>
      </c>
      <c r="G201" s="689">
        <f>+G$4</f>
        <v>0</v>
      </c>
      <c r="H201" s="764">
        <f>AM201+AN201</f>
        <v>0</v>
      </c>
      <c r="I201" s="763">
        <v>0</v>
      </c>
      <c r="J201" s="689">
        <f>+J$4</f>
        <v>0</v>
      </c>
      <c r="K201" s="764">
        <f>AR201+AT201+AV201+AX201</f>
        <v>0</v>
      </c>
      <c r="L201" s="763">
        <v>0</v>
      </c>
      <c r="M201" s="689">
        <f>+M$4</f>
        <v>0</v>
      </c>
      <c r="N201" s="765"/>
      <c r="O201" s="776"/>
      <c r="P201" s="776"/>
      <c r="Q201" s="777" t="s">
        <v>344</v>
      </c>
      <c r="R201" s="762" t="s">
        <v>96</v>
      </c>
      <c r="S201" s="768">
        <v>1</v>
      </c>
      <c r="T201" s="769">
        <f t="shared" si="702"/>
        <v>0</v>
      </c>
      <c r="U201" s="772">
        <f t="shared" si="703"/>
        <v>0</v>
      </c>
      <c r="V201" s="771">
        <v>0</v>
      </c>
      <c r="W201" s="772">
        <f t="shared" si="704"/>
        <v>0</v>
      </c>
      <c r="X201" s="773"/>
      <c r="Y201" s="773"/>
      <c r="Z201" s="772">
        <f t="shared" si="705"/>
        <v>0</v>
      </c>
      <c r="AA201" s="772">
        <f t="shared" si="706"/>
        <v>0</v>
      </c>
      <c r="AB201" s="772">
        <f t="shared" si="707"/>
        <v>0</v>
      </c>
      <c r="AC201" s="772">
        <f t="shared" si="708"/>
        <v>0</v>
      </c>
      <c r="AD201" s="772">
        <f t="shared" si="709"/>
        <v>0</v>
      </c>
      <c r="AE201" s="772">
        <f t="shared" si="710"/>
        <v>0</v>
      </c>
      <c r="AF201" s="774">
        <f t="shared" si="711"/>
        <v>0</v>
      </c>
      <c r="AG201" s="772">
        <f t="shared" si="712"/>
        <v>0</v>
      </c>
      <c r="AH201" s="772">
        <f t="shared" si="713"/>
        <v>0</v>
      </c>
      <c r="AI201" s="769">
        <f t="shared" si="714"/>
        <v>0</v>
      </c>
      <c r="AJ201" s="772">
        <f t="shared" si="715"/>
        <v>0</v>
      </c>
      <c r="AK201" s="769">
        <f t="shared" si="716"/>
        <v>0</v>
      </c>
      <c r="AL201" s="769">
        <f t="shared" si="717"/>
        <v>0</v>
      </c>
      <c r="AM201" s="769">
        <f t="shared" si="718"/>
        <v>0</v>
      </c>
      <c r="AN201" s="769">
        <f t="shared" si="719"/>
        <v>0</v>
      </c>
      <c r="AO201" s="769">
        <f t="shared" si="720"/>
        <v>0</v>
      </c>
      <c r="AP201" s="769">
        <f t="shared" si="721"/>
        <v>0</v>
      </c>
      <c r="AQ201" s="769">
        <f t="shared" si="722"/>
        <v>0</v>
      </c>
      <c r="AR201" s="769">
        <f t="shared" si="723"/>
        <v>0</v>
      </c>
      <c r="AS201" s="769">
        <v>0</v>
      </c>
      <c r="AT201" s="769">
        <f t="shared" si="724"/>
        <v>0</v>
      </c>
      <c r="AU201" s="769">
        <f t="shared" si="725"/>
        <v>0</v>
      </c>
      <c r="AV201" s="769">
        <f t="shared" si="726"/>
        <v>0</v>
      </c>
      <c r="AW201" s="769">
        <f t="shared" si="727"/>
        <v>0</v>
      </c>
      <c r="AX201" s="769">
        <f t="shared" si="728"/>
        <v>0</v>
      </c>
      <c r="AY201" s="769">
        <f t="shared" si="729"/>
        <v>0</v>
      </c>
      <c r="AZ201" s="769">
        <f t="shared" si="730"/>
        <v>0</v>
      </c>
      <c r="BA201" s="769">
        <f t="shared" si="731"/>
        <v>0</v>
      </c>
      <c r="BB201" s="769">
        <f t="shared" si="732"/>
        <v>0</v>
      </c>
      <c r="BC201" s="769">
        <f t="shared" si="733"/>
        <v>0</v>
      </c>
      <c r="BD201" s="661"/>
      <c r="BF201" s="480"/>
      <c r="BG201" s="480"/>
      <c r="BH201" s="480"/>
      <c r="BI201" s="480"/>
      <c r="BJ201" s="480"/>
      <c r="BK201" s="769">
        <f>IF(BK$7=$Y201,(+$AL201+$AP201),(0))</f>
        <v>0</v>
      </c>
      <c r="BL201" s="769">
        <f>IF(BL$7=$Y201,(+BK201*$V201),(0))</f>
        <v>0</v>
      </c>
      <c r="BM201" s="769">
        <f>IF(BM$7=$Y201,(+$AR201+$AT201+$AV201),(0))</f>
        <v>0</v>
      </c>
      <c r="BN201" s="769">
        <f>IF(BN$7=$Y201,(+BM201*$V201),(0))</f>
        <v>0</v>
      </c>
      <c r="BO201" s="769">
        <f>IF(BO$7=$X201,($AY201+$BA201),(0))</f>
        <v>0</v>
      </c>
      <c r="BP201" s="769">
        <f>IF(BP$7=$X201,(+BO201*$V201),(0))</f>
        <v>0</v>
      </c>
    </row>
    <row r="202" spans="1:68" s="775" customFormat="1" ht="15.6">
      <c r="A202" s="762"/>
      <c r="B202" s="763"/>
      <c r="C202" s="763"/>
      <c r="D202" s="763"/>
      <c r="E202" s="763"/>
      <c r="F202" s="763"/>
      <c r="G202" s="689"/>
      <c r="H202" s="764"/>
      <c r="I202" s="763"/>
      <c r="J202" s="689"/>
      <c r="K202" s="764"/>
      <c r="L202" s="763"/>
      <c r="M202" s="689"/>
      <c r="N202" s="765"/>
      <c r="O202" s="776"/>
      <c r="P202" s="776"/>
      <c r="Q202" s="777"/>
      <c r="R202" s="762"/>
      <c r="S202" s="768"/>
      <c r="T202" s="769"/>
      <c r="U202" s="772"/>
      <c r="V202" s="771"/>
      <c r="W202" s="772"/>
      <c r="X202" s="773"/>
      <c r="Y202" s="773"/>
      <c r="Z202" s="772"/>
      <c r="AA202" s="772"/>
      <c r="AB202" s="772"/>
      <c r="AC202" s="772"/>
      <c r="AD202" s="772"/>
      <c r="AE202" s="772"/>
      <c r="AF202" s="774"/>
      <c r="AG202" s="772"/>
      <c r="AH202" s="772"/>
      <c r="AI202" s="769"/>
      <c r="AJ202" s="772"/>
      <c r="AK202" s="769"/>
      <c r="AL202" s="769"/>
      <c r="AM202" s="769"/>
      <c r="AN202" s="769"/>
      <c r="AO202" s="769"/>
      <c r="AP202" s="769"/>
      <c r="AQ202" s="769"/>
      <c r="AR202" s="769"/>
      <c r="AS202" s="769"/>
      <c r="AT202" s="769"/>
      <c r="AU202" s="769"/>
      <c r="AV202" s="769"/>
      <c r="AW202" s="769"/>
      <c r="AX202" s="769"/>
      <c r="AY202" s="769"/>
      <c r="AZ202" s="769"/>
      <c r="BA202" s="769"/>
      <c r="BB202" s="769"/>
      <c r="BC202" s="769"/>
      <c r="BD202" s="661"/>
      <c r="BF202" s="480"/>
      <c r="BG202" s="480"/>
      <c r="BH202" s="480"/>
      <c r="BI202" s="480"/>
      <c r="BJ202" s="480"/>
      <c r="BK202" s="769"/>
      <c r="BL202" s="769"/>
      <c r="BM202" s="769"/>
      <c r="BN202" s="769"/>
      <c r="BO202" s="769"/>
      <c r="BP202" s="769"/>
    </row>
    <row r="203" spans="1:68" s="775" customFormat="1" ht="15.6">
      <c r="A203" s="762"/>
      <c r="B203" s="763"/>
      <c r="C203" s="763"/>
      <c r="D203" s="763"/>
      <c r="E203" s="763"/>
      <c r="F203" s="763"/>
      <c r="G203" s="689"/>
      <c r="H203" s="764"/>
      <c r="I203" s="763"/>
      <c r="J203" s="689"/>
      <c r="K203" s="764"/>
      <c r="L203" s="763"/>
      <c r="M203" s="689"/>
      <c r="N203" s="765"/>
      <c r="O203" s="766">
        <v>25</v>
      </c>
      <c r="P203" s="766" t="s">
        <v>345</v>
      </c>
      <c r="Q203" s="767"/>
      <c r="R203" s="762"/>
      <c r="S203" s="768"/>
      <c r="T203" s="769"/>
      <c r="U203" s="770" t="s">
        <v>437</v>
      </c>
      <c r="V203" s="771"/>
      <c r="W203" s="772"/>
      <c r="X203" s="773"/>
      <c r="Y203" s="773"/>
      <c r="Z203" s="772"/>
      <c r="AA203" s="772"/>
      <c r="AB203" s="772"/>
      <c r="AC203" s="772"/>
      <c r="AD203" s="772"/>
      <c r="AE203" s="772"/>
      <c r="AF203" s="774"/>
      <c r="AG203" s="772"/>
      <c r="AH203" s="772"/>
      <c r="AI203" s="769"/>
      <c r="AJ203" s="772"/>
      <c r="AK203" s="769"/>
      <c r="AL203" s="769"/>
      <c r="AM203" s="769"/>
      <c r="AN203" s="769"/>
      <c r="AO203" s="769"/>
      <c r="AP203" s="769"/>
      <c r="AQ203" s="769"/>
      <c r="AR203" s="769"/>
      <c r="AS203" s="769"/>
      <c r="AT203" s="769"/>
      <c r="AU203" s="769"/>
      <c r="AV203" s="769"/>
      <c r="AW203" s="769"/>
      <c r="AX203" s="769"/>
      <c r="AY203" s="769"/>
      <c r="AZ203" s="769"/>
      <c r="BA203" s="769"/>
      <c r="BB203" s="769"/>
      <c r="BC203" s="769"/>
      <c r="BD203" s="661"/>
      <c r="BF203" s="480"/>
      <c r="BG203" s="480"/>
      <c r="BH203" s="480"/>
      <c r="BI203" s="480"/>
      <c r="BJ203" s="480"/>
      <c r="BK203" s="769"/>
      <c r="BL203" s="769"/>
      <c r="BM203" s="769"/>
      <c r="BN203" s="769"/>
      <c r="BO203" s="769"/>
      <c r="BP203" s="769"/>
    </row>
    <row r="204" spans="1:68" s="775" customFormat="1" ht="15.6">
      <c r="A204" s="762"/>
      <c r="B204" s="763"/>
      <c r="C204" s="763"/>
      <c r="D204" s="763"/>
      <c r="E204" s="763"/>
      <c r="F204" s="763"/>
      <c r="G204" s="689"/>
      <c r="H204" s="764"/>
      <c r="I204" s="763"/>
      <c r="J204" s="689"/>
      <c r="K204" s="764"/>
      <c r="L204" s="763"/>
      <c r="M204" s="689"/>
      <c r="N204" s="765"/>
      <c r="O204" s="776"/>
      <c r="P204" s="776"/>
      <c r="Q204" s="777"/>
      <c r="R204" s="762"/>
      <c r="S204" s="768"/>
      <c r="T204" s="769"/>
      <c r="U204" s="772"/>
      <c r="V204" s="771"/>
      <c r="W204" s="772"/>
      <c r="X204" s="773"/>
      <c r="Y204" s="773"/>
      <c r="Z204" s="772"/>
      <c r="AA204" s="772"/>
      <c r="AB204" s="772"/>
      <c r="AC204" s="772"/>
      <c r="AD204" s="772"/>
      <c r="AE204" s="772"/>
      <c r="AF204" s="774"/>
      <c r="AG204" s="772"/>
      <c r="AH204" s="772"/>
      <c r="AI204" s="769"/>
      <c r="AJ204" s="772"/>
      <c r="AK204" s="769"/>
      <c r="AL204" s="769"/>
      <c r="AM204" s="769"/>
      <c r="AN204" s="769"/>
      <c r="AO204" s="769"/>
      <c r="AP204" s="769"/>
      <c r="AQ204" s="769"/>
      <c r="AR204" s="769"/>
      <c r="AS204" s="769"/>
      <c r="AT204" s="769"/>
      <c r="AU204" s="769"/>
      <c r="AV204" s="769"/>
      <c r="AW204" s="769"/>
      <c r="AX204" s="769"/>
      <c r="AY204" s="769"/>
      <c r="AZ204" s="769"/>
      <c r="BA204" s="769"/>
      <c r="BB204" s="769"/>
      <c r="BC204" s="769"/>
      <c r="BD204" s="661"/>
      <c r="BF204" s="480"/>
      <c r="BG204" s="480"/>
      <c r="BH204" s="480"/>
      <c r="BI204" s="480"/>
      <c r="BJ204" s="480"/>
      <c r="BK204" s="769"/>
      <c r="BL204" s="769"/>
      <c r="BM204" s="769"/>
      <c r="BN204" s="769"/>
      <c r="BO204" s="769"/>
      <c r="BP204" s="769"/>
    </row>
    <row r="205" spans="1:68" s="775" customFormat="1" ht="15.6">
      <c r="A205" s="762"/>
      <c r="B205" s="763">
        <v>0</v>
      </c>
      <c r="C205" s="763">
        <v>0</v>
      </c>
      <c r="D205" s="763">
        <v>0</v>
      </c>
      <c r="E205" s="763">
        <v>0</v>
      </c>
      <c r="F205" s="763">
        <v>0</v>
      </c>
      <c r="G205" s="689">
        <f>+G$4</f>
        <v>0</v>
      </c>
      <c r="H205" s="764">
        <f>AM205+AN205</f>
        <v>0</v>
      </c>
      <c r="I205" s="763">
        <v>0</v>
      </c>
      <c r="J205" s="689">
        <f>+J$4</f>
        <v>0</v>
      </c>
      <c r="K205" s="764">
        <f>AR205+AT205+AV205+AX205</f>
        <v>0</v>
      </c>
      <c r="L205" s="763">
        <v>0</v>
      </c>
      <c r="M205" s="689">
        <f>+M$4</f>
        <v>0</v>
      </c>
      <c r="N205" s="765"/>
      <c r="O205" s="776"/>
      <c r="P205" s="776"/>
      <c r="Q205" s="777" t="s">
        <v>202</v>
      </c>
      <c r="R205" s="762" t="s">
        <v>96</v>
      </c>
      <c r="S205" s="768">
        <v>1</v>
      </c>
      <c r="T205" s="769">
        <f t="shared" ref="T205:T207" si="734">_xlfn.IFNA(ROUNDUP(AF205+AJ205+AO205+AQ205+L205+AS205+AU205+AW205+F205+AZ205+BB205,2),0)</f>
        <v>0</v>
      </c>
      <c r="U205" s="772">
        <f t="shared" ref="U205:U207" si="735">ROUND(T205*ROUNDUP(S205,1),2)</f>
        <v>0</v>
      </c>
      <c r="V205" s="771">
        <v>0</v>
      </c>
      <c r="W205" s="772">
        <f t="shared" ref="W205:W207" si="736">ROUND(+U205*V205,2)</f>
        <v>0</v>
      </c>
      <c r="X205" s="773"/>
      <c r="Y205" s="773"/>
      <c r="Z205" s="772">
        <f t="shared" ref="Z205:Z207" si="737">_xlfn.IFNA(ROUNDUP(AJ205*U205,2),0)</f>
        <v>0</v>
      </c>
      <c r="AA205" s="772">
        <f t="shared" ref="AA205:AA207" si="738">_xlfn.IFNA(ROUNDUP(AK205*V205,2),0)</f>
        <v>0</v>
      </c>
      <c r="AB205" s="772">
        <f t="shared" ref="AB205:AB207" si="739">ROUNDUP((AP205+AL205)*V205,2)</f>
        <v>0</v>
      </c>
      <c r="AC205" s="772">
        <f t="shared" ref="AC205:AC207" si="740">_xlfn.IFNA(ROUNDUP((AT205+AV205+AR205)*V205,2),0)</f>
        <v>0</v>
      </c>
      <c r="AD205" s="772">
        <f t="shared" ref="AD205:AD207" si="741">_xlfn.IFNA(ROUNDUP((BA205+AY205)*V205,2),0)</f>
        <v>0</v>
      </c>
      <c r="AE205" s="772">
        <f t="shared" ref="AE205:AE207" si="742">_xlfn.IFNA((BC205+AX205+AG205)*V205,0)</f>
        <v>0</v>
      </c>
      <c r="AF205" s="774">
        <f t="shared" ref="AF205:AF207" si="743">+_xlfn.IFNA(D205,0)</f>
        <v>0</v>
      </c>
      <c r="AG205" s="772">
        <f t="shared" ref="AG205:AG207" si="744">_xlfn.IFNA(ROUNDUP(D205*S205,2),0)</f>
        <v>0</v>
      </c>
      <c r="AH205" s="772">
        <f t="shared" ref="AH205:AH207" si="745">+_xlfn.IFNA(C205,0)</f>
        <v>0</v>
      </c>
      <c r="AI205" s="769">
        <f t="shared" ref="AI205:AI207" si="746">_xlfn.IFNA(C205*S205,0)</f>
        <v>0</v>
      </c>
      <c r="AJ205" s="772">
        <f t="shared" ref="AJ205:AJ207" si="747">+_xlfn.IFNA(E205,0)</f>
        <v>0</v>
      </c>
      <c r="AK205" s="769">
        <f t="shared" ref="AK205:AK207" si="748">_xlfn.IFNA(E205*S205,0)</f>
        <v>0</v>
      </c>
      <c r="AL205" s="769">
        <f t="shared" ref="AL205:AL207" si="749">ROUNDUP(S205*AQ205,2)</f>
        <v>0</v>
      </c>
      <c r="AM205" s="769">
        <f t="shared" ref="AM205:AM207" si="750">ROUNDUP(+I205*S205,2)</f>
        <v>0</v>
      </c>
      <c r="AN205" s="769">
        <f t="shared" ref="AN205:AN207" si="751">J205*I205*S205</f>
        <v>0</v>
      </c>
      <c r="AO205" s="769">
        <f t="shared" ref="AO205:AO207" si="752">ROUNDUP(I205*I$4*J205,2)</f>
        <v>0</v>
      </c>
      <c r="AP205" s="769">
        <f t="shared" ref="AP205:AP207" si="753">AO205*S205</f>
        <v>0</v>
      </c>
      <c r="AQ205" s="769">
        <f t="shared" ref="AQ205:AQ207" si="754">IF(I205=0,0,ROUNDUP(I$4*I205,2))</f>
        <v>0</v>
      </c>
      <c r="AR205" s="769">
        <f t="shared" ref="AR205:AR207" si="755">+_xlfn.IFNA(ROUNDUP(L205*ROUNDUP(S205,1),2),0)</f>
        <v>0</v>
      </c>
      <c r="AS205" s="769">
        <v>0</v>
      </c>
      <c r="AT205" s="769">
        <f t="shared" ref="AT205:AT207" si="756">+ROUNDUP(AS205*S205,2)</f>
        <v>0</v>
      </c>
      <c r="AU205" s="769">
        <f t="shared" ref="AU205:AU207" si="757">_xlfn.IFNA(ROUNDUP((L205+AS205)*M205,2),0)</f>
        <v>0</v>
      </c>
      <c r="AV205" s="769">
        <f t="shared" ref="AV205:AV207" si="758">ROUNDUP(AU205*S205,2)</f>
        <v>0</v>
      </c>
      <c r="AW205" s="769">
        <f t="shared" ref="AW205:AW207" si="759">_xlfn.IFNA(ROUNDUP((L205+AS205+AU205)*(L$4)*L$3,2),0)</f>
        <v>0</v>
      </c>
      <c r="AX205" s="769">
        <f t="shared" ref="AX205:AX207" si="760">ROUNDUP(+AW205*ROUNDUP(S205,1),2)</f>
        <v>0</v>
      </c>
      <c r="AY205" s="769">
        <f t="shared" ref="AY205:AY207" si="761">_xlfn.IFNA(ROUNDUP(F205*S205,2),0)</f>
        <v>0</v>
      </c>
      <c r="AZ205" s="769">
        <f t="shared" ref="AZ205:AZ207" si="762">_xlfn.IFNA(ROUNDUP(F205*G205,2),0)</f>
        <v>0</v>
      </c>
      <c r="BA205" s="769">
        <f t="shared" ref="BA205:BA207" si="763">ROUNDUP(AZ205*S205,2)</f>
        <v>0</v>
      </c>
      <c r="BB205" s="769">
        <f t="shared" ref="BB205:BB207" si="764">_xlfn.IFNA(ROUNDUP((ROUNDUP(F205+AZ205,2)*F$4)*F$3,2),0)</f>
        <v>0</v>
      </c>
      <c r="BC205" s="769">
        <f t="shared" ref="BC205:BC207" si="765">BB205*S205</f>
        <v>0</v>
      </c>
      <c r="BD205" s="661"/>
      <c r="BF205" s="480"/>
      <c r="BG205" s="480"/>
      <c r="BH205" s="480"/>
      <c r="BI205" s="480"/>
      <c r="BJ205" s="480"/>
      <c r="BK205" s="769">
        <f>IF(BK$7=$Y205,(+$AL205+$AP205),(0))</f>
        <v>0</v>
      </c>
      <c r="BL205" s="769">
        <f>IF(BL$7=$Y205,(+BK205*$V205),(0))</f>
        <v>0</v>
      </c>
      <c r="BM205" s="769">
        <f>IF(BM$7=$Y205,(+$AR205+$AT205+$AV205),(0))</f>
        <v>0</v>
      </c>
      <c r="BN205" s="769">
        <f>IF(BN$7=$Y205,(+BM205*$V205),(0))</f>
        <v>0</v>
      </c>
      <c r="BO205" s="769">
        <f>IF(BO$7=$X205,($AY205+$BA205),(0))</f>
        <v>0</v>
      </c>
      <c r="BP205" s="769">
        <f>IF(BP$7=$X205,(+BO205*$V205),(0))</f>
        <v>0</v>
      </c>
    </row>
    <row r="206" spans="1:68" s="775" customFormat="1" ht="15.6">
      <c r="A206" s="762"/>
      <c r="B206" s="763">
        <v>0</v>
      </c>
      <c r="C206" s="763">
        <v>0</v>
      </c>
      <c r="D206" s="763">
        <v>0</v>
      </c>
      <c r="E206" s="763">
        <v>0</v>
      </c>
      <c r="F206" s="763">
        <v>0</v>
      </c>
      <c r="G206" s="689">
        <f>+G$4</f>
        <v>0</v>
      </c>
      <c r="H206" s="764">
        <f>AM206+AN206</f>
        <v>0</v>
      </c>
      <c r="I206" s="763">
        <v>0</v>
      </c>
      <c r="J206" s="689">
        <f>+J$4</f>
        <v>0</v>
      </c>
      <c r="K206" s="764">
        <f>AR206+AT206+AV206+AX206</f>
        <v>0</v>
      </c>
      <c r="L206" s="763">
        <v>0</v>
      </c>
      <c r="M206" s="689">
        <f>+M$4</f>
        <v>0</v>
      </c>
      <c r="N206" s="765"/>
      <c r="O206" s="776"/>
      <c r="P206" s="776"/>
      <c r="Q206" s="777" t="s">
        <v>202</v>
      </c>
      <c r="R206" s="762" t="s">
        <v>96</v>
      </c>
      <c r="S206" s="768">
        <v>1</v>
      </c>
      <c r="T206" s="769">
        <f t="shared" si="734"/>
        <v>0</v>
      </c>
      <c r="U206" s="772">
        <f t="shared" si="735"/>
        <v>0</v>
      </c>
      <c r="V206" s="771">
        <v>0</v>
      </c>
      <c r="W206" s="772">
        <f t="shared" si="736"/>
        <v>0</v>
      </c>
      <c r="X206" s="773"/>
      <c r="Y206" s="773"/>
      <c r="Z206" s="772">
        <f t="shared" si="737"/>
        <v>0</v>
      </c>
      <c r="AA206" s="772">
        <f t="shared" si="738"/>
        <v>0</v>
      </c>
      <c r="AB206" s="772">
        <f t="shared" si="739"/>
        <v>0</v>
      </c>
      <c r="AC206" s="772">
        <f t="shared" si="740"/>
        <v>0</v>
      </c>
      <c r="AD206" s="772">
        <f t="shared" si="741"/>
        <v>0</v>
      </c>
      <c r="AE206" s="772">
        <f t="shared" si="742"/>
        <v>0</v>
      </c>
      <c r="AF206" s="774">
        <f t="shared" si="743"/>
        <v>0</v>
      </c>
      <c r="AG206" s="772">
        <f t="shared" si="744"/>
        <v>0</v>
      </c>
      <c r="AH206" s="772">
        <f t="shared" si="745"/>
        <v>0</v>
      </c>
      <c r="AI206" s="769">
        <f t="shared" si="746"/>
        <v>0</v>
      </c>
      <c r="AJ206" s="772">
        <f t="shared" si="747"/>
        <v>0</v>
      </c>
      <c r="AK206" s="769">
        <f t="shared" si="748"/>
        <v>0</v>
      </c>
      <c r="AL206" s="769">
        <f t="shared" si="749"/>
        <v>0</v>
      </c>
      <c r="AM206" s="769">
        <f t="shared" si="750"/>
        <v>0</v>
      </c>
      <c r="AN206" s="769">
        <f t="shared" si="751"/>
        <v>0</v>
      </c>
      <c r="AO206" s="769">
        <f t="shared" si="752"/>
        <v>0</v>
      </c>
      <c r="AP206" s="769">
        <f t="shared" si="753"/>
        <v>0</v>
      </c>
      <c r="AQ206" s="769">
        <f t="shared" si="754"/>
        <v>0</v>
      </c>
      <c r="AR206" s="769">
        <f t="shared" si="755"/>
        <v>0</v>
      </c>
      <c r="AS206" s="769">
        <v>0</v>
      </c>
      <c r="AT206" s="769">
        <f t="shared" si="756"/>
        <v>0</v>
      </c>
      <c r="AU206" s="769">
        <f t="shared" si="757"/>
        <v>0</v>
      </c>
      <c r="AV206" s="769">
        <f t="shared" si="758"/>
        <v>0</v>
      </c>
      <c r="AW206" s="769">
        <f t="shared" si="759"/>
        <v>0</v>
      </c>
      <c r="AX206" s="769">
        <f t="shared" si="760"/>
        <v>0</v>
      </c>
      <c r="AY206" s="769">
        <f t="shared" si="761"/>
        <v>0</v>
      </c>
      <c r="AZ206" s="769">
        <f t="shared" si="762"/>
        <v>0</v>
      </c>
      <c r="BA206" s="769">
        <f t="shared" si="763"/>
        <v>0</v>
      </c>
      <c r="BB206" s="769">
        <f t="shared" si="764"/>
        <v>0</v>
      </c>
      <c r="BC206" s="769">
        <f t="shared" si="765"/>
        <v>0</v>
      </c>
      <c r="BD206" s="661"/>
      <c r="BF206" s="480"/>
      <c r="BG206" s="480"/>
      <c r="BH206" s="480"/>
      <c r="BI206" s="480"/>
      <c r="BJ206" s="480"/>
      <c r="BK206" s="769">
        <f>IF(BK$7=$Y206,(+$AL206+$AP206),(0))</f>
        <v>0</v>
      </c>
      <c r="BL206" s="769">
        <f>IF(BL$7=$Y206,(+BK206*$V206),(0))</f>
        <v>0</v>
      </c>
      <c r="BM206" s="769">
        <f>IF(BM$7=$Y206,(+$AR206+$AT206+$AV206),(0))</f>
        <v>0</v>
      </c>
      <c r="BN206" s="769">
        <f>IF(BN$7=$Y206,(+BM206*$V206),(0))</f>
        <v>0</v>
      </c>
      <c r="BO206" s="769">
        <f>IF(BO$7=$X206,($AY206+$BA206),(0))</f>
        <v>0</v>
      </c>
      <c r="BP206" s="769">
        <f>IF(BP$7=$X206,(+BO206*$V206),(0))</f>
        <v>0</v>
      </c>
    </row>
    <row r="207" spans="1:68" s="775" customFormat="1" ht="15.6">
      <c r="A207" s="762"/>
      <c r="B207" s="763">
        <v>0</v>
      </c>
      <c r="C207" s="763">
        <v>0</v>
      </c>
      <c r="D207" s="763">
        <v>0</v>
      </c>
      <c r="E207" s="763">
        <v>0</v>
      </c>
      <c r="F207" s="763">
        <v>0</v>
      </c>
      <c r="G207" s="689">
        <f>+G$4</f>
        <v>0</v>
      </c>
      <c r="H207" s="764">
        <f>AM207+AN207</f>
        <v>0</v>
      </c>
      <c r="I207" s="763">
        <v>0</v>
      </c>
      <c r="J207" s="689">
        <f>+J$4</f>
        <v>0</v>
      </c>
      <c r="K207" s="764">
        <f>AR207+AT207+AV207+AX207</f>
        <v>0</v>
      </c>
      <c r="L207" s="763">
        <v>0</v>
      </c>
      <c r="M207" s="689">
        <f>+M$4</f>
        <v>0</v>
      </c>
      <c r="N207" s="765"/>
      <c r="O207" s="776"/>
      <c r="P207" s="776"/>
      <c r="Q207" s="777" t="s">
        <v>202</v>
      </c>
      <c r="R207" s="762" t="s">
        <v>96</v>
      </c>
      <c r="S207" s="768">
        <v>1</v>
      </c>
      <c r="T207" s="769">
        <f t="shared" si="734"/>
        <v>0</v>
      </c>
      <c r="U207" s="772">
        <f t="shared" si="735"/>
        <v>0</v>
      </c>
      <c r="V207" s="771">
        <v>0</v>
      </c>
      <c r="W207" s="772">
        <f t="shared" si="736"/>
        <v>0</v>
      </c>
      <c r="X207" s="773"/>
      <c r="Y207" s="773"/>
      <c r="Z207" s="772">
        <f t="shared" si="737"/>
        <v>0</v>
      </c>
      <c r="AA207" s="772">
        <f t="shared" si="738"/>
        <v>0</v>
      </c>
      <c r="AB207" s="772">
        <f t="shared" si="739"/>
        <v>0</v>
      </c>
      <c r="AC207" s="772">
        <f t="shared" si="740"/>
        <v>0</v>
      </c>
      <c r="AD207" s="772">
        <f t="shared" si="741"/>
        <v>0</v>
      </c>
      <c r="AE207" s="772">
        <f t="shared" si="742"/>
        <v>0</v>
      </c>
      <c r="AF207" s="774">
        <f t="shared" si="743"/>
        <v>0</v>
      </c>
      <c r="AG207" s="772">
        <f t="shared" si="744"/>
        <v>0</v>
      </c>
      <c r="AH207" s="772">
        <f t="shared" si="745"/>
        <v>0</v>
      </c>
      <c r="AI207" s="769">
        <f t="shared" si="746"/>
        <v>0</v>
      </c>
      <c r="AJ207" s="772">
        <f t="shared" si="747"/>
        <v>0</v>
      </c>
      <c r="AK207" s="769">
        <f t="shared" si="748"/>
        <v>0</v>
      </c>
      <c r="AL207" s="769">
        <f t="shared" si="749"/>
        <v>0</v>
      </c>
      <c r="AM207" s="769">
        <f t="shared" si="750"/>
        <v>0</v>
      </c>
      <c r="AN207" s="769">
        <f t="shared" si="751"/>
        <v>0</v>
      </c>
      <c r="AO207" s="769">
        <f t="shared" si="752"/>
        <v>0</v>
      </c>
      <c r="AP207" s="769">
        <f t="shared" si="753"/>
        <v>0</v>
      </c>
      <c r="AQ207" s="769">
        <f t="shared" si="754"/>
        <v>0</v>
      </c>
      <c r="AR207" s="769">
        <f t="shared" si="755"/>
        <v>0</v>
      </c>
      <c r="AS207" s="769">
        <v>0</v>
      </c>
      <c r="AT207" s="769">
        <f t="shared" si="756"/>
        <v>0</v>
      </c>
      <c r="AU207" s="769">
        <f t="shared" si="757"/>
        <v>0</v>
      </c>
      <c r="AV207" s="769">
        <f t="shared" si="758"/>
        <v>0</v>
      </c>
      <c r="AW207" s="769">
        <f t="shared" si="759"/>
        <v>0</v>
      </c>
      <c r="AX207" s="769">
        <f t="shared" si="760"/>
        <v>0</v>
      </c>
      <c r="AY207" s="769">
        <f t="shared" si="761"/>
        <v>0</v>
      </c>
      <c r="AZ207" s="769">
        <f t="shared" si="762"/>
        <v>0</v>
      </c>
      <c r="BA207" s="769">
        <f t="shared" si="763"/>
        <v>0</v>
      </c>
      <c r="BB207" s="769">
        <f t="shared" si="764"/>
        <v>0</v>
      </c>
      <c r="BC207" s="769">
        <f t="shared" si="765"/>
        <v>0</v>
      </c>
      <c r="BD207" s="661"/>
      <c r="BF207" s="480"/>
      <c r="BG207" s="480"/>
      <c r="BH207" s="480"/>
      <c r="BI207" s="480"/>
      <c r="BJ207" s="480"/>
      <c r="BK207" s="769">
        <f>IF(BK$7=$Y207,(+$AL207+$AP207),(0))</f>
        <v>0</v>
      </c>
      <c r="BL207" s="769">
        <f>IF(BL$7=$Y207,(+BK207*$V207),(0))</f>
        <v>0</v>
      </c>
      <c r="BM207" s="769">
        <f>IF(BM$7=$Y207,(+$AR207+$AT207+$AV207),(0))</f>
        <v>0</v>
      </c>
      <c r="BN207" s="769">
        <f>IF(BN$7=$Y207,(+BM207*$V207),(0))</f>
        <v>0</v>
      </c>
      <c r="BO207" s="769">
        <f>IF(BO$7=$X207,($AY207+$BA207),(0))</f>
        <v>0</v>
      </c>
      <c r="BP207" s="769">
        <f>IF(BP$7=$X207,(+BO207*$V207),(0))</f>
        <v>0</v>
      </c>
    </row>
    <row r="208" spans="1:68" s="775" customFormat="1" ht="15.6">
      <c r="A208" s="762"/>
      <c r="B208" s="763"/>
      <c r="C208" s="763"/>
      <c r="D208" s="763"/>
      <c r="E208" s="763"/>
      <c r="F208" s="763"/>
      <c r="G208" s="689"/>
      <c r="H208" s="764"/>
      <c r="I208" s="763"/>
      <c r="J208" s="689"/>
      <c r="K208" s="764"/>
      <c r="L208" s="763"/>
      <c r="M208" s="689"/>
      <c r="N208" s="765"/>
      <c r="O208" s="776"/>
      <c r="P208" s="776"/>
      <c r="Q208" s="777"/>
      <c r="R208" s="762"/>
      <c r="S208" s="768"/>
      <c r="T208" s="769"/>
      <c r="U208" s="772"/>
      <c r="V208" s="771"/>
      <c r="W208" s="772"/>
      <c r="X208" s="773"/>
      <c r="Y208" s="773"/>
      <c r="Z208" s="772"/>
      <c r="AA208" s="772"/>
      <c r="AB208" s="772"/>
      <c r="AC208" s="772"/>
      <c r="AD208" s="772"/>
      <c r="AE208" s="772"/>
      <c r="AF208" s="774"/>
      <c r="AG208" s="772"/>
      <c r="AH208" s="772"/>
      <c r="AI208" s="769"/>
      <c r="AJ208" s="772"/>
      <c r="AK208" s="769"/>
      <c r="AL208" s="769"/>
      <c r="AM208" s="769"/>
      <c r="AN208" s="769"/>
      <c r="AO208" s="769"/>
      <c r="AP208" s="769"/>
      <c r="AQ208" s="769"/>
      <c r="AR208" s="769"/>
      <c r="AS208" s="769"/>
      <c r="AT208" s="769"/>
      <c r="AU208" s="769"/>
      <c r="AV208" s="769"/>
      <c r="AW208" s="769"/>
      <c r="AX208" s="769"/>
      <c r="AY208" s="769"/>
      <c r="AZ208" s="769"/>
      <c r="BA208" s="769"/>
      <c r="BB208" s="769"/>
      <c r="BC208" s="769"/>
      <c r="BD208" s="661"/>
      <c r="BF208" s="480"/>
      <c r="BG208" s="480"/>
      <c r="BH208" s="480"/>
      <c r="BI208" s="480"/>
      <c r="BJ208" s="480"/>
      <c r="BK208" s="769"/>
      <c r="BL208" s="769"/>
      <c r="BM208" s="769"/>
      <c r="BN208" s="769"/>
      <c r="BO208" s="769"/>
      <c r="BP208" s="769"/>
    </row>
    <row r="209" spans="1:68" s="775" customFormat="1" ht="15.6">
      <c r="A209" s="762"/>
      <c r="B209" s="763"/>
      <c r="C209" s="763"/>
      <c r="D209" s="763"/>
      <c r="E209" s="763"/>
      <c r="F209" s="763"/>
      <c r="G209" s="689"/>
      <c r="H209" s="764"/>
      <c r="I209" s="763"/>
      <c r="J209" s="689"/>
      <c r="K209" s="764"/>
      <c r="L209" s="763"/>
      <c r="M209" s="689"/>
      <c r="N209" s="765"/>
      <c r="O209" s="766">
        <v>26</v>
      </c>
      <c r="P209" s="766" t="s">
        <v>346</v>
      </c>
      <c r="Q209" s="767"/>
      <c r="R209" s="762"/>
      <c r="S209" s="768"/>
      <c r="T209" s="769"/>
      <c r="U209" s="770" t="s">
        <v>437</v>
      </c>
      <c r="V209" s="771"/>
      <c r="W209" s="772"/>
      <c r="X209" s="773"/>
      <c r="Y209" s="773"/>
      <c r="Z209" s="772"/>
      <c r="AA209" s="772"/>
      <c r="AB209" s="772"/>
      <c r="AC209" s="772"/>
      <c r="AD209" s="772"/>
      <c r="AE209" s="772"/>
      <c r="AF209" s="774"/>
      <c r="AG209" s="772"/>
      <c r="AH209" s="772"/>
      <c r="AI209" s="769"/>
      <c r="AJ209" s="772"/>
      <c r="AK209" s="769"/>
      <c r="AL209" s="769"/>
      <c r="AM209" s="769"/>
      <c r="AN209" s="769"/>
      <c r="AO209" s="769"/>
      <c r="AP209" s="769"/>
      <c r="AQ209" s="769"/>
      <c r="AR209" s="769"/>
      <c r="AS209" s="769"/>
      <c r="AT209" s="769"/>
      <c r="AU209" s="769"/>
      <c r="AV209" s="769"/>
      <c r="AW209" s="769"/>
      <c r="AX209" s="769"/>
      <c r="AY209" s="769"/>
      <c r="AZ209" s="769"/>
      <c r="BA209" s="769"/>
      <c r="BB209" s="769"/>
      <c r="BC209" s="769"/>
      <c r="BD209" s="661"/>
      <c r="BF209" s="480"/>
      <c r="BG209" s="480"/>
      <c r="BH209" s="480"/>
      <c r="BI209" s="480"/>
      <c r="BJ209" s="480"/>
      <c r="BK209" s="769"/>
      <c r="BL209" s="769"/>
      <c r="BM209" s="769"/>
      <c r="BN209" s="769"/>
      <c r="BO209" s="769"/>
      <c r="BP209" s="769"/>
    </row>
    <row r="210" spans="1:68" s="775" customFormat="1" ht="15.6">
      <c r="A210" s="762"/>
      <c r="B210" s="763"/>
      <c r="C210" s="763"/>
      <c r="D210" s="763"/>
      <c r="E210" s="763"/>
      <c r="F210" s="763"/>
      <c r="G210" s="689"/>
      <c r="H210" s="764"/>
      <c r="I210" s="763"/>
      <c r="J210" s="689"/>
      <c r="K210" s="764"/>
      <c r="L210" s="763"/>
      <c r="M210" s="689"/>
      <c r="N210" s="765"/>
      <c r="O210" s="776"/>
      <c r="P210" s="776"/>
      <c r="Q210" s="777"/>
      <c r="R210" s="762"/>
      <c r="S210" s="768"/>
      <c r="T210" s="769"/>
      <c r="U210" s="772"/>
      <c r="V210" s="771"/>
      <c r="W210" s="772"/>
      <c r="X210" s="773"/>
      <c r="Y210" s="773"/>
      <c r="Z210" s="772"/>
      <c r="AA210" s="772"/>
      <c r="AB210" s="772"/>
      <c r="AC210" s="772"/>
      <c r="AD210" s="772"/>
      <c r="AE210" s="772"/>
      <c r="AF210" s="774"/>
      <c r="AG210" s="772"/>
      <c r="AH210" s="772"/>
      <c r="AI210" s="769"/>
      <c r="AJ210" s="772"/>
      <c r="AK210" s="769"/>
      <c r="AL210" s="769"/>
      <c r="AM210" s="769"/>
      <c r="AN210" s="769"/>
      <c r="AO210" s="769"/>
      <c r="AP210" s="769"/>
      <c r="AQ210" s="769"/>
      <c r="AR210" s="769"/>
      <c r="AS210" s="769"/>
      <c r="AT210" s="769"/>
      <c r="AU210" s="769"/>
      <c r="AV210" s="769"/>
      <c r="AW210" s="769"/>
      <c r="AX210" s="769"/>
      <c r="AY210" s="769"/>
      <c r="AZ210" s="769"/>
      <c r="BA210" s="769"/>
      <c r="BB210" s="769"/>
      <c r="BC210" s="769"/>
      <c r="BD210" s="661"/>
      <c r="BF210" s="480"/>
      <c r="BG210" s="480"/>
      <c r="BH210" s="480"/>
      <c r="BI210" s="480"/>
      <c r="BJ210" s="480"/>
      <c r="BK210" s="769"/>
      <c r="BL210" s="769"/>
      <c r="BM210" s="769"/>
      <c r="BN210" s="769"/>
      <c r="BO210" s="769"/>
      <c r="BP210" s="769"/>
    </row>
    <row r="211" spans="1:68" s="775" customFormat="1" ht="15.6">
      <c r="A211" s="762"/>
      <c r="B211" s="763">
        <v>0</v>
      </c>
      <c r="C211" s="763">
        <v>0</v>
      </c>
      <c r="D211" s="763">
        <v>0</v>
      </c>
      <c r="E211" s="763">
        <v>0</v>
      </c>
      <c r="F211" s="763">
        <v>0</v>
      </c>
      <c r="G211" s="689">
        <f>+G$4</f>
        <v>0</v>
      </c>
      <c r="H211" s="764">
        <f>AM211+AN211</f>
        <v>0</v>
      </c>
      <c r="I211" s="763">
        <v>0</v>
      </c>
      <c r="J211" s="689">
        <f>+J$4</f>
        <v>0</v>
      </c>
      <c r="K211" s="764">
        <f>AR211+AT211+AV211+AX211</f>
        <v>0</v>
      </c>
      <c r="L211" s="763">
        <v>0</v>
      </c>
      <c r="M211" s="689">
        <f>+M$4</f>
        <v>0</v>
      </c>
      <c r="N211" s="765"/>
      <c r="O211" s="776"/>
      <c r="P211" s="776"/>
      <c r="Q211" s="777" t="s">
        <v>347</v>
      </c>
      <c r="R211" s="762" t="s">
        <v>236</v>
      </c>
      <c r="S211" s="768">
        <v>1</v>
      </c>
      <c r="T211" s="769">
        <f t="shared" ref="T211:T215" si="766">_xlfn.IFNA(ROUNDUP(AF211+AJ211+AO211+AQ211+L211+AS211+AU211+AW211+F211+AZ211+BB211,2),0)</f>
        <v>0</v>
      </c>
      <c r="U211" s="772">
        <f t="shared" ref="U211:U215" si="767">ROUND(T211*ROUNDUP(S211,1),2)</f>
        <v>0</v>
      </c>
      <c r="V211" s="771">
        <v>0</v>
      </c>
      <c r="W211" s="772">
        <f t="shared" ref="W211:W215" si="768">ROUND(+U211*V211,2)</f>
        <v>0</v>
      </c>
      <c r="X211" s="773"/>
      <c r="Y211" s="773"/>
      <c r="Z211" s="772">
        <f t="shared" ref="Z211:Z215" si="769">_xlfn.IFNA(ROUNDUP(AJ211*U211,2),0)</f>
        <v>0</v>
      </c>
      <c r="AA211" s="772">
        <f t="shared" ref="AA211:AA215" si="770">_xlfn.IFNA(ROUNDUP(AK211*V211,2),0)</f>
        <v>0</v>
      </c>
      <c r="AB211" s="772">
        <f t="shared" ref="AB211:AB215" si="771">ROUNDUP((AP211+AL211)*V211,2)</f>
        <v>0</v>
      </c>
      <c r="AC211" s="772">
        <f t="shared" ref="AC211:AC215" si="772">_xlfn.IFNA(ROUNDUP((AT211+AV211+AR211)*V211,2),0)</f>
        <v>0</v>
      </c>
      <c r="AD211" s="772">
        <f t="shared" ref="AD211:AD215" si="773">_xlfn.IFNA(ROUNDUP((BA211+AY211)*V211,2),0)</f>
        <v>0</v>
      </c>
      <c r="AE211" s="772">
        <f t="shared" ref="AE211:AE215" si="774">_xlfn.IFNA((BC211+AX211+AG211)*V211,0)</f>
        <v>0</v>
      </c>
      <c r="AF211" s="774">
        <f t="shared" ref="AF211:AF215" si="775">+_xlfn.IFNA(D211,0)</f>
        <v>0</v>
      </c>
      <c r="AG211" s="772">
        <f t="shared" ref="AG211:AG215" si="776">_xlfn.IFNA(ROUNDUP(D211*S211,2),0)</f>
        <v>0</v>
      </c>
      <c r="AH211" s="772">
        <f t="shared" ref="AH211:AH215" si="777">+_xlfn.IFNA(C211,0)</f>
        <v>0</v>
      </c>
      <c r="AI211" s="769">
        <f t="shared" ref="AI211:AI215" si="778">_xlfn.IFNA(C211*S211,0)</f>
        <v>0</v>
      </c>
      <c r="AJ211" s="772">
        <f t="shared" ref="AJ211:AJ215" si="779">+_xlfn.IFNA(E211,0)</f>
        <v>0</v>
      </c>
      <c r="AK211" s="769">
        <f t="shared" ref="AK211:AK215" si="780">_xlfn.IFNA(E211*S211,0)</f>
        <v>0</v>
      </c>
      <c r="AL211" s="769">
        <f t="shared" ref="AL211:AL215" si="781">ROUNDUP(S211*AQ211,2)</f>
        <v>0</v>
      </c>
      <c r="AM211" s="769">
        <f t="shared" ref="AM211:AM215" si="782">ROUNDUP(+I211*S211,2)</f>
        <v>0</v>
      </c>
      <c r="AN211" s="769">
        <f t="shared" ref="AN211:AN215" si="783">J211*I211*S211</f>
        <v>0</v>
      </c>
      <c r="AO211" s="769">
        <f t="shared" ref="AO211:AO215" si="784">ROUNDUP(I211*I$4*J211,2)</f>
        <v>0</v>
      </c>
      <c r="AP211" s="769">
        <f t="shared" ref="AP211:AP215" si="785">AO211*S211</f>
        <v>0</v>
      </c>
      <c r="AQ211" s="769">
        <f t="shared" ref="AQ211:AQ215" si="786">IF(I211=0,0,ROUNDUP(I$4*I211,2))</f>
        <v>0</v>
      </c>
      <c r="AR211" s="769">
        <f t="shared" ref="AR211:AR215" si="787">+_xlfn.IFNA(ROUNDUP(L211*ROUNDUP(S211,1),2),0)</f>
        <v>0</v>
      </c>
      <c r="AS211" s="769">
        <v>0</v>
      </c>
      <c r="AT211" s="769">
        <f t="shared" ref="AT211:AT215" si="788">+ROUNDUP(AS211*S211,2)</f>
        <v>0</v>
      </c>
      <c r="AU211" s="769">
        <f t="shared" ref="AU211:AU215" si="789">_xlfn.IFNA(ROUNDUP((L211+AS211)*M211,2),0)</f>
        <v>0</v>
      </c>
      <c r="AV211" s="769">
        <f t="shared" ref="AV211:AV215" si="790">ROUNDUP(AU211*S211,2)</f>
        <v>0</v>
      </c>
      <c r="AW211" s="769">
        <f t="shared" ref="AW211:AW215" si="791">_xlfn.IFNA(ROUNDUP((L211+AS211+AU211)*(L$4)*L$3,2),0)</f>
        <v>0</v>
      </c>
      <c r="AX211" s="769">
        <f t="shared" ref="AX211:AX215" si="792">ROUNDUP(+AW211*ROUNDUP(S211,1),2)</f>
        <v>0</v>
      </c>
      <c r="AY211" s="769">
        <f t="shared" ref="AY211:AY215" si="793">_xlfn.IFNA(ROUNDUP(F211*S211,2),0)</f>
        <v>0</v>
      </c>
      <c r="AZ211" s="769">
        <f t="shared" ref="AZ211:AZ215" si="794">_xlfn.IFNA(ROUNDUP(F211*G211,2),0)</f>
        <v>0</v>
      </c>
      <c r="BA211" s="769">
        <f t="shared" ref="BA211:BA215" si="795">ROUNDUP(AZ211*S211,2)</f>
        <v>0</v>
      </c>
      <c r="BB211" s="769">
        <f t="shared" ref="BB211:BB215" si="796">_xlfn.IFNA(ROUNDUP((ROUNDUP(F211+AZ211,2)*F$4)*F$3,2),0)</f>
        <v>0</v>
      </c>
      <c r="BC211" s="769">
        <f t="shared" ref="BC211:BC215" si="797">BB211*S211</f>
        <v>0</v>
      </c>
      <c r="BD211" s="661"/>
      <c r="BF211" s="480"/>
      <c r="BG211" s="480"/>
      <c r="BH211" s="480"/>
      <c r="BI211" s="480"/>
      <c r="BJ211" s="480"/>
      <c r="BK211" s="769">
        <f>IF(BK$7=$Y211,(+$AL211+$AP211),(0))</f>
        <v>0</v>
      </c>
      <c r="BL211" s="769">
        <f>IF(BL$7=$Y211,(+BK211*$V211),(0))</f>
        <v>0</v>
      </c>
      <c r="BM211" s="769">
        <f>IF(BM$7=$Y211,(+$AR211+$AT211+$AV211),(0))</f>
        <v>0</v>
      </c>
      <c r="BN211" s="769">
        <f>IF(BN$7=$Y211,(+BM211*$V211),(0))</f>
        <v>0</v>
      </c>
      <c r="BO211" s="769">
        <f>IF(BO$7=$X211,($AY211+$BA211),(0))</f>
        <v>0</v>
      </c>
      <c r="BP211" s="769">
        <f>IF(BP$7=$X211,(+BO211*$V211),(0))</f>
        <v>0</v>
      </c>
    </row>
    <row r="212" spans="1:68" s="775" customFormat="1" ht="15.6">
      <c r="A212" s="762"/>
      <c r="B212" s="763">
        <v>0</v>
      </c>
      <c r="C212" s="763">
        <v>0</v>
      </c>
      <c r="D212" s="763">
        <v>0</v>
      </c>
      <c r="E212" s="763">
        <v>0</v>
      </c>
      <c r="F212" s="763">
        <v>0</v>
      </c>
      <c r="G212" s="689">
        <f>+G$4</f>
        <v>0</v>
      </c>
      <c r="H212" s="764">
        <f>AM212+AN212</f>
        <v>0</v>
      </c>
      <c r="I212" s="763">
        <v>0</v>
      </c>
      <c r="J212" s="689">
        <f>+J$4</f>
        <v>0</v>
      </c>
      <c r="K212" s="764">
        <f>AR212+AT212+AV212+AX212</f>
        <v>0</v>
      </c>
      <c r="L212" s="763">
        <v>0</v>
      </c>
      <c r="M212" s="689">
        <f>+M$4</f>
        <v>0</v>
      </c>
      <c r="N212" s="765"/>
      <c r="O212" s="776"/>
      <c r="P212" s="776"/>
      <c r="Q212" s="777"/>
      <c r="R212" s="762" t="s">
        <v>236</v>
      </c>
      <c r="S212" s="768">
        <v>1</v>
      </c>
      <c r="T212" s="769">
        <f t="shared" si="766"/>
        <v>0</v>
      </c>
      <c r="U212" s="772">
        <f t="shared" si="767"/>
        <v>0</v>
      </c>
      <c r="V212" s="771">
        <v>0</v>
      </c>
      <c r="W212" s="772">
        <f t="shared" si="768"/>
        <v>0</v>
      </c>
      <c r="X212" s="773"/>
      <c r="Y212" s="773"/>
      <c r="Z212" s="772">
        <f t="shared" si="769"/>
        <v>0</v>
      </c>
      <c r="AA212" s="772">
        <f t="shared" si="770"/>
        <v>0</v>
      </c>
      <c r="AB212" s="772">
        <f t="shared" si="771"/>
        <v>0</v>
      </c>
      <c r="AC212" s="772">
        <f t="shared" si="772"/>
        <v>0</v>
      </c>
      <c r="AD212" s="772">
        <f t="shared" si="773"/>
        <v>0</v>
      </c>
      <c r="AE212" s="772">
        <f t="shared" si="774"/>
        <v>0</v>
      </c>
      <c r="AF212" s="774">
        <f t="shared" si="775"/>
        <v>0</v>
      </c>
      <c r="AG212" s="772">
        <f t="shared" si="776"/>
        <v>0</v>
      </c>
      <c r="AH212" s="772">
        <f t="shared" si="777"/>
        <v>0</v>
      </c>
      <c r="AI212" s="769">
        <f t="shared" si="778"/>
        <v>0</v>
      </c>
      <c r="AJ212" s="772">
        <f t="shared" si="779"/>
        <v>0</v>
      </c>
      <c r="AK212" s="769">
        <f t="shared" si="780"/>
        <v>0</v>
      </c>
      <c r="AL212" s="769">
        <f t="shared" si="781"/>
        <v>0</v>
      </c>
      <c r="AM212" s="769">
        <f t="shared" si="782"/>
        <v>0</v>
      </c>
      <c r="AN212" s="769">
        <f t="shared" si="783"/>
        <v>0</v>
      </c>
      <c r="AO212" s="769">
        <f t="shared" si="784"/>
        <v>0</v>
      </c>
      <c r="AP212" s="769">
        <f t="shared" si="785"/>
        <v>0</v>
      </c>
      <c r="AQ212" s="769">
        <f t="shared" si="786"/>
        <v>0</v>
      </c>
      <c r="AR212" s="769">
        <f t="shared" si="787"/>
        <v>0</v>
      </c>
      <c r="AS212" s="769">
        <v>0</v>
      </c>
      <c r="AT212" s="769">
        <f t="shared" si="788"/>
        <v>0</v>
      </c>
      <c r="AU212" s="769">
        <f t="shared" si="789"/>
        <v>0</v>
      </c>
      <c r="AV212" s="769">
        <f t="shared" si="790"/>
        <v>0</v>
      </c>
      <c r="AW212" s="769">
        <f t="shared" si="791"/>
        <v>0</v>
      </c>
      <c r="AX212" s="769">
        <f t="shared" si="792"/>
        <v>0</v>
      </c>
      <c r="AY212" s="769">
        <f t="shared" si="793"/>
        <v>0</v>
      </c>
      <c r="AZ212" s="769">
        <f t="shared" si="794"/>
        <v>0</v>
      </c>
      <c r="BA212" s="769">
        <f t="shared" si="795"/>
        <v>0</v>
      </c>
      <c r="BB212" s="769">
        <f t="shared" si="796"/>
        <v>0</v>
      </c>
      <c r="BC212" s="769">
        <f t="shared" si="797"/>
        <v>0</v>
      </c>
      <c r="BD212" s="661"/>
      <c r="BF212" s="480"/>
      <c r="BG212" s="480"/>
      <c r="BH212" s="480"/>
      <c r="BI212" s="480"/>
      <c r="BJ212" s="480"/>
      <c r="BK212" s="769">
        <f>IF(BK$7=$Y212,(+$AL212+$AP212),(0))</f>
        <v>0</v>
      </c>
      <c r="BL212" s="769">
        <f>IF(BL$7=$Y212,(+BK212*$V212),(0))</f>
        <v>0</v>
      </c>
      <c r="BM212" s="769">
        <f>IF(BM$7=$Y212,(+$AR212+$AT212+$AV212),(0))</f>
        <v>0</v>
      </c>
      <c r="BN212" s="769">
        <f>IF(BN$7=$Y212,(+BM212*$V212),(0))</f>
        <v>0</v>
      </c>
      <c r="BO212" s="769">
        <f>IF(BO$7=$X212,($AY212+$BA212),(0))</f>
        <v>0</v>
      </c>
      <c r="BP212" s="769">
        <f>IF(BP$7=$X212,(+BO212*$V212),(0))</f>
        <v>0</v>
      </c>
    </row>
    <row r="213" spans="1:68" s="775" customFormat="1" ht="15.6">
      <c r="A213" s="762"/>
      <c r="B213" s="763">
        <v>0</v>
      </c>
      <c r="C213" s="763">
        <v>0</v>
      </c>
      <c r="D213" s="763">
        <v>0</v>
      </c>
      <c r="E213" s="763">
        <v>0</v>
      </c>
      <c r="F213" s="763">
        <v>0</v>
      </c>
      <c r="G213" s="689">
        <f>+G$4</f>
        <v>0</v>
      </c>
      <c r="H213" s="764">
        <f>AM213+AN213</f>
        <v>0</v>
      </c>
      <c r="I213" s="763">
        <v>0</v>
      </c>
      <c r="J213" s="689">
        <f>+J$4</f>
        <v>0</v>
      </c>
      <c r="K213" s="764">
        <f>AR213+AT213+AV213+AX213</f>
        <v>0</v>
      </c>
      <c r="L213" s="763">
        <v>0</v>
      </c>
      <c r="M213" s="689">
        <f>+M$4</f>
        <v>0</v>
      </c>
      <c r="N213" s="765"/>
      <c r="O213" s="776"/>
      <c r="P213" s="776"/>
      <c r="Q213" s="777" t="s">
        <v>348</v>
      </c>
      <c r="R213" s="762" t="s">
        <v>96</v>
      </c>
      <c r="S213" s="768">
        <v>1</v>
      </c>
      <c r="T213" s="769">
        <f t="shared" si="766"/>
        <v>0</v>
      </c>
      <c r="U213" s="772">
        <f t="shared" si="767"/>
        <v>0</v>
      </c>
      <c r="V213" s="771">
        <v>0</v>
      </c>
      <c r="W213" s="772">
        <f t="shared" si="768"/>
        <v>0</v>
      </c>
      <c r="X213" s="773"/>
      <c r="Y213" s="773"/>
      <c r="Z213" s="772">
        <f t="shared" si="769"/>
        <v>0</v>
      </c>
      <c r="AA213" s="772">
        <f t="shared" si="770"/>
        <v>0</v>
      </c>
      <c r="AB213" s="772">
        <f t="shared" si="771"/>
        <v>0</v>
      </c>
      <c r="AC213" s="772">
        <f t="shared" si="772"/>
        <v>0</v>
      </c>
      <c r="AD213" s="772">
        <f t="shared" si="773"/>
        <v>0</v>
      </c>
      <c r="AE213" s="772">
        <f t="shared" si="774"/>
        <v>0</v>
      </c>
      <c r="AF213" s="774">
        <f t="shared" si="775"/>
        <v>0</v>
      </c>
      <c r="AG213" s="772">
        <f t="shared" si="776"/>
        <v>0</v>
      </c>
      <c r="AH213" s="772">
        <f t="shared" si="777"/>
        <v>0</v>
      </c>
      <c r="AI213" s="769">
        <f t="shared" si="778"/>
        <v>0</v>
      </c>
      <c r="AJ213" s="772">
        <f t="shared" si="779"/>
        <v>0</v>
      </c>
      <c r="AK213" s="769">
        <f t="shared" si="780"/>
        <v>0</v>
      </c>
      <c r="AL213" s="769">
        <f t="shared" si="781"/>
        <v>0</v>
      </c>
      <c r="AM213" s="769">
        <f t="shared" si="782"/>
        <v>0</v>
      </c>
      <c r="AN213" s="769">
        <f t="shared" si="783"/>
        <v>0</v>
      </c>
      <c r="AO213" s="769">
        <f t="shared" si="784"/>
        <v>0</v>
      </c>
      <c r="AP213" s="769">
        <f t="shared" si="785"/>
        <v>0</v>
      </c>
      <c r="AQ213" s="769">
        <f t="shared" si="786"/>
        <v>0</v>
      </c>
      <c r="AR213" s="769">
        <f t="shared" si="787"/>
        <v>0</v>
      </c>
      <c r="AS213" s="769">
        <v>0</v>
      </c>
      <c r="AT213" s="769">
        <f t="shared" si="788"/>
        <v>0</v>
      </c>
      <c r="AU213" s="769">
        <f t="shared" si="789"/>
        <v>0</v>
      </c>
      <c r="AV213" s="769">
        <f t="shared" si="790"/>
        <v>0</v>
      </c>
      <c r="AW213" s="769">
        <f t="shared" si="791"/>
        <v>0</v>
      </c>
      <c r="AX213" s="769">
        <f t="shared" si="792"/>
        <v>0</v>
      </c>
      <c r="AY213" s="769">
        <f t="shared" si="793"/>
        <v>0</v>
      </c>
      <c r="AZ213" s="769">
        <f t="shared" si="794"/>
        <v>0</v>
      </c>
      <c r="BA213" s="769">
        <f t="shared" si="795"/>
        <v>0</v>
      </c>
      <c r="BB213" s="769">
        <f t="shared" si="796"/>
        <v>0</v>
      </c>
      <c r="BC213" s="769">
        <f t="shared" si="797"/>
        <v>0</v>
      </c>
      <c r="BD213" s="661"/>
      <c r="BF213" s="480"/>
      <c r="BG213" s="480"/>
      <c r="BH213" s="480"/>
      <c r="BI213" s="480"/>
      <c r="BJ213" s="480"/>
      <c r="BK213" s="769">
        <f>IF(BK$7=$Y213,(+$AL213+$AP213),(0))</f>
        <v>0</v>
      </c>
      <c r="BL213" s="769">
        <f>IF(BL$7=$Y213,(+BK213*$V213),(0))</f>
        <v>0</v>
      </c>
      <c r="BM213" s="769">
        <f>IF(BM$7=$Y213,(+$AR213+$AT213+$AV213),(0))</f>
        <v>0</v>
      </c>
      <c r="BN213" s="769">
        <f>IF(BN$7=$Y213,(+BM213*$V213),(0))</f>
        <v>0</v>
      </c>
      <c r="BO213" s="769">
        <f>IF(BO$7=$X213,($AY213+$BA213),(0))</f>
        <v>0</v>
      </c>
      <c r="BP213" s="769">
        <f>IF(BP$7=$X213,(+BO213*$V213),(0))</f>
        <v>0</v>
      </c>
    </row>
    <row r="214" spans="1:68" s="775" customFormat="1" ht="15.6">
      <c r="A214" s="762"/>
      <c r="B214" s="763">
        <v>0</v>
      </c>
      <c r="C214" s="763">
        <v>0</v>
      </c>
      <c r="D214" s="763">
        <v>0</v>
      </c>
      <c r="E214" s="763">
        <v>0</v>
      </c>
      <c r="F214" s="763">
        <v>0</v>
      </c>
      <c r="G214" s="689">
        <f>+G$4</f>
        <v>0</v>
      </c>
      <c r="H214" s="764">
        <f>AM214+AN214</f>
        <v>0</v>
      </c>
      <c r="I214" s="763">
        <v>0</v>
      </c>
      <c r="J214" s="689">
        <f>+J$4</f>
        <v>0</v>
      </c>
      <c r="K214" s="764">
        <f>AR214+AT214+AV214+AX214</f>
        <v>0</v>
      </c>
      <c r="L214" s="763">
        <v>0</v>
      </c>
      <c r="M214" s="689">
        <f>+M$4</f>
        <v>0</v>
      </c>
      <c r="N214" s="765"/>
      <c r="O214" s="776"/>
      <c r="P214" s="776"/>
      <c r="Q214" s="777" t="s">
        <v>349</v>
      </c>
      <c r="R214" s="762" t="s">
        <v>231</v>
      </c>
      <c r="S214" s="768">
        <v>1</v>
      </c>
      <c r="T214" s="769">
        <f t="shared" si="766"/>
        <v>0</v>
      </c>
      <c r="U214" s="772">
        <f t="shared" si="767"/>
        <v>0</v>
      </c>
      <c r="V214" s="771">
        <v>0</v>
      </c>
      <c r="W214" s="772">
        <f t="shared" si="768"/>
        <v>0</v>
      </c>
      <c r="X214" s="773"/>
      <c r="Y214" s="773"/>
      <c r="Z214" s="772">
        <f t="shared" si="769"/>
        <v>0</v>
      </c>
      <c r="AA214" s="772">
        <f t="shared" si="770"/>
        <v>0</v>
      </c>
      <c r="AB214" s="772">
        <f t="shared" si="771"/>
        <v>0</v>
      </c>
      <c r="AC214" s="772">
        <f t="shared" si="772"/>
        <v>0</v>
      </c>
      <c r="AD214" s="772">
        <f t="shared" si="773"/>
        <v>0</v>
      </c>
      <c r="AE214" s="772">
        <f t="shared" si="774"/>
        <v>0</v>
      </c>
      <c r="AF214" s="774">
        <f t="shared" si="775"/>
        <v>0</v>
      </c>
      <c r="AG214" s="772">
        <f t="shared" si="776"/>
        <v>0</v>
      </c>
      <c r="AH214" s="772">
        <f t="shared" si="777"/>
        <v>0</v>
      </c>
      <c r="AI214" s="769">
        <f t="shared" si="778"/>
        <v>0</v>
      </c>
      <c r="AJ214" s="772">
        <f t="shared" si="779"/>
        <v>0</v>
      </c>
      <c r="AK214" s="769">
        <f t="shared" si="780"/>
        <v>0</v>
      </c>
      <c r="AL214" s="769">
        <f t="shared" si="781"/>
        <v>0</v>
      </c>
      <c r="AM214" s="769">
        <f t="shared" si="782"/>
        <v>0</v>
      </c>
      <c r="AN214" s="769">
        <f t="shared" si="783"/>
        <v>0</v>
      </c>
      <c r="AO214" s="769">
        <f t="shared" si="784"/>
        <v>0</v>
      </c>
      <c r="AP214" s="769">
        <f t="shared" si="785"/>
        <v>0</v>
      </c>
      <c r="AQ214" s="769">
        <f t="shared" si="786"/>
        <v>0</v>
      </c>
      <c r="AR214" s="769">
        <f t="shared" si="787"/>
        <v>0</v>
      </c>
      <c r="AS214" s="769">
        <v>0</v>
      </c>
      <c r="AT214" s="769">
        <f t="shared" si="788"/>
        <v>0</v>
      </c>
      <c r="AU214" s="769">
        <f t="shared" si="789"/>
        <v>0</v>
      </c>
      <c r="AV214" s="769">
        <f t="shared" si="790"/>
        <v>0</v>
      </c>
      <c r="AW214" s="769">
        <f t="shared" si="791"/>
        <v>0</v>
      </c>
      <c r="AX214" s="769">
        <f t="shared" si="792"/>
        <v>0</v>
      </c>
      <c r="AY214" s="769">
        <f t="shared" si="793"/>
        <v>0</v>
      </c>
      <c r="AZ214" s="769">
        <f t="shared" si="794"/>
        <v>0</v>
      </c>
      <c r="BA214" s="769">
        <f t="shared" si="795"/>
        <v>0</v>
      </c>
      <c r="BB214" s="769">
        <f t="shared" si="796"/>
        <v>0</v>
      </c>
      <c r="BC214" s="769">
        <f t="shared" si="797"/>
        <v>0</v>
      </c>
      <c r="BD214" s="661"/>
      <c r="BF214" s="480"/>
      <c r="BG214" s="480"/>
      <c r="BH214" s="480"/>
      <c r="BI214" s="480"/>
      <c r="BJ214" s="480"/>
      <c r="BK214" s="769">
        <f>IF(BK$7=$Y214,(+$AL214+$AP214),(0))</f>
        <v>0</v>
      </c>
      <c r="BL214" s="769">
        <f>IF(BL$7=$Y214,(+BK214*$V214),(0))</f>
        <v>0</v>
      </c>
      <c r="BM214" s="769">
        <f>IF(BM$7=$Y214,(+$AR214+$AT214+$AV214),(0))</f>
        <v>0</v>
      </c>
      <c r="BN214" s="769">
        <f>IF(BN$7=$Y214,(+BM214*$V214),(0))</f>
        <v>0</v>
      </c>
      <c r="BO214" s="769">
        <f>IF(BO$7=$X214,($AY214+$BA214),(0))</f>
        <v>0</v>
      </c>
      <c r="BP214" s="769">
        <f>IF(BP$7=$X214,(+BO214*$V214),(0))</f>
        <v>0</v>
      </c>
    </row>
    <row r="215" spans="1:68" s="775" customFormat="1" ht="15.6">
      <c r="A215" s="762"/>
      <c r="B215" s="763">
        <v>0</v>
      </c>
      <c r="C215" s="763">
        <v>0</v>
      </c>
      <c r="D215" s="763">
        <v>0</v>
      </c>
      <c r="E215" s="763">
        <v>0</v>
      </c>
      <c r="F215" s="763">
        <v>0</v>
      </c>
      <c r="G215" s="689">
        <f>+G$4</f>
        <v>0</v>
      </c>
      <c r="H215" s="764">
        <f>AM215+AN215</f>
        <v>0</v>
      </c>
      <c r="I215" s="763">
        <v>0</v>
      </c>
      <c r="J215" s="689">
        <f>+J$4</f>
        <v>0</v>
      </c>
      <c r="K215" s="764">
        <f>AR215+AT215+AV215+AX215</f>
        <v>0</v>
      </c>
      <c r="L215" s="763">
        <v>0</v>
      </c>
      <c r="M215" s="689">
        <f>+M$4</f>
        <v>0</v>
      </c>
      <c r="N215" s="765"/>
      <c r="O215" s="776"/>
      <c r="P215" s="776"/>
      <c r="Q215" s="777" t="s">
        <v>350</v>
      </c>
      <c r="R215" s="762" t="s">
        <v>231</v>
      </c>
      <c r="S215" s="768">
        <v>1</v>
      </c>
      <c r="T215" s="769">
        <f t="shared" si="766"/>
        <v>0</v>
      </c>
      <c r="U215" s="772">
        <f t="shared" si="767"/>
        <v>0</v>
      </c>
      <c r="V215" s="771">
        <v>0</v>
      </c>
      <c r="W215" s="772">
        <f t="shared" si="768"/>
        <v>0</v>
      </c>
      <c r="X215" s="773"/>
      <c r="Y215" s="773"/>
      <c r="Z215" s="772">
        <f t="shared" si="769"/>
        <v>0</v>
      </c>
      <c r="AA215" s="772">
        <f t="shared" si="770"/>
        <v>0</v>
      </c>
      <c r="AB215" s="772">
        <f t="shared" si="771"/>
        <v>0</v>
      </c>
      <c r="AC215" s="772">
        <f t="shared" si="772"/>
        <v>0</v>
      </c>
      <c r="AD215" s="772">
        <f t="shared" si="773"/>
        <v>0</v>
      </c>
      <c r="AE215" s="772">
        <f t="shared" si="774"/>
        <v>0</v>
      </c>
      <c r="AF215" s="774">
        <f t="shared" si="775"/>
        <v>0</v>
      </c>
      <c r="AG215" s="772">
        <f t="shared" si="776"/>
        <v>0</v>
      </c>
      <c r="AH215" s="772">
        <f t="shared" si="777"/>
        <v>0</v>
      </c>
      <c r="AI215" s="769">
        <f t="shared" si="778"/>
        <v>0</v>
      </c>
      <c r="AJ215" s="772">
        <f t="shared" si="779"/>
        <v>0</v>
      </c>
      <c r="AK215" s="769">
        <f t="shared" si="780"/>
        <v>0</v>
      </c>
      <c r="AL215" s="769">
        <f t="shared" si="781"/>
        <v>0</v>
      </c>
      <c r="AM215" s="769">
        <f t="shared" si="782"/>
        <v>0</v>
      </c>
      <c r="AN215" s="769">
        <f t="shared" si="783"/>
        <v>0</v>
      </c>
      <c r="AO215" s="769">
        <f t="shared" si="784"/>
        <v>0</v>
      </c>
      <c r="AP215" s="769">
        <f t="shared" si="785"/>
        <v>0</v>
      </c>
      <c r="AQ215" s="769">
        <f t="shared" si="786"/>
        <v>0</v>
      </c>
      <c r="AR215" s="769">
        <f t="shared" si="787"/>
        <v>0</v>
      </c>
      <c r="AS215" s="769">
        <v>0</v>
      </c>
      <c r="AT215" s="769">
        <f t="shared" si="788"/>
        <v>0</v>
      </c>
      <c r="AU215" s="769">
        <f t="shared" si="789"/>
        <v>0</v>
      </c>
      <c r="AV215" s="769">
        <f t="shared" si="790"/>
        <v>0</v>
      </c>
      <c r="AW215" s="769">
        <f t="shared" si="791"/>
        <v>0</v>
      </c>
      <c r="AX215" s="769">
        <f t="shared" si="792"/>
        <v>0</v>
      </c>
      <c r="AY215" s="769">
        <f t="shared" si="793"/>
        <v>0</v>
      </c>
      <c r="AZ215" s="769">
        <f t="shared" si="794"/>
        <v>0</v>
      </c>
      <c r="BA215" s="769">
        <f t="shared" si="795"/>
        <v>0</v>
      </c>
      <c r="BB215" s="769">
        <f t="shared" si="796"/>
        <v>0</v>
      </c>
      <c r="BC215" s="769">
        <f t="shared" si="797"/>
        <v>0</v>
      </c>
      <c r="BD215" s="661"/>
      <c r="BF215" s="480"/>
      <c r="BG215" s="480"/>
      <c r="BH215" s="480"/>
      <c r="BI215" s="480"/>
      <c r="BJ215" s="480"/>
      <c r="BK215" s="769">
        <f>IF(BK$7=$Y215,(+$AL215+$AP215),(0))</f>
        <v>0</v>
      </c>
      <c r="BL215" s="769">
        <f>IF(BL$7=$Y215,(+BK215*$V215),(0))</f>
        <v>0</v>
      </c>
      <c r="BM215" s="769">
        <f>IF(BM$7=$Y215,(+$AR215+$AT215+$AV215),(0))</f>
        <v>0</v>
      </c>
      <c r="BN215" s="769">
        <f>IF(BN$7=$Y215,(+BM215*$V215),(0))</f>
        <v>0</v>
      </c>
      <c r="BO215" s="769">
        <f>IF(BO$7=$X215,($AY215+$BA215),(0))</f>
        <v>0</v>
      </c>
      <c r="BP215" s="769">
        <f>IF(BP$7=$X215,(+BO215*$V215),(0))</f>
        <v>0</v>
      </c>
    </row>
    <row r="216" spans="1:68" s="775" customFormat="1" ht="15.6">
      <c r="A216" s="762"/>
      <c r="B216" s="763"/>
      <c r="C216" s="763"/>
      <c r="D216" s="763"/>
      <c r="E216" s="763"/>
      <c r="F216" s="763"/>
      <c r="G216" s="689"/>
      <c r="H216" s="764"/>
      <c r="I216" s="763"/>
      <c r="J216" s="689"/>
      <c r="K216" s="764"/>
      <c r="L216" s="763"/>
      <c r="M216" s="689"/>
      <c r="N216" s="765"/>
      <c r="O216" s="776"/>
      <c r="P216" s="776"/>
      <c r="Q216" s="777"/>
      <c r="R216" s="762"/>
      <c r="S216" s="768"/>
      <c r="T216" s="769"/>
      <c r="U216" s="772"/>
      <c r="V216" s="771"/>
      <c r="W216" s="772"/>
      <c r="X216" s="773"/>
      <c r="Y216" s="773"/>
      <c r="Z216" s="772"/>
      <c r="AA216" s="772"/>
      <c r="AB216" s="772"/>
      <c r="AC216" s="772"/>
      <c r="AD216" s="772"/>
      <c r="AE216" s="772"/>
      <c r="AF216" s="774"/>
      <c r="AG216" s="772"/>
      <c r="AH216" s="772"/>
      <c r="AI216" s="769"/>
      <c r="AJ216" s="772"/>
      <c r="AK216" s="769"/>
      <c r="AL216" s="769"/>
      <c r="AM216" s="769"/>
      <c r="AN216" s="769"/>
      <c r="AO216" s="769"/>
      <c r="AP216" s="769"/>
      <c r="AQ216" s="769"/>
      <c r="AR216" s="769"/>
      <c r="AS216" s="769"/>
      <c r="AT216" s="769"/>
      <c r="AU216" s="769"/>
      <c r="AV216" s="769"/>
      <c r="AW216" s="769"/>
      <c r="AX216" s="769"/>
      <c r="AY216" s="769"/>
      <c r="AZ216" s="769"/>
      <c r="BA216" s="769"/>
      <c r="BB216" s="769"/>
      <c r="BC216" s="769"/>
      <c r="BD216" s="661"/>
      <c r="BF216" s="480"/>
      <c r="BG216" s="480"/>
      <c r="BH216" s="480"/>
      <c r="BI216" s="480"/>
      <c r="BJ216" s="480"/>
      <c r="BK216" s="769"/>
      <c r="BL216" s="769"/>
      <c r="BM216" s="769"/>
      <c r="BN216" s="769"/>
      <c r="BO216" s="769"/>
      <c r="BP216" s="769"/>
    </row>
    <row r="217" spans="1:68" s="775" customFormat="1" ht="15.6">
      <c r="A217" s="762"/>
      <c r="B217" s="763"/>
      <c r="C217" s="763"/>
      <c r="D217" s="763"/>
      <c r="E217" s="763"/>
      <c r="F217" s="763"/>
      <c r="G217" s="689"/>
      <c r="H217" s="764"/>
      <c r="I217" s="763"/>
      <c r="J217" s="689"/>
      <c r="K217" s="764"/>
      <c r="L217" s="763"/>
      <c r="M217" s="689"/>
      <c r="N217" s="765"/>
      <c r="O217" s="766">
        <v>27</v>
      </c>
      <c r="P217" s="766" t="s">
        <v>351</v>
      </c>
      <c r="Q217" s="767"/>
      <c r="R217" s="762"/>
      <c r="S217" s="768"/>
      <c r="T217" s="769"/>
      <c r="U217" s="770" t="s">
        <v>437</v>
      </c>
      <c r="V217" s="771"/>
      <c r="W217" s="772"/>
      <c r="X217" s="773"/>
      <c r="Y217" s="773"/>
      <c r="Z217" s="772"/>
      <c r="AA217" s="772"/>
      <c r="AB217" s="772"/>
      <c r="AC217" s="772"/>
      <c r="AD217" s="772"/>
      <c r="AE217" s="772"/>
      <c r="AF217" s="774"/>
      <c r="AG217" s="772"/>
      <c r="AH217" s="772"/>
      <c r="AI217" s="769"/>
      <c r="AJ217" s="772"/>
      <c r="AK217" s="769"/>
      <c r="AL217" s="769"/>
      <c r="AM217" s="769"/>
      <c r="AN217" s="769"/>
      <c r="AO217" s="769"/>
      <c r="AP217" s="769"/>
      <c r="AQ217" s="769"/>
      <c r="AR217" s="769"/>
      <c r="AS217" s="769"/>
      <c r="AT217" s="769"/>
      <c r="AU217" s="769"/>
      <c r="AV217" s="769"/>
      <c r="AW217" s="769"/>
      <c r="AX217" s="769"/>
      <c r="AY217" s="769"/>
      <c r="AZ217" s="769"/>
      <c r="BA217" s="769"/>
      <c r="BB217" s="769"/>
      <c r="BC217" s="769"/>
      <c r="BD217" s="661"/>
      <c r="BF217" s="480"/>
      <c r="BG217" s="480"/>
      <c r="BH217" s="480"/>
      <c r="BI217" s="480"/>
      <c r="BJ217" s="480"/>
      <c r="BK217" s="769"/>
      <c r="BL217" s="769"/>
      <c r="BM217" s="769"/>
      <c r="BN217" s="769"/>
      <c r="BO217" s="769"/>
      <c r="BP217" s="769"/>
    </row>
    <row r="218" spans="1:68" s="775" customFormat="1" ht="15.6">
      <c r="A218" s="762"/>
      <c r="B218" s="763"/>
      <c r="C218" s="763"/>
      <c r="D218" s="763"/>
      <c r="E218" s="763"/>
      <c r="F218" s="763"/>
      <c r="G218" s="689"/>
      <c r="H218" s="764"/>
      <c r="I218" s="763"/>
      <c r="J218" s="689"/>
      <c r="K218" s="764"/>
      <c r="L218" s="763"/>
      <c r="M218" s="689"/>
      <c r="N218" s="765"/>
      <c r="O218" s="776"/>
      <c r="P218" s="776"/>
      <c r="Q218" s="777"/>
      <c r="R218" s="762"/>
      <c r="S218" s="768"/>
      <c r="T218" s="769"/>
      <c r="U218" s="772"/>
      <c r="V218" s="771"/>
      <c r="W218" s="772"/>
      <c r="X218" s="773"/>
      <c r="Y218" s="773"/>
      <c r="Z218" s="772"/>
      <c r="AA218" s="772"/>
      <c r="AB218" s="772"/>
      <c r="AC218" s="772"/>
      <c r="AD218" s="772"/>
      <c r="AE218" s="772"/>
      <c r="AF218" s="774"/>
      <c r="AG218" s="772"/>
      <c r="AH218" s="772"/>
      <c r="AI218" s="769"/>
      <c r="AJ218" s="772"/>
      <c r="AK218" s="769"/>
      <c r="AL218" s="769"/>
      <c r="AM218" s="769"/>
      <c r="AN218" s="769"/>
      <c r="AO218" s="769"/>
      <c r="AP218" s="769"/>
      <c r="AQ218" s="769"/>
      <c r="AR218" s="769"/>
      <c r="AS218" s="769"/>
      <c r="AT218" s="769"/>
      <c r="AU218" s="769"/>
      <c r="AV218" s="769"/>
      <c r="AW218" s="769"/>
      <c r="AX218" s="769"/>
      <c r="AY218" s="769"/>
      <c r="AZ218" s="769"/>
      <c r="BA218" s="769"/>
      <c r="BB218" s="769"/>
      <c r="BC218" s="769"/>
      <c r="BD218" s="661"/>
      <c r="BF218" s="480"/>
      <c r="BG218" s="480"/>
      <c r="BH218" s="480"/>
      <c r="BI218" s="480"/>
      <c r="BJ218" s="480"/>
      <c r="BK218" s="769"/>
      <c r="BL218" s="769"/>
      <c r="BM218" s="769"/>
      <c r="BN218" s="769"/>
      <c r="BO218" s="769"/>
      <c r="BP218" s="769"/>
    </row>
    <row r="219" spans="1:68" s="775" customFormat="1" ht="15.6">
      <c r="A219" s="762"/>
      <c r="B219" s="763">
        <v>0</v>
      </c>
      <c r="C219" s="763">
        <v>0</v>
      </c>
      <c r="D219" s="763">
        <v>0</v>
      </c>
      <c r="E219" s="763">
        <v>0</v>
      </c>
      <c r="F219" s="763">
        <v>0</v>
      </c>
      <c r="G219" s="689">
        <f>+G$4</f>
        <v>0</v>
      </c>
      <c r="H219" s="764">
        <f>AM219+AN219</f>
        <v>0</v>
      </c>
      <c r="I219" s="763">
        <v>0</v>
      </c>
      <c r="J219" s="689">
        <f>+J$4</f>
        <v>0</v>
      </c>
      <c r="K219" s="764">
        <f>AR219+AT219+AV219+AX219</f>
        <v>0</v>
      </c>
      <c r="L219" s="763">
        <v>0</v>
      </c>
      <c r="M219" s="689">
        <f>+M$4</f>
        <v>0</v>
      </c>
      <c r="N219" s="765"/>
      <c r="O219" s="776"/>
      <c r="P219" s="776"/>
      <c r="Q219" s="777" t="s">
        <v>292</v>
      </c>
      <c r="R219" s="762" t="s">
        <v>231</v>
      </c>
      <c r="S219" s="768">
        <v>1</v>
      </c>
      <c r="T219" s="769">
        <f>_xlfn.IFNA(ROUNDUP(AF219+AJ219+AO219+AQ219+L219+AS219+AU219+AW219+F219+AZ219+BB219,2),0)</f>
        <v>0</v>
      </c>
      <c r="U219" s="772">
        <f t="shared" ref="U219" si="798">ROUND(T219*ROUNDUP(S219,1),2)</f>
        <v>0</v>
      </c>
      <c r="V219" s="771">
        <v>0</v>
      </c>
      <c r="W219" s="772">
        <f t="shared" ref="W219" si="799">ROUND(+U219*V219,2)</f>
        <v>0</v>
      </c>
      <c r="X219" s="773"/>
      <c r="Y219" s="773"/>
      <c r="Z219" s="772">
        <f>_xlfn.IFNA(ROUNDUP(AJ219*U219,2),0)</f>
        <v>0</v>
      </c>
      <c r="AA219" s="772">
        <f>_xlfn.IFNA(ROUNDUP(AK219*V219,2),0)</f>
        <v>0</v>
      </c>
      <c r="AB219" s="772">
        <f t="shared" ref="AB219" si="800">ROUNDUP((AP219+AL219)*V219,2)</f>
        <v>0</v>
      </c>
      <c r="AC219" s="772">
        <f>_xlfn.IFNA(ROUNDUP((AT219+AV219+AR219)*V219,2),0)</f>
        <v>0</v>
      </c>
      <c r="AD219" s="772">
        <f>_xlfn.IFNA(ROUNDUP((BA219+AY219)*V219,2),0)</f>
        <v>0</v>
      </c>
      <c r="AE219" s="772">
        <f>_xlfn.IFNA((BC219+AX219+AG219)*V219,0)</f>
        <v>0</v>
      </c>
      <c r="AF219" s="774">
        <f>+_xlfn.IFNA(D219,0)</f>
        <v>0</v>
      </c>
      <c r="AG219" s="772">
        <f>_xlfn.IFNA(ROUNDUP(D219*S219,2),0)</f>
        <v>0</v>
      </c>
      <c r="AH219" s="772">
        <f>+_xlfn.IFNA(C219,0)</f>
        <v>0</v>
      </c>
      <c r="AI219" s="769">
        <f>_xlfn.IFNA(C219*S219,0)</f>
        <v>0</v>
      </c>
      <c r="AJ219" s="772">
        <f>+_xlfn.IFNA(E219,0)</f>
        <v>0</v>
      </c>
      <c r="AK219" s="769">
        <f>_xlfn.IFNA(E219*S219,0)</f>
        <v>0</v>
      </c>
      <c r="AL219" s="769">
        <f t="shared" ref="AL219" si="801">ROUNDUP(S219*AQ219,2)</f>
        <v>0</v>
      </c>
      <c r="AM219" s="769">
        <f t="shared" ref="AM219" si="802">ROUNDUP(+I219*S219,2)</f>
        <v>0</v>
      </c>
      <c r="AN219" s="769">
        <f t="shared" ref="AN219" si="803">J219*I219*S219</f>
        <v>0</v>
      </c>
      <c r="AO219" s="769">
        <f t="shared" ref="AO219" si="804">ROUNDUP(I219*I$4*J219,2)</f>
        <v>0</v>
      </c>
      <c r="AP219" s="769">
        <f t="shared" ref="AP219" si="805">AO219*S219</f>
        <v>0</v>
      </c>
      <c r="AQ219" s="769">
        <f t="shared" ref="AQ219" si="806">IF(I219=0,0,ROUNDUP(I$4*I219,2))</f>
        <v>0</v>
      </c>
      <c r="AR219" s="769">
        <f>+_xlfn.IFNA(ROUNDUP(L219*ROUNDUP(S219,1),2),0)</f>
        <v>0</v>
      </c>
      <c r="AS219" s="769">
        <v>0</v>
      </c>
      <c r="AT219" s="769">
        <f t="shared" ref="AT219" si="807">+ROUNDUP(AS219*S219,2)</f>
        <v>0</v>
      </c>
      <c r="AU219" s="769">
        <f>_xlfn.IFNA(ROUNDUP((L219+AS219)*M219,2),0)</f>
        <v>0</v>
      </c>
      <c r="AV219" s="769">
        <f t="shared" ref="AV219" si="808">ROUNDUP(AU219*S219,2)</f>
        <v>0</v>
      </c>
      <c r="AW219" s="769">
        <f>_xlfn.IFNA(ROUNDUP((L219+AS219+AU219)*(L$4)*L$3,2),0)</f>
        <v>0</v>
      </c>
      <c r="AX219" s="769">
        <f t="shared" ref="AX219" si="809">ROUNDUP(+AW219*ROUNDUP(S219,1),2)</f>
        <v>0</v>
      </c>
      <c r="AY219" s="769">
        <f>_xlfn.IFNA(ROUNDUP(F219*S219,2),0)</f>
        <v>0</v>
      </c>
      <c r="AZ219" s="769">
        <f>_xlfn.IFNA(ROUNDUP(F219*G219,2),0)</f>
        <v>0</v>
      </c>
      <c r="BA219" s="769">
        <f t="shared" ref="BA219" si="810">ROUNDUP(AZ219*S219,2)</f>
        <v>0</v>
      </c>
      <c r="BB219" s="769">
        <f>_xlfn.IFNA(ROUNDUP((ROUNDUP(F219+AZ219,2)*F$4)*F$3,2),0)</f>
        <v>0</v>
      </c>
      <c r="BC219" s="769">
        <f t="shared" ref="BC219" si="811">BB219*S219</f>
        <v>0</v>
      </c>
      <c r="BD219" s="661"/>
      <c r="BF219" s="480"/>
      <c r="BG219" s="480"/>
      <c r="BH219" s="480"/>
      <c r="BI219" s="480"/>
      <c r="BJ219" s="480"/>
      <c r="BK219" s="769">
        <f>IF(BK$7=$Y219,(+$AL219+$AP219),(0))</f>
        <v>0</v>
      </c>
      <c r="BL219" s="769">
        <f>IF(BL$7=$Y219,(+BK219*$V219),(0))</f>
        <v>0</v>
      </c>
      <c r="BM219" s="769">
        <f>IF(BM$7=$Y219,(+$AR219+$AT219+$AV219),(0))</f>
        <v>0</v>
      </c>
      <c r="BN219" s="769">
        <f>IF(BN$7=$Y219,(+BM219*$V219),(0))</f>
        <v>0</v>
      </c>
      <c r="BO219" s="769">
        <f>IF(BO$7=$X219,($AY219+$BA219),(0))</f>
        <v>0</v>
      </c>
      <c r="BP219" s="769">
        <f>IF(BP$7=$X219,(+BO219*$V219),(0))</f>
        <v>0</v>
      </c>
    </row>
    <row r="220" spans="1:68" s="775" customFormat="1" ht="15.6">
      <c r="A220" s="762"/>
      <c r="B220" s="763"/>
      <c r="C220" s="763"/>
      <c r="D220" s="763"/>
      <c r="E220" s="763"/>
      <c r="F220" s="763"/>
      <c r="G220" s="689"/>
      <c r="H220" s="764"/>
      <c r="I220" s="763"/>
      <c r="J220" s="689"/>
      <c r="K220" s="764"/>
      <c r="L220" s="763"/>
      <c r="M220" s="689"/>
      <c r="N220" s="765"/>
      <c r="O220" s="776"/>
      <c r="P220" s="776"/>
      <c r="Q220" s="777"/>
      <c r="R220" s="762"/>
      <c r="S220" s="768"/>
      <c r="T220" s="769"/>
      <c r="U220" s="772"/>
      <c r="V220" s="771"/>
      <c r="W220" s="772"/>
      <c r="X220" s="773"/>
      <c r="Y220" s="773"/>
      <c r="Z220" s="772"/>
      <c r="AA220" s="772"/>
      <c r="AB220" s="772"/>
      <c r="AC220" s="772"/>
      <c r="AD220" s="772"/>
      <c r="AE220" s="772"/>
      <c r="AF220" s="774"/>
      <c r="AG220" s="772"/>
      <c r="AH220" s="772"/>
      <c r="AI220" s="769"/>
      <c r="AJ220" s="772"/>
      <c r="AK220" s="769"/>
      <c r="AL220" s="769"/>
      <c r="AM220" s="769"/>
      <c r="AN220" s="769"/>
      <c r="AO220" s="769"/>
      <c r="AP220" s="769"/>
      <c r="AQ220" s="769"/>
      <c r="AR220" s="769"/>
      <c r="AS220" s="769"/>
      <c r="AT220" s="769"/>
      <c r="AU220" s="769"/>
      <c r="AV220" s="769"/>
      <c r="AW220" s="769"/>
      <c r="AX220" s="769"/>
      <c r="AY220" s="769"/>
      <c r="AZ220" s="769"/>
      <c r="BA220" s="769"/>
      <c r="BB220" s="769"/>
      <c r="BC220" s="769"/>
      <c r="BD220" s="661"/>
      <c r="BF220" s="480"/>
      <c r="BG220" s="480"/>
      <c r="BH220" s="480"/>
      <c r="BI220" s="480"/>
      <c r="BJ220" s="480"/>
      <c r="BK220" s="769"/>
      <c r="BL220" s="769"/>
      <c r="BM220" s="769"/>
      <c r="BN220" s="769"/>
      <c r="BO220" s="769"/>
      <c r="BP220" s="769"/>
    </row>
    <row r="221" spans="1:68" s="775" customFormat="1" ht="15.6">
      <c r="A221" s="762"/>
      <c r="B221" s="763"/>
      <c r="C221" s="763"/>
      <c r="D221" s="763"/>
      <c r="E221" s="763"/>
      <c r="F221" s="763"/>
      <c r="G221" s="689"/>
      <c r="H221" s="764"/>
      <c r="I221" s="763"/>
      <c r="J221" s="689"/>
      <c r="K221" s="764"/>
      <c r="L221" s="763"/>
      <c r="M221" s="689"/>
      <c r="N221" s="765"/>
      <c r="O221" s="766">
        <v>28</v>
      </c>
      <c r="P221" s="766" t="s">
        <v>352</v>
      </c>
      <c r="Q221" s="767"/>
      <c r="R221" s="762"/>
      <c r="S221" s="768"/>
      <c r="T221" s="769"/>
      <c r="U221" s="770" t="s">
        <v>437</v>
      </c>
      <c r="V221" s="771"/>
      <c r="W221" s="772"/>
      <c r="X221" s="773"/>
      <c r="Y221" s="773"/>
      <c r="Z221" s="772"/>
      <c r="AA221" s="772"/>
      <c r="AB221" s="772"/>
      <c r="AC221" s="772"/>
      <c r="AD221" s="772"/>
      <c r="AE221" s="772"/>
      <c r="AF221" s="774"/>
      <c r="AG221" s="772"/>
      <c r="AH221" s="772"/>
      <c r="AI221" s="769"/>
      <c r="AJ221" s="772"/>
      <c r="AK221" s="769"/>
      <c r="AL221" s="769"/>
      <c r="AM221" s="769"/>
      <c r="AN221" s="769"/>
      <c r="AO221" s="769"/>
      <c r="AP221" s="769"/>
      <c r="AQ221" s="769"/>
      <c r="AR221" s="769"/>
      <c r="AS221" s="769"/>
      <c r="AT221" s="769"/>
      <c r="AU221" s="769"/>
      <c r="AV221" s="769"/>
      <c r="AW221" s="769"/>
      <c r="AX221" s="769"/>
      <c r="AY221" s="769"/>
      <c r="AZ221" s="769"/>
      <c r="BA221" s="769"/>
      <c r="BB221" s="769"/>
      <c r="BC221" s="769"/>
      <c r="BD221" s="661"/>
      <c r="BF221" s="480"/>
      <c r="BG221" s="480"/>
      <c r="BH221" s="480"/>
      <c r="BI221" s="480"/>
      <c r="BJ221" s="480"/>
      <c r="BK221" s="769"/>
      <c r="BL221" s="769"/>
      <c r="BM221" s="769"/>
      <c r="BN221" s="769"/>
      <c r="BO221" s="769"/>
      <c r="BP221" s="769"/>
    </row>
    <row r="222" spans="1:68" s="775" customFormat="1" ht="15.6">
      <c r="A222" s="762"/>
      <c r="B222" s="763"/>
      <c r="C222" s="763"/>
      <c r="D222" s="763"/>
      <c r="E222" s="763"/>
      <c r="F222" s="763"/>
      <c r="G222" s="689"/>
      <c r="H222" s="764"/>
      <c r="I222" s="763"/>
      <c r="J222" s="689"/>
      <c r="K222" s="764"/>
      <c r="L222" s="763"/>
      <c r="M222" s="689"/>
      <c r="N222" s="765"/>
      <c r="O222" s="776"/>
      <c r="P222" s="776"/>
      <c r="Q222" s="777"/>
      <c r="R222" s="762"/>
      <c r="S222" s="768"/>
      <c r="T222" s="769"/>
      <c r="U222" s="772"/>
      <c r="V222" s="771"/>
      <c r="W222" s="772"/>
      <c r="X222" s="773"/>
      <c r="Y222" s="773"/>
      <c r="Z222" s="772"/>
      <c r="AA222" s="772"/>
      <c r="AB222" s="772"/>
      <c r="AC222" s="772"/>
      <c r="AD222" s="772"/>
      <c r="AE222" s="772"/>
      <c r="AF222" s="774"/>
      <c r="AG222" s="772"/>
      <c r="AH222" s="772"/>
      <c r="AI222" s="769"/>
      <c r="AJ222" s="772"/>
      <c r="AK222" s="769"/>
      <c r="AL222" s="769"/>
      <c r="AM222" s="769"/>
      <c r="AN222" s="769"/>
      <c r="AO222" s="769"/>
      <c r="AP222" s="769"/>
      <c r="AQ222" s="769"/>
      <c r="AR222" s="769"/>
      <c r="AS222" s="769"/>
      <c r="AT222" s="769"/>
      <c r="AU222" s="769"/>
      <c r="AV222" s="769"/>
      <c r="AW222" s="769"/>
      <c r="AX222" s="769"/>
      <c r="AY222" s="769"/>
      <c r="AZ222" s="769"/>
      <c r="BA222" s="769"/>
      <c r="BB222" s="769"/>
      <c r="BC222" s="769"/>
      <c r="BD222" s="661"/>
      <c r="BF222" s="480"/>
      <c r="BG222" s="480"/>
      <c r="BH222" s="480"/>
      <c r="BI222" s="480"/>
      <c r="BJ222" s="480"/>
      <c r="BK222" s="769"/>
      <c r="BL222" s="769"/>
      <c r="BM222" s="769"/>
      <c r="BN222" s="769"/>
      <c r="BO222" s="769"/>
      <c r="BP222" s="769"/>
    </row>
    <row r="223" spans="1:68" s="775" customFormat="1" ht="15.6">
      <c r="A223" s="762"/>
      <c r="B223" s="763">
        <v>0</v>
      </c>
      <c r="C223" s="763">
        <v>0</v>
      </c>
      <c r="D223" s="763">
        <v>0</v>
      </c>
      <c r="E223" s="763">
        <v>0</v>
      </c>
      <c r="F223" s="763">
        <v>0</v>
      </c>
      <c r="G223" s="689">
        <f>+G$4</f>
        <v>0</v>
      </c>
      <c r="H223" s="764">
        <f>AM223+AN223</f>
        <v>0</v>
      </c>
      <c r="I223" s="763">
        <v>0</v>
      </c>
      <c r="J223" s="689">
        <f>+J$4</f>
        <v>0</v>
      </c>
      <c r="K223" s="764">
        <f>AR223+AT223+AV223+AX223</f>
        <v>0</v>
      </c>
      <c r="L223" s="763">
        <v>0</v>
      </c>
      <c r="M223" s="689">
        <f>+M$4</f>
        <v>0</v>
      </c>
      <c r="N223" s="765"/>
      <c r="O223" s="776"/>
      <c r="P223" s="776"/>
      <c r="Q223" s="777" t="s">
        <v>353</v>
      </c>
      <c r="R223" s="762" t="s">
        <v>231</v>
      </c>
      <c r="S223" s="768">
        <v>1</v>
      </c>
      <c r="T223" s="769">
        <f>_xlfn.IFNA(ROUNDUP(AF223+AJ223+AO223+AQ223+L223+AS223+AU223+AW223+F223+AZ223+BB223,2),0)</f>
        <v>0</v>
      </c>
      <c r="U223" s="772">
        <f t="shared" ref="U223" si="812">ROUND(T223*ROUNDUP(S223,1),2)</f>
        <v>0</v>
      </c>
      <c r="V223" s="771">
        <v>0</v>
      </c>
      <c r="W223" s="772">
        <f t="shared" ref="W223" si="813">ROUND(+U223*V223,2)</f>
        <v>0</v>
      </c>
      <c r="X223" s="773"/>
      <c r="Y223" s="773"/>
      <c r="Z223" s="772">
        <f>_xlfn.IFNA(ROUNDUP(AJ223*U223,2),0)</f>
        <v>0</v>
      </c>
      <c r="AA223" s="772">
        <f>_xlfn.IFNA(ROUNDUP(AK223*V223,2),0)</f>
        <v>0</v>
      </c>
      <c r="AB223" s="772">
        <f t="shared" ref="AB223" si="814">ROUNDUP((AP223+AL223)*V223,2)</f>
        <v>0</v>
      </c>
      <c r="AC223" s="772">
        <f>_xlfn.IFNA(ROUNDUP((AT223+AV223+AR223)*V223,2),0)</f>
        <v>0</v>
      </c>
      <c r="AD223" s="772">
        <f>_xlfn.IFNA(ROUNDUP((BA223+AY223)*V223,2),0)</f>
        <v>0</v>
      </c>
      <c r="AE223" s="772">
        <f>_xlfn.IFNA((BC223+AX223+AG223)*V223,0)</f>
        <v>0</v>
      </c>
      <c r="AF223" s="774">
        <f>+_xlfn.IFNA(D223,0)</f>
        <v>0</v>
      </c>
      <c r="AG223" s="772">
        <f>_xlfn.IFNA(ROUNDUP(D223*S223,2),0)</f>
        <v>0</v>
      </c>
      <c r="AH223" s="772">
        <f>+_xlfn.IFNA(C223,0)</f>
        <v>0</v>
      </c>
      <c r="AI223" s="769">
        <f>_xlfn.IFNA(C223*S223,0)</f>
        <v>0</v>
      </c>
      <c r="AJ223" s="772">
        <f>+_xlfn.IFNA(E223,0)</f>
        <v>0</v>
      </c>
      <c r="AK223" s="769">
        <f>_xlfn.IFNA(E223*S223,0)</f>
        <v>0</v>
      </c>
      <c r="AL223" s="769">
        <f t="shared" ref="AL223" si="815">ROUNDUP(S223*AQ223,2)</f>
        <v>0</v>
      </c>
      <c r="AM223" s="769">
        <f t="shared" ref="AM223" si="816">ROUNDUP(+I223*S223,2)</f>
        <v>0</v>
      </c>
      <c r="AN223" s="769">
        <f t="shared" ref="AN223" si="817">J223*I223*S223</f>
        <v>0</v>
      </c>
      <c r="AO223" s="769">
        <f t="shared" ref="AO223" si="818">ROUNDUP(I223*I$4*J223,2)</f>
        <v>0</v>
      </c>
      <c r="AP223" s="769">
        <f t="shared" ref="AP223" si="819">AO223*S223</f>
        <v>0</v>
      </c>
      <c r="AQ223" s="769">
        <f t="shared" ref="AQ223" si="820">IF(I223=0,0,ROUNDUP(I$4*I223,2))</f>
        <v>0</v>
      </c>
      <c r="AR223" s="769">
        <f>+_xlfn.IFNA(ROUNDUP(L223*ROUNDUP(S223,1),2),0)</f>
        <v>0</v>
      </c>
      <c r="AS223" s="769">
        <v>0</v>
      </c>
      <c r="AT223" s="769">
        <f t="shared" ref="AT223" si="821">+ROUNDUP(AS223*S223,2)</f>
        <v>0</v>
      </c>
      <c r="AU223" s="769">
        <f>_xlfn.IFNA(ROUNDUP((L223+AS223)*M223,2),0)</f>
        <v>0</v>
      </c>
      <c r="AV223" s="769">
        <f t="shared" ref="AV223" si="822">ROUNDUP(AU223*S223,2)</f>
        <v>0</v>
      </c>
      <c r="AW223" s="769">
        <f>_xlfn.IFNA(ROUNDUP((L223+AS223+AU223)*(L$4)*L$3,2),0)</f>
        <v>0</v>
      </c>
      <c r="AX223" s="769">
        <f t="shared" ref="AX223" si="823">ROUNDUP(+AW223*ROUNDUP(S223,1),2)</f>
        <v>0</v>
      </c>
      <c r="AY223" s="769">
        <f>_xlfn.IFNA(ROUNDUP(F223*S223,2),0)</f>
        <v>0</v>
      </c>
      <c r="AZ223" s="769">
        <f>_xlfn.IFNA(ROUNDUP(F223*G223,2),0)</f>
        <v>0</v>
      </c>
      <c r="BA223" s="769">
        <f t="shared" ref="BA223" si="824">ROUNDUP(AZ223*S223,2)</f>
        <v>0</v>
      </c>
      <c r="BB223" s="769">
        <f>_xlfn.IFNA(ROUNDUP((ROUNDUP(F223+AZ223,2)*F$4)*F$3,2),0)</f>
        <v>0</v>
      </c>
      <c r="BC223" s="769">
        <f t="shared" ref="BC223" si="825">BB223*S223</f>
        <v>0</v>
      </c>
      <c r="BD223" s="661"/>
      <c r="BF223" s="480"/>
      <c r="BG223" s="480"/>
      <c r="BH223" s="480"/>
      <c r="BI223" s="480"/>
      <c r="BJ223" s="480"/>
      <c r="BK223" s="769">
        <f>IF(BK$7=$Y223,(+$AL223+$AP223),(0))</f>
        <v>0</v>
      </c>
      <c r="BL223" s="769">
        <f>IF(BL$7=$Y223,(+BK223*$V223),(0))</f>
        <v>0</v>
      </c>
      <c r="BM223" s="769">
        <f>IF(BM$7=$Y223,(+$AR223+$AT223+$AV223),(0))</f>
        <v>0</v>
      </c>
      <c r="BN223" s="769">
        <f>IF(BN$7=$Y223,(+BM223*$V223),(0))</f>
        <v>0</v>
      </c>
      <c r="BO223" s="769">
        <f>IF(BO$7=$X223,($AY223+$BA223),(0))</f>
        <v>0</v>
      </c>
      <c r="BP223" s="769">
        <f>IF(BP$7=$X223,(+BO223*$V223),(0))</f>
        <v>0</v>
      </c>
    </row>
    <row r="224" spans="1:68" s="775" customFormat="1" ht="15.6">
      <c r="A224" s="762"/>
      <c r="B224" s="763"/>
      <c r="C224" s="763"/>
      <c r="D224" s="763"/>
      <c r="E224" s="763"/>
      <c r="F224" s="763"/>
      <c r="G224" s="689"/>
      <c r="H224" s="764"/>
      <c r="I224" s="763"/>
      <c r="J224" s="689"/>
      <c r="K224" s="764"/>
      <c r="L224" s="763"/>
      <c r="M224" s="689"/>
      <c r="N224" s="765"/>
      <c r="O224" s="776"/>
      <c r="P224" s="776"/>
      <c r="Q224" s="777"/>
      <c r="R224" s="762"/>
      <c r="S224" s="768"/>
      <c r="T224" s="769"/>
      <c r="U224" s="772"/>
      <c r="V224" s="771"/>
      <c r="W224" s="772"/>
      <c r="X224" s="773"/>
      <c r="Y224" s="773"/>
      <c r="Z224" s="772"/>
      <c r="AA224" s="772"/>
      <c r="AB224" s="772"/>
      <c r="AC224" s="772"/>
      <c r="AD224" s="772"/>
      <c r="AE224" s="772"/>
      <c r="AF224" s="774"/>
      <c r="AG224" s="772"/>
      <c r="AH224" s="772"/>
      <c r="AI224" s="769"/>
      <c r="AJ224" s="772"/>
      <c r="AK224" s="769"/>
      <c r="AL224" s="769"/>
      <c r="AM224" s="769"/>
      <c r="AN224" s="769"/>
      <c r="AO224" s="769"/>
      <c r="AP224" s="769"/>
      <c r="AQ224" s="769"/>
      <c r="AR224" s="769"/>
      <c r="AS224" s="769"/>
      <c r="AT224" s="769"/>
      <c r="AU224" s="769"/>
      <c r="AV224" s="769"/>
      <c r="AW224" s="769"/>
      <c r="AX224" s="769"/>
      <c r="AY224" s="769"/>
      <c r="AZ224" s="769"/>
      <c r="BA224" s="769"/>
      <c r="BB224" s="769"/>
      <c r="BC224" s="769"/>
      <c r="BD224" s="661"/>
      <c r="BF224" s="480"/>
      <c r="BG224" s="480"/>
      <c r="BH224" s="480"/>
      <c r="BI224" s="480"/>
      <c r="BJ224" s="480"/>
      <c r="BK224" s="769"/>
      <c r="BL224" s="769"/>
      <c r="BM224" s="769"/>
      <c r="BN224" s="769"/>
      <c r="BO224" s="769"/>
      <c r="BP224" s="769"/>
    </row>
    <row r="225" spans="1:68" s="775" customFormat="1" ht="15.6">
      <c r="A225" s="762"/>
      <c r="B225" s="763"/>
      <c r="C225" s="763"/>
      <c r="D225" s="763"/>
      <c r="E225" s="763"/>
      <c r="F225" s="763"/>
      <c r="G225" s="689"/>
      <c r="H225" s="764"/>
      <c r="I225" s="763"/>
      <c r="J225" s="689"/>
      <c r="K225" s="764"/>
      <c r="L225" s="763"/>
      <c r="M225" s="689"/>
      <c r="N225" s="765"/>
      <c r="O225" s="766">
        <v>29</v>
      </c>
      <c r="P225" s="766" t="s">
        <v>354</v>
      </c>
      <c r="Q225" s="767"/>
      <c r="R225" s="762"/>
      <c r="S225" s="768"/>
      <c r="T225" s="769"/>
      <c r="U225" s="770" t="s">
        <v>437</v>
      </c>
      <c r="V225" s="771"/>
      <c r="W225" s="772"/>
      <c r="X225" s="773"/>
      <c r="Y225" s="773"/>
      <c r="Z225" s="772"/>
      <c r="AA225" s="772"/>
      <c r="AB225" s="772"/>
      <c r="AC225" s="772"/>
      <c r="AD225" s="772"/>
      <c r="AE225" s="772"/>
      <c r="AF225" s="774"/>
      <c r="AG225" s="772"/>
      <c r="AH225" s="772"/>
      <c r="AI225" s="769"/>
      <c r="AJ225" s="772"/>
      <c r="AK225" s="769"/>
      <c r="AL225" s="769"/>
      <c r="AM225" s="769"/>
      <c r="AN225" s="769"/>
      <c r="AO225" s="769"/>
      <c r="AP225" s="769"/>
      <c r="AQ225" s="769"/>
      <c r="AR225" s="769"/>
      <c r="AS225" s="769"/>
      <c r="AT225" s="769"/>
      <c r="AU225" s="769"/>
      <c r="AV225" s="769"/>
      <c r="AW225" s="769"/>
      <c r="AX225" s="769"/>
      <c r="AY225" s="769"/>
      <c r="AZ225" s="769"/>
      <c r="BA225" s="769"/>
      <c r="BB225" s="769"/>
      <c r="BC225" s="769"/>
      <c r="BD225" s="661"/>
      <c r="BF225" s="480"/>
      <c r="BG225" s="480"/>
      <c r="BH225" s="480"/>
      <c r="BI225" s="480"/>
      <c r="BJ225" s="480"/>
      <c r="BK225" s="769"/>
      <c r="BL225" s="769"/>
      <c r="BM225" s="769"/>
      <c r="BN225" s="769"/>
      <c r="BO225" s="769"/>
      <c r="BP225" s="769"/>
    </row>
    <row r="226" spans="1:68" s="775" customFormat="1" ht="15.6">
      <c r="A226" s="762"/>
      <c r="B226" s="763"/>
      <c r="C226" s="763"/>
      <c r="D226" s="763"/>
      <c r="E226" s="763"/>
      <c r="F226" s="763"/>
      <c r="G226" s="689"/>
      <c r="H226" s="764"/>
      <c r="I226" s="763"/>
      <c r="J226" s="689"/>
      <c r="K226" s="764"/>
      <c r="L226" s="763"/>
      <c r="M226" s="689"/>
      <c r="N226" s="765"/>
      <c r="O226" s="776"/>
      <c r="P226" s="776"/>
      <c r="Q226" s="777"/>
      <c r="R226" s="762"/>
      <c r="S226" s="768"/>
      <c r="T226" s="769"/>
      <c r="U226" s="772"/>
      <c r="V226" s="771"/>
      <c r="W226" s="772"/>
      <c r="X226" s="773"/>
      <c r="Y226" s="773"/>
      <c r="Z226" s="772"/>
      <c r="AA226" s="772"/>
      <c r="AB226" s="772"/>
      <c r="AC226" s="772"/>
      <c r="AD226" s="772"/>
      <c r="AE226" s="772"/>
      <c r="AF226" s="774"/>
      <c r="AG226" s="772"/>
      <c r="AH226" s="772"/>
      <c r="AI226" s="769"/>
      <c r="AJ226" s="772"/>
      <c r="AK226" s="769"/>
      <c r="AL226" s="769"/>
      <c r="AM226" s="769"/>
      <c r="AN226" s="769"/>
      <c r="AO226" s="769"/>
      <c r="AP226" s="769"/>
      <c r="AQ226" s="769"/>
      <c r="AR226" s="769"/>
      <c r="AS226" s="769"/>
      <c r="AT226" s="769"/>
      <c r="AU226" s="769"/>
      <c r="AV226" s="769"/>
      <c r="AW226" s="769"/>
      <c r="AX226" s="769"/>
      <c r="AY226" s="769"/>
      <c r="AZ226" s="769"/>
      <c r="BA226" s="769"/>
      <c r="BB226" s="769"/>
      <c r="BC226" s="769"/>
      <c r="BD226" s="661"/>
      <c r="BF226" s="480"/>
      <c r="BG226" s="480"/>
      <c r="BH226" s="480"/>
      <c r="BI226" s="480"/>
      <c r="BJ226" s="480"/>
      <c r="BK226" s="769"/>
      <c r="BL226" s="769"/>
      <c r="BM226" s="769"/>
      <c r="BN226" s="769"/>
      <c r="BO226" s="769"/>
      <c r="BP226" s="769"/>
    </row>
    <row r="227" spans="1:68" s="775" customFormat="1" ht="15.6">
      <c r="A227" s="762"/>
      <c r="B227" s="763">
        <v>0</v>
      </c>
      <c r="C227" s="763">
        <v>0</v>
      </c>
      <c r="D227" s="763">
        <v>0</v>
      </c>
      <c r="E227" s="763">
        <v>0</v>
      </c>
      <c r="F227" s="763">
        <v>0</v>
      </c>
      <c r="G227" s="689">
        <f t="shared" ref="G227:G236" si="826">+G$4</f>
        <v>0</v>
      </c>
      <c r="H227" s="764">
        <f t="shared" ref="H227:H236" si="827">AM227+AN227</f>
        <v>0</v>
      </c>
      <c r="I227" s="763">
        <v>0</v>
      </c>
      <c r="J227" s="689">
        <f t="shared" ref="J227:J236" si="828">+J$4</f>
        <v>0</v>
      </c>
      <c r="K227" s="764">
        <f t="shared" ref="K227:K236" si="829">AR227+AT227+AV227+AX227</f>
        <v>0</v>
      </c>
      <c r="L227" s="763">
        <v>0</v>
      </c>
      <c r="M227" s="689">
        <f t="shared" ref="M227:M236" si="830">+M$4</f>
        <v>0</v>
      </c>
      <c r="N227" s="765"/>
      <c r="O227" s="776"/>
      <c r="P227" s="776"/>
      <c r="Q227" s="777" t="s">
        <v>355</v>
      </c>
      <c r="R227" s="762" t="s">
        <v>211</v>
      </c>
      <c r="S227" s="768">
        <v>1</v>
      </c>
      <c r="T227" s="769">
        <f t="shared" ref="T227:T236" si="831">_xlfn.IFNA(ROUNDUP(AF227+AJ227+AO227+AQ227+L227+AS227+AU227+AW227+F227+AZ227+BB227,2),0)</f>
        <v>0</v>
      </c>
      <c r="U227" s="772">
        <f t="shared" ref="U227:U236" si="832">ROUND(T227*ROUNDUP(S227,1),2)</f>
        <v>0</v>
      </c>
      <c r="V227" s="771">
        <v>0</v>
      </c>
      <c r="W227" s="772">
        <f t="shared" ref="W227:W236" si="833">ROUND(+U227*V227,2)</f>
        <v>0</v>
      </c>
      <c r="X227" s="773"/>
      <c r="Y227" s="773"/>
      <c r="Z227" s="772">
        <f t="shared" ref="Z227:Z236" si="834">_xlfn.IFNA(ROUNDUP(AJ227*U227,2),0)</f>
        <v>0</v>
      </c>
      <c r="AA227" s="772">
        <f t="shared" ref="AA227:AA236" si="835">_xlfn.IFNA(ROUNDUP(AK227*V227,2),0)</f>
        <v>0</v>
      </c>
      <c r="AB227" s="772">
        <f t="shared" ref="AB227:AB236" si="836">ROUNDUP((AP227+AL227)*V227,2)</f>
        <v>0</v>
      </c>
      <c r="AC227" s="772">
        <f t="shared" ref="AC227:AC236" si="837">_xlfn.IFNA(ROUNDUP((AT227+AV227+AR227)*V227,2),0)</f>
        <v>0</v>
      </c>
      <c r="AD227" s="772">
        <f t="shared" ref="AD227:AD236" si="838">_xlfn.IFNA(ROUNDUP((BA227+AY227)*V227,2),0)</f>
        <v>0</v>
      </c>
      <c r="AE227" s="772">
        <f t="shared" ref="AE227:AE236" si="839">_xlfn.IFNA((BC227+AX227+AG227)*V227,0)</f>
        <v>0</v>
      </c>
      <c r="AF227" s="774">
        <f t="shared" ref="AF227:AF236" si="840">+_xlfn.IFNA(D227,0)</f>
        <v>0</v>
      </c>
      <c r="AG227" s="772">
        <f t="shared" ref="AG227:AG236" si="841">_xlfn.IFNA(ROUNDUP(D227*S227,2),0)</f>
        <v>0</v>
      </c>
      <c r="AH227" s="772">
        <f t="shared" ref="AH227:AH236" si="842">+_xlfn.IFNA(C227,0)</f>
        <v>0</v>
      </c>
      <c r="AI227" s="769">
        <f t="shared" ref="AI227:AI236" si="843">_xlfn.IFNA(C227*S227,0)</f>
        <v>0</v>
      </c>
      <c r="AJ227" s="772">
        <f t="shared" ref="AJ227:AJ236" si="844">+_xlfn.IFNA(E227,0)</f>
        <v>0</v>
      </c>
      <c r="AK227" s="769">
        <f t="shared" ref="AK227:AK236" si="845">_xlfn.IFNA(E227*S227,0)</f>
        <v>0</v>
      </c>
      <c r="AL227" s="769">
        <f t="shared" ref="AL227:AL236" si="846">ROUNDUP(S227*AQ227,2)</f>
        <v>0</v>
      </c>
      <c r="AM227" s="769">
        <f t="shared" ref="AM227:AM236" si="847">ROUNDUP(+I227*S227,2)</f>
        <v>0</v>
      </c>
      <c r="AN227" s="769">
        <f t="shared" ref="AN227:AN236" si="848">J227*I227*S227</f>
        <v>0</v>
      </c>
      <c r="AO227" s="769">
        <f t="shared" ref="AO227:AO236" si="849">ROUNDUP(I227*I$4*J227,2)</f>
        <v>0</v>
      </c>
      <c r="AP227" s="769">
        <f t="shared" ref="AP227:AP236" si="850">AO227*S227</f>
        <v>0</v>
      </c>
      <c r="AQ227" s="769">
        <f t="shared" ref="AQ227:AQ236" si="851">IF(I227=0,0,ROUNDUP(I$4*I227,2))</f>
        <v>0</v>
      </c>
      <c r="AR227" s="769">
        <f t="shared" ref="AR227:AR236" si="852">+_xlfn.IFNA(ROUNDUP(L227*ROUNDUP(S227,1),2),0)</f>
        <v>0</v>
      </c>
      <c r="AS227" s="769">
        <v>0</v>
      </c>
      <c r="AT227" s="769">
        <f t="shared" ref="AT227:AT236" si="853">+ROUNDUP(AS227*S227,2)</f>
        <v>0</v>
      </c>
      <c r="AU227" s="769">
        <f t="shared" ref="AU227:AU236" si="854">_xlfn.IFNA(ROUNDUP((L227+AS227)*M227,2),0)</f>
        <v>0</v>
      </c>
      <c r="AV227" s="769">
        <f t="shared" ref="AV227:AV236" si="855">ROUNDUP(AU227*S227,2)</f>
        <v>0</v>
      </c>
      <c r="AW227" s="769">
        <f t="shared" ref="AW227:AW236" si="856">_xlfn.IFNA(ROUNDUP((L227+AS227+AU227)*(L$4)*L$3,2),0)</f>
        <v>0</v>
      </c>
      <c r="AX227" s="769">
        <f t="shared" ref="AX227:AX236" si="857">ROUNDUP(+AW227*ROUNDUP(S227,1),2)</f>
        <v>0</v>
      </c>
      <c r="AY227" s="769">
        <f t="shared" ref="AY227:AY236" si="858">_xlfn.IFNA(ROUNDUP(F227*S227,2),0)</f>
        <v>0</v>
      </c>
      <c r="AZ227" s="769">
        <f t="shared" ref="AZ227:AZ236" si="859">_xlfn.IFNA(ROUNDUP(F227*G227,2),0)</f>
        <v>0</v>
      </c>
      <c r="BA227" s="769">
        <f t="shared" ref="BA227:BA236" si="860">ROUNDUP(AZ227*S227,2)</f>
        <v>0</v>
      </c>
      <c r="BB227" s="769">
        <f t="shared" ref="BB227:BB236" si="861">_xlfn.IFNA(ROUNDUP((ROUNDUP(F227+AZ227,2)*F$4)*F$3,2),0)</f>
        <v>0</v>
      </c>
      <c r="BC227" s="769">
        <f t="shared" ref="BC227:BC236" si="862">BB227*S227</f>
        <v>0</v>
      </c>
      <c r="BD227" s="661"/>
      <c r="BF227" s="480"/>
      <c r="BG227" s="480"/>
      <c r="BH227" s="480"/>
      <c r="BI227" s="480"/>
      <c r="BJ227" s="480"/>
      <c r="BK227" s="769">
        <f t="shared" ref="BK227:BK236" si="863">IF(BK$7=$Y227,(+$AL227+$AP227),(0))</f>
        <v>0</v>
      </c>
      <c r="BL227" s="769">
        <f t="shared" ref="BL227:BL236" si="864">IF(BL$7=$Y227,(+BK227*$V227),(0))</f>
        <v>0</v>
      </c>
      <c r="BM227" s="769">
        <f t="shared" ref="BM227:BM236" si="865">IF(BM$7=$Y227,(+$AR227+$AT227+$AV227),(0))</f>
        <v>0</v>
      </c>
      <c r="BN227" s="769">
        <f t="shared" ref="BN227:BN236" si="866">IF(BN$7=$Y227,(+BM227*$V227),(0))</f>
        <v>0</v>
      </c>
      <c r="BO227" s="769">
        <f t="shared" ref="BO227:BO236" si="867">IF(BO$7=$X227,($AY227+$BA227),(0))</f>
        <v>0</v>
      </c>
      <c r="BP227" s="769">
        <f t="shared" ref="BP227:BP236" si="868">IF(BP$7=$X227,(+BO227*$V227),(0))</f>
        <v>0</v>
      </c>
    </row>
    <row r="228" spans="1:68" s="775" customFormat="1" ht="15.6">
      <c r="A228" s="762"/>
      <c r="B228" s="763">
        <v>0</v>
      </c>
      <c r="C228" s="763">
        <v>0</v>
      </c>
      <c r="D228" s="763">
        <v>0</v>
      </c>
      <c r="E228" s="763">
        <v>0</v>
      </c>
      <c r="F228" s="763">
        <v>0</v>
      </c>
      <c r="G228" s="689">
        <f t="shared" si="826"/>
        <v>0</v>
      </c>
      <c r="H228" s="764">
        <f t="shared" si="827"/>
        <v>0</v>
      </c>
      <c r="I228" s="763">
        <v>0</v>
      </c>
      <c r="J228" s="689">
        <f t="shared" si="828"/>
        <v>0</v>
      </c>
      <c r="K228" s="764">
        <f t="shared" si="829"/>
        <v>0</v>
      </c>
      <c r="L228" s="763">
        <v>0</v>
      </c>
      <c r="M228" s="689">
        <f t="shared" si="830"/>
        <v>0</v>
      </c>
      <c r="N228" s="765"/>
      <c r="O228" s="776"/>
      <c r="P228" s="776"/>
      <c r="Q228" s="777" t="s">
        <v>356</v>
      </c>
      <c r="R228" s="762" t="s">
        <v>211</v>
      </c>
      <c r="S228" s="768">
        <v>1</v>
      </c>
      <c r="T228" s="769">
        <f t="shared" si="831"/>
        <v>0</v>
      </c>
      <c r="U228" s="772">
        <f t="shared" si="832"/>
        <v>0</v>
      </c>
      <c r="V228" s="771">
        <v>0</v>
      </c>
      <c r="W228" s="772">
        <f t="shared" si="833"/>
        <v>0</v>
      </c>
      <c r="X228" s="773"/>
      <c r="Y228" s="773"/>
      <c r="Z228" s="772">
        <f t="shared" si="834"/>
        <v>0</v>
      </c>
      <c r="AA228" s="772">
        <f t="shared" si="835"/>
        <v>0</v>
      </c>
      <c r="AB228" s="772">
        <f t="shared" si="836"/>
        <v>0</v>
      </c>
      <c r="AC228" s="772">
        <f t="shared" si="837"/>
        <v>0</v>
      </c>
      <c r="AD228" s="772">
        <f t="shared" si="838"/>
        <v>0</v>
      </c>
      <c r="AE228" s="772">
        <f t="shared" si="839"/>
        <v>0</v>
      </c>
      <c r="AF228" s="774">
        <f t="shared" si="840"/>
        <v>0</v>
      </c>
      <c r="AG228" s="772">
        <f t="shared" si="841"/>
        <v>0</v>
      </c>
      <c r="AH228" s="772">
        <f t="shared" si="842"/>
        <v>0</v>
      </c>
      <c r="AI228" s="769">
        <f t="shared" si="843"/>
        <v>0</v>
      </c>
      <c r="AJ228" s="772">
        <f t="shared" si="844"/>
        <v>0</v>
      </c>
      <c r="AK228" s="769">
        <f t="shared" si="845"/>
        <v>0</v>
      </c>
      <c r="AL228" s="769">
        <f t="shared" si="846"/>
        <v>0</v>
      </c>
      <c r="AM228" s="769">
        <f t="shared" si="847"/>
        <v>0</v>
      </c>
      <c r="AN228" s="769">
        <f t="shared" si="848"/>
        <v>0</v>
      </c>
      <c r="AO228" s="769">
        <f t="shared" si="849"/>
        <v>0</v>
      </c>
      <c r="AP228" s="769">
        <f t="shared" si="850"/>
        <v>0</v>
      </c>
      <c r="AQ228" s="769">
        <f t="shared" si="851"/>
        <v>0</v>
      </c>
      <c r="AR228" s="769">
        <f t="shared" si="852"/>
        <v>0</v>
      </c>
      <c r="AS228" s="769">
        <v>0</v>
      </c>
      <c r="AT228" s="769">
        <f t="shared" si="853"/>
        <v>0</v>
      </c>
      <c r="AU228" s="769">
        <f t="shared" si="854"/>
        <v>0</v>
      </c>
      <c r="AV228" s="769">
        <f t="shared" si="855"/>
        <v>0</v>
      </c>
      <c r="AW228" s="769">
        <f t="shared" si="856"/>
        <v>0</v>
      </c>
      <c r="AX228" s="769">
        <f t="shared" si="857"/>
        <v>0</v>
      </c>
      <c r="AY228" s="769">
        <f t="shared" si="858"/>
        <v>0</v>
      </c>
      <c r="AZ228" s="769">
        <f t="shared" si="859"/>
        <v>0</v>
      </c>
      <c r="BA228" s="769">
        <f t="shared" si="860"/>
        <v>0</v>
      </c>
      <c r="BB228" s="769">
        <f t="shared" si="861"/>
        <v>0</v>
      </c>
      <c r="BC228" s="769">
        <f t="shared" si="862"/>
        <v>0</v>
      </c>
      <c r="BD228" s="661"/>
      <c r="BF228" s="480"/>
      <c r="BG228" s="480"/>
      <c r="BH228" s="480"/>
      <c r="BI228" s="480"/>
      <c r="BJ228" s="480"/>
      <c r="BK228" s="769">
        <f t="shared" si="863"/>
        <v>0</v>
      </c>
      <c r="BL228" s="769">
        <f t="shared" si="864"/>
        <v>0</v>
      </c>
      <c r="BM228" s="769">
        <f t="shared" si="865"/>
        <v>0</v>
      </c>
      <c r="BN228" s="769">
        <f t="shared" si="866"/>
        <v>0</v>
      </c>
      <c r="BO228" s="769">
        <f t="shared" si="867"/>
        <v>0</v>
      </c>
      <c r="BP228" s="769">
        <f t="shared" si="868"/>
        <v>0</v>
      </c>
    </row>
    <row r="229" spans="1:68" s="775" customFormat="1" ht="15.6">
      <c r="A229" s="762"/>
      <c r="B229" s="763">
        <v>0</v>
      </c>
      <c r="C229" s="763">
        <v>0</v>
      </c>
      <c r="D229" s="763">
        <v>0</v>
      </c>
      <c r="E229" s="763">
        <v>0</v>
      </c>
      <c r="F229" s="763">
        <v>0</v>
      </c>
      <c r="G229" s="689">
        <f t="shared" si="826"/>
        <v>0</v>
      </c>
      <c r="H229" s="764">
        <f t="shared" si="827"/>
        <v>0</v>
      </c>
      <c r="I229" s="763">
        <v>0</v>
      </c>
      <c r="J229" s="689">
        <f t="shared" si="828"/>
        <v>0</v>
      </c>
      <c r="K229" s="764">
        <f t="shared" si="829"/>
        <v>0</v>
      </c>
      <c r="L229" s="763">
        <v>0</v>
      </c>
      <c r="M229" s="689">
        <f t="shared" si="830"/>
        <v>0</v>
      </c>
      <c r="N229" s="765"/>
      <c r="O229" s="776"/>
      <c r="P229" s="776"/>
      <c r="Q229" s="777" t="s">
        <v>357</v>
      </c>
      <c r="R229" s="762" t="s">
        <v>211</v>
      </c>
      <c r="S229" s="768">
        <v>1</v>
      </c>
      <c r="T229" s="769">
        <f t="shared" si="831"/>
        <v>0</v>
      </c>
      <c r="U229" s="772">
        <f t="shared" si="832"/>
        <v>0</v>
      </c>
      <c r="V229" s="771">
        <v>0</v>
      </c>
      <c r="W229" s="772">
        <f t="shared" si="833"/>
        <v>0</v>
      </c>
      <c r="X229" s="773"/>
      <c r="Y229" s="773"/>
      <c r="Z229" s="772">
        <f t="shared" si="834"/>
        <v>0</v>
      </c>
      <c r="AA229" s="772">
        <f t="shared" si="835"/>
        <v>0</v>
      </c>
      <c r="AB229" s="772">
        <f t="shared" si="836"/>
        <v>0</v>
      </c>
      <c r="AC229" s="772">
        <f t="shared" si="837"/>
        <v>0</v>
      </c>
      <c r="AD229" s="772">
        <f t="shared" si="838"/>
        <v>0</v>
      </c>
      <c r="AE229" s="772">
        <f t="shared" si="839"/>
        <v>0</v>
      </c>
      <c r="AF229" s="774">
        <f t="shared" si="840"/>
        <v>0</v>
      </c>
      <c r="AG229" s="772">
        <f t="shared" si="841"/>
        <v>0</v>
      </c>
      <c r="AH229" s="772">
        <f t="shared" si="842"/>
        <v>0</v>
      </c>
      <c r="AI229" s="769">
        <f t="shared" si="843"/>
        <v>0</v>
      </c>
      <c r="AJ229" s="772">
        <f t="shared" si="844"/>
        <v>0</v>
      </c>
      <c r="AK229" s="769">
        <f t="shared" si="845"/>
        <v>0</v>
      </c>
      <c r="AL229" s="769">
        <f t="shared" si="846"/>
        <v>0</v>
      </c>
      <c r="AM229" s="769">
        <f t="shared" si="847"/>
        <v>0</v>
      </c>
      <c r="AN229" s="769">
        <f t="shared" si="848"/>
        <v>0</v>
      </c>
      <c r="AO229" s="769">
        <f t="shared" si="849"/>
        <v>0</v>
      </c>
      <c r="AP229" s="769">
        <f t="shared" si="850"/>
        <v>0</v>
      </c>
      <c r="AQ229" s="769">
        <f t="shared" si="851"/>
        <v>0</v>
      </c>
      <c r="AR229" s="769">
        <f t="shared" si="852"/>
        <v>0</v>
      </c>
      <c r="AS229" s="769">
        <v>0</v>
      </c>
      <c r="AT229" s="769">
        <f t="shared" si="853"/>
        <v>0</v>
      </c>
      <c r="AU229" s="769">
        <f t="shared" si="854"/>
        <v>0</v>
      </c>
      <c r="AV229" s="769">
        <f t="shared" si="855"/>
        <v>0</v>
      </c>
      <c r="AW229" s="769">
        <f t="shared" si="856"/>
        <v>0</v>
      </c>
      <c r="AX229" s="769">
        <f t="shared" si="857"/>
        <v>0</v>
      </c>
      <c r="AY229" s="769">
        <f t="shared" si="858"/>
        <v>0</v>
      </c>
      <c r="AZ229" s="769">
        <f t="shared" si="859"/>
        <v>0</v>
      </c>
      <c r="BA229" s="769">
        <f t="shared" si="860"/>
        <v>0</v>
      </c>
      <c r="BB229" s="769">
        <f t="shared" si="861"/>
        <v>0</v>
      </c>
      <c r="BC229" s="769">
        <f t="shared" si="862"/>
        <v>0</v>
      </c>
      <c r="BD229" s="661"/>
      <c r="BF229" s="480"/>
      <c r="BG229" s="480"/>
      <c r="BH229" s="480"/>
      <c r="BI229" s="480"/>
      <c r="BJ229" s="480"/>
      <c r="BK229" s="769">
        <f t="shared" si="863"/>
        <v>0</v>
      </c>
      <c r="BL229" s="769">
        <f t="shared" si="864"/>
        <v>0</v>
      </c>
      <c r="BM229" s="769">
        <f t="shared" si="865"/>
        <v>0</v>
      </c>
      <c r="BN229" s="769">
        <f t="shared" si="866"/>
        <v>0</v>
      </c>
      <c r="BO229" s="769">
        <f t="shared" si="867"/>
        <v>0</v>
      </c>
      <c r="BP229" s="769">
        <f t="shared" si="868"/>
        <v>0</v>
      </c>
    </row>
    <row r="230" spans="1:68" s="775" customFormat="1" ht="15.6">
      <c r="A230" s="762"/>
      <c r="B230" s="763">
        <v>0</v>
      </c>
      <c r="C230" s="763">
        <v>0</v>
      </c>
      <c r="D230" s="763">
        <v>0</v>
      </c>
      <c r="E230" s="763">
        <v>0</v>
      </c>
      <c r="F230" s="763">
        <v>0</v>
      </c>
      <c r="G230" s="689">
        <f t="shared" si="826"/>
        <v>0</v>
      </c>
      <c r="H230" s="764">
        <f t="shared" si="827"/>
        <v>0</v>
      </c>
      <c r="I230" s="763">
        <v>0</v>
      </c>
      <c r="J230" s="689">
        <f t="shared" si="828"/>
        <v>0</v>
      </c>
      <c r="K230" s="764">
        <f t="shared" si="829"/>
        <v>0</v>
      </c>
      <c r="L230" s="763">
        <v>0</v>
      </c>
      <c r="M230" s="689">
        <f t="shared" si="830"/>
        <v>0</v>
      </c>
      <c r="N230" s="765"/>
      <c r="O230" s="776"/>
      <c r="P230" s="776"/>
      <c r="Q230" s="777" t="s">
        <v>66</v>
      </c>
      <c r="R230" s="762" t="s">
        <v>211</v>
      </c>
      <c r="S230" s="768">
        <v>1</v>
      </c>
      <c r="T230" s="769">
        <f t="shared" si="831"/>
        <v>0</v>
      </c>
      <c r="U230" s="772">
        <f t="shared" si="832"/>
        <v>0</v>
      </c>
      <c r="V230" s="771">
        <v>0</v>
      </c>
      <c r="W230" s="772">
        <f t="shared" si="833"/>
        <v>0</v>
      </c>
      <c r="X230" s="773"/>
      <c r="Y230" s="773"/>
      <c r="Z230" s="772">
        <f t="shared" si="834"/>
        <v>0</v>
      </c>
      <c r="AA230" s="772">
        <f t="shared" si="835"/>
        <v>0</v>
      </c>
      <c r="AB230" s="772">
        <f t="shared" si="836"/>
        <v>0</v>
      </c>
      <c r="AC230" s="772">
        <f t="shared" si="837"/>
        <v>0</v>
      </c>
      <c r="AD230" s="772">
        <f t="shared" si="838"/>
        <v>0</v>
      </c>
      <c r="AE230" s="772">
        <f t="shared" si="839"/>
        <v>0</v>
      </c>
      <c r="AF230" s="774">
        <f t="shared" si="840"/>
        <v>0</v>
      </c>
      <c r="AG230" s="772">
        <f t="shared" si="841"/>
        <v>0</v>
      </c>
      <c r="AH230" s="772">
        <f t="shared" si="842"/>
        <v>0</v>
      </c>
      <c r="AI230" s="769">
        <f t="shared" si="843"/>
        <v>0</v>
      </c>
      <c r="AJ230" s="772">
        <f t="shared" si="844"/>
        <v>0</v>
      </c>
      <c r="AK230" s="769">
        <f t="shared" si="845"/>
        <v>0</v>
      </c>
      <c r="AL230" s="769">
        <f t="shared" si="846"/>
        <v>0</v>
      </c>
      <c r="AM230" s="769">
        <f t="shared" si="847"/>
        <v>0</v>
      </c>
      <c r="AN230" s="769">
        <f t="shared" si="848"/>
        <v>0</v>
      </c>
      <c r="AO230" s="769">
        <f t="shared" si="849"/>
        <v>0</v>
      </c>
      <c r="AP230" s="769">
        <f t="shared" si="850"/>
        <v>0</v>
      </c>
      <c r="AQ230" s="769">
        <f t="shared" si="851"/>
        <v>0</v>
      </c>
      <c r="AR230" s="769">
        <f t="shared" si="852"/>
        <v>0</v>
      </c>
      <c r="AS230" s="769">
        <v>0</v>
      </c>
      <c r="AT230" s="769">
        <f t="shared" si="853"/>
        <v>0</v>
      </c>
      <c r="AU230" s="769">
        <f t="shared" si="854"/>
        <v>0</v>
      </c>
      <c r="AV230" s="769">
        <f t="shared" si="855"/>
        <v>0</v>
      </c>
      <c r="AW230" s="769">
        <f t="shared" si="856"/>
        <v>0</v>
      </c>
      <c r="AX230" s="769">
        <f t="shared" si="857"/>
        <v>0</v>
      </c>
      <c r="AY230" s="769">
        <f t="shared" si="858"/>
        <v>0</v>
      </c>
      <c r="AZ230" s="769">
        <f t="shared" si="859"/>
        <v>0</v>
      </c>
      <c r="BA230" s="769">
        <f t="shared" si="860"/>
        <v>0</v>
      </c>
      <c r="BB230" s="769">
        <f t="shared" si="861"/>
        <v>0</v>
      </c>
      <c r="BC230" s="769">
        <f t="shared" si="862"/>
        <v>0</v>
      </c>
      <c r="BD230" s="661"/>
      <c r="BF230" s="480"/>
      <c r="BG230" s="480"/>
      <c r="BH230" s="480"/>
      <c r="BI230" s="480"/>
      <c r="BJ230" s="480"/>
      <c r="BK230" s="769">
        <f t="shared" si="863"/>
        <v>0</v>
      </c>
      <c r="BL230" s="769">
        <f t="shared" si="864"/>
        <v>0</v>
      </c>
      <c r="BM230" s="769">
        <f t="shared" si="865"/>
        <v>0</v>
      </c>
      <c r="BN230" s="769">
        <f t="shared" si="866"/>
        <v>0</v>
      </c>
      <c r="BO230" s="769">
        <f t="shared" si="867"/>
        <v>0</v>
      </c>
      <c r="BP230" s="769">
        <f t="shared" si="868"/>
        <v>0</v>
      </c>
    </row>
    <row r="231" spans="1:68" s="775" customFormat="1" ht="15.6">
      <c r="A231" s="762"/>
      <c r="B231" s="763">
        <v>0</v>
      </c>
      <c r="C231" s="763">
        <v>0</v>
      </c>
      <c r="D231" s="763">
        <v>0</v>
      </c>
      <c r="E231" s="763">
        <v>0</v>
      </c>
      <c r="F231" s="763">
        <v>0</v>
      </c>
      <c r="G231" s="689">
        <f t="shared" si="826"/>
        <v>0</v>
      </c>
      <c r="H231" s="764">
        <f t="shared" si="827"/>
        <v>0</v>
      </c>
      <c r="I231" s="763">
        <v>0</v>
      </c>
      <c r="J231" s="689">
        <f t="shared" si="828"/>
        <v>0</v>
      </c>
      <c r="K231" s="764">
        <f t="shared" si="829"/>
        <v>0</v>
      </c>
      <c r="L231" s="763">
        <v>0</v>
      </c>
      <c r="M231" s="689">
        <f t="shared" si="830"/>
        <v>0</v>
      </c>
      <c r="N231" s="765"/>
      <c r="O231" s="776"/>
      <c r="P231" s="776"/>
      <c r="Q231" s="777" t="s">
        <v>67</v>
      </c>
      <c r="R231" s="762" t="s">
        <v>211</v>
      </c>
      <c r="S231" s="768">
        <v>1</v>
      </c>
      <c r="T231" s="769">
        <f t="shared" si="831"/>
        <v>0</v>
      </c>
      <c r="U231" s="772">
        <f t="shared" si="832"/>
        <v>0</v>
      </c>
      <c r="V231" s="771">
        <v>0</v>
      </c>
      <c r="W231" s="772">
        <f t="shared" si="833"/>
        <v>0</v>
      </c>
      <c r="X231" s="773"/>
      <c r="Y231" s="773"/>
      <c r="Z231" s="772">
        <f t="shared" si="834"/>
        <v>0</v>
      </c>
      <c r="AA231" s="772">
        <f t="shared" si="835"/>
        <v>0</v>
      </c>
      <c r="AB231" s="772">
        <f t="shared" si="836"/>
        <v>0</v>
      </c>
      <c r="AC231" s="772">
        <f t="shared" si="837"/>
        <v>0</v>
      </c>
      <c r="AD231" s="772">
        <f t="shared" si="838"/>
        <v>0</v>
      </c>
      <c r="AE231" s="772">
        <f t="shared" si="839"/>
        <v>0</v>
      </c>
      <c r="AF231" s="774">
        <f t="shared" si="840"/>
        <v>0</v>
      </c>
      <c r="AG231" s="772">
        <f t="shared" si="841"/>
        <v>0</v>
      </c>
      <c r="AH231" s="772">
        <f t="shared" si="842"/>
        <v>0</v>
      </c>
      <c r="AI231" s="769">
        <f t="shared" si="843"/>
        <v>0</v>
      </c>
      <c r="AJ231" s="772">
        <f t="shared" si="844"/>
        <v>0</v>
      </c>
      <c r="AK231" s="769">
        <f t="shared" si="845"/>
        <v>0</v>
      </c>
      <c r="AL231" s="769">
        <f t="shared" si="846"/>
        <v>0</v>
      </c>
      <c r="AM231" s="769">
        <f t="shared" si="847"/>
        <v>0</v>
      </c>
      <c r="AN231" s="769">
        <f t="shared" si="848"/>
        <v>0</v>
      </c>
      <c r="AO231" s="769">
        <f t="shared" si="849"/>
        <v>0</v>
      </c>
      <c r="AP231" s="769">
        <f t="shared" si="850"/>
        <v>0</v>
      </c>
      <c r="AQ231" s="769">
        <f t="shared" si="851"/>
        <v>0</v>
      </c>
      <c r="AR231" s="769">
        <f t="shared" si="852"/>
        <v>0</v>
      </c>
      <c r="AS231" s="769">
        <v>0</v>
      </c>
      <c r="AT231" s="769">
        <f t="shared" si="853"/>
        <v>0</v>
      </c>
      <c r="AU231" s="769">
        <f t="shared" si="854"/>
        <v>0</v>
      </c>
      <c r="AV231" s="769">
        <f t="shared" si="855"/>
        <v>0</v>
      </c>
      <c r="AW231" s="769">
        <f t="shared" si="856"/>
        <v>0</v>
      </c>
      <c r="AX231" s="769">
        <f t="shared" si="857"/>
        <v>0</v>
      </c>
      <c r="AY231" s="769">
        <f t="shared" si="858"/>
        <v>0</v>
      </c>
      <c r="AZ231" s="769">
        <f t="shared" si="859"/>
        <v>0</v>
      </c>
      <c r="BA231" s="769">
        <f t="shared" si="860"/>
        <v>0</v>
      </c>
      <c r="BB231" s="769">
        <f t="shared" si="861"/>
        <v>0</v>
      </c>
      <c r="BC231" s="769">
        <f t="shared" si="862"/>
        <v>0</v>
      </c>
      <c r="BD231" s="661"/>
      <c r="BF231" s="480"/>
      <c r="BG231" s="480"/>
      <c r="BH231" s="480"/>
      <c r="BI231" s="480"/>
      <c r="BJ231" s="480"/>
      <c r="BK231" s="769">
        <f t="shared" si="863"/>
        <v>0</v>
      </c>
      <c r="BL231" s="769">
        <f t="shared" si="864"/>
        <v>0</v>
      </c>
      <c r="BM231" s="769">
        <f t="shared" si="865"/>
        <v>0</v>
      </c>
      <c r="BN231" s="769">
        <f t="shared" si="866"/>
        <v>0</v>
      </c>
      <c r="BO231" s="769">
        <f t="shared" si="867"/>
        <v>0</v>
      </c>
      <c r="BP231" s="769">
        <f t="shared" si="868"/>
        <v>0</v>
      </c>
    </row>
    <row r="232" spans="1:68" s="775" customFormat="1" ht="15.6">
      <c r="A232" s="762"/>
      <c r="B232" s="763">
        <v>0</v>
      </c>
      <c r="C232" s="763">
        <v>0</v>
      </c>
      <c r="D232" s="763">
        <v>0</v>
      </c>
      <c r="E232" s="763">
        <v>0</v>
      </c>
      <c r="F232" s="763">
        <v>0</v>
      </c>
      <c r="G232" s="689">
        <f t="shared" si="826"/>
        <v>0</v>
      </c>
      <c r="H232" s="764">
        <f t="shared" si="827"/>
        <v>0</v>
      </c>
      <c r="I232" s="763">
        <v>0</v>
      </c>
      <c r="J232" s="689">
        <f t="shared" si="828"/>
        <v>0</v>
      </c>
      <c r="K232" s="764">
        <f t="shared" si="829"/>
        <v>0</v>
      </c>
      <c r="L232" s="763">
        <v>0</v>
      </c>
      <c r="M232" s="689">
        <f t="shared" si="830"/>
        <v>0</v>
      </c>
      <c r="N232" s="765"/>
      <c r="O232" s="776"/>
      <c r="P232" s="776"/>
      <c r="Q232" s="777" t="s">
        <v>358</v>
      </c>
      <c r="R232" s="762" t="s">
        <v>211</v>
      </c>
      <c r="S232" s="768">
        <v>1</v>
      </c>
      <c r="T232" s="769">
        <f t="shared" si="831"/>
        <v>0</v>
      </c>
      <c r="U232" s="772">
        <f t="shared" si="832"/>
        <v>0</v>
      </c>
      <c r="V232" s="771">
        <v>0</v>
      </c>
      <c r="W232" s="772">
        <f t="shared" si="833"/>
        <v>0</v>
      </c>
      <c r="X232" s="773"/>
      <c r="Y232" s="773"/>
      <c r="Z232" s="772">
        <f t="shared" si="834"/>
        <v>0</v>
      </c>
      <c r="AA232" s="772">
        <f t="shared" si="835"/>
        <v>0</v>
      </c>
      <c r="AB232" s="772">
        <f t="shared" si="836"/>
        <v>0</v>
      </c>
      <c r="AC232" s="772">
        <f t="shared" si="837"/>
        <v>0</v>
      </c>
      <c r="AD232" s="772">
        <f t="shared" si="838"/>
        <v>0</v>
      </c>
      <c r="AE232" s="772">
        <f t="shared" si="839"/>
        <v>0</v>
      </c>
      <c r="AF232" s="774">
        <f t="shared" si="840"/>
        <v>0</v>
      </c>
      <c r="AG232" s="772">
        <f t="shared" si="841"/>
        <v>0</v>
      </c>
      <c r="AH232" s="772">
        <f t="shared" si="842"/>
        <v>0</v>
      </c>
      <c r="AI232" s="769">
        <f t="shared" si="843"/>
        <v>0</v>
      </c>
      <c r="AJ232" s="772">
        <f t="shared" si="844"/>
        <v>0</v>
      </c>
      <c r="AK232" s="769">
        <f t="shared" si="845"/>
        <v>0</v>
      </c>
      <c r="AL232" s="769">
        <f t="shared" si="846"/>
        <v>0</v>
      </c>
      <c r="AM232" s="769">
        <f t="shared" si="847"/>
        <v>0</v>
      </c>
      <c r="AN232" s="769">
        <f t="shared" si="848"/>
        <v>0</v>
      </c>
      <c r="AO232" s="769">
        <f t="shared" si="849"/>
        <v>0</v>
      </c>
      <c r="AP232" s="769">
        <f t="shared" si="850"/>
        <v>0</v>
      </c>
      <c r="AQ232" s="769">
        <f t="shared" si="851"/>
        <v>0</v>
      </c>
      <c r="AR232" s="769">
        <f t="shared" si="852"/>
        <v>0</v>
      </c>
      <c r="AS232" s="769">
        <v>0</v>
      </c>
      <c r="AT232" s="769">
        <f t="shared" si="853"/>
        <v>0</v>
      </c>
      <c r="AU232" s="769">
        <f t="shared" si="854"/>
        <v>0</v>
      </c>
      <c r="AV232" s="769">
        <f t="shared" si="855"/>
        <v>0</v>
      </c>
      <c r="AW232" s="769">
        <f t="shared" si="856"/>
        <v>0</v>
      </c>
      <c r="AX232" s="769">
        <f t="shared" si="857"/>
        <v>0</v>
      </c>
      <c r="AY232" s="769">
        <f t="shared" si="858"/>
        <v>0</v>
      </c>
      <c r="AZ232" s="769">
        <f t="shared" si="859"/>
        <v>0</v>
      </c>
      <c r="BA232" s="769">
        <f t="shared" si="860"/>
        <v>0</v>
      </c>
      <c r="BB232" s="769">
        <f t="shared" si="861"/>
        <v>0</v>
      </c>
      <c r="BC232" s="769">
        <f t="shared" si="862"/>
        <v>0</v>
      </c>
      <c r="BD232" s="661"/>
      <c r="BF232" s="480"/>
      <c r="BG232" s="480"/>
      <c r="BH232" s="480"/>
      <c r="BI232" s="480"/>
      <c r="BJ232" s="480"/>
      <c r="BK232" s="769">
        <f t="shared" si="863"/>
        <v>0</v>
      </c>
      <c r="BL232" s="769">
        <f t="shared" si="864"/>
        <v>0</v>
      </c>
      <c r="BM232" s="769">
        <f t="shared" si="865"/>
        <v>0</v>
      </c>
      <c r="BN232" s="769">
        <f t="shared" si="866"/>
        <v>0</v>
      </c>
      <c r="BO232" s="769">
        <f t="shared" si="867"/>
        <v>0</v>
      </c>
      <c r="BP232" s="769">
        <f t="shared" si="868"/>
        <v>0</v>
      </c>
    </row>
    <row r="233" spans="1:68" s="775" customFormat="1" ht="15.6">
      <c r="A233" s="762"/>
      <c r="B233" s="763">
        <v>0</v>
      </c>
      <c r="C233" s="763">
        <v>0</v>
      </c>
      <c r="D233" s="763">
        <v>0</v>
      </c>
      <c r="E233" s="763">
        <v>0</v>
      </c>
      <c r="F233" s="763">
        <v>0</v>
      </c>
      <c r="G233" s="689">
        <f t="shared" si="826"/>
        <v>0</v>
      </c>
      <c r="H233" s="764">
        <f t="shared" si="827"/>
        <v>0</v>
      </c>
      <c r="I233" s="763">
        <v>0</v>
      </c>
      <c r="J233" s="689">
        <f t="shared" si="828"/>
        <v>0</v>
      </c>
      <c r="K233" s="764">
        <f t="shared" si="829"/>
        <v>0</v>
      </c>
      <c r="L233" s="763">
        <v>0</v>
      </c>
      <c r="M233" s="689">
        <f t="shared" si="830"/>
        <v>0</v>
      </c>
      <c r="N233" s="765"/>
      <c r="O233" s="776"/>
      <c r="P233" s="776"/>
      <c r="Q233" s="777" t="s">
        <v>359</v>
      </c>
      <c r="R233" s="762" t="s">
        <v>211</v>
      </c>
      <c r="S233" s="768">
        <v>1</v>
      </c>
      <c r="T233" s="769">
        <f t="shared" si="831"/>
        <v>0</v>
      </c>
      <c r="U233" s="772">
        <f t="shared" si="832"/>
        <v>0</v>
      </c>
      <c r="V233" s="771">
        <v>0</v>
      </c>
      <c r="W233" s="772">
        <f t="shared" si="833"/>
        <v>0</v>
      </c>
      <c r="X233" s="773"/>
      <c r="Y233" s="773"/>
      <c r="Z233" s="772">
        <f t="shared" si="834"/>
        <v>0</v>
      </c>
      <c r="AA233" s="772">
        <f t="shared" si="835"/>
        <v>0</v>
      </c>
      <c r="AB233" s="772">
        <f t="shared" si="836"/>
        <v>0</v>
      </c>
      <c r="AC233" s="772">
        <f t="shared" si="837"/>
        <v>0</v>
      </c>
      <c r="AD233" s="772">
        <f t="shared" si="838"/>
        <v>0</v>
      </c>
      <c r="AE233" s="772">
        <f t="shared" si="839"/>
        <v>0</v>
      </c>
      <c r="AF233" s="774">
        <f t="shared" si="840"/>
        <v>0</v>
      </c>
      <c r="AG233" s="772">
        <f t="shared" si="841"/>
        <v>0</v>
      </c>
      <c r="AH233" s="772">
        <f t="shared" si="842"/>
        <v>0</v>
      </c>
      <c r="AI233" s="769">
        <f t="shared" si="843"/>
        <v>0</v>
      </c>
      <c r="AJ233" s="772">
        <f t="shared" si="844"/>
        <v>0</v>
      </c>
      <c r="AK233" s="769">
        <f t="shared" si="845"/>
        <v>0</v>
      </c>
      <c r="AL233" s="769">
        <f t="shared" si="846"/>
        <v>0</v>
      </c>
      <c r="AM233" s="769">
        <f t="shared" si="847"/>
        <v>0</v>
      </c>
      <c r="AN233" s="769">
        <f t="shared" si="848"/>
        <v>0</v>
      </c>
      <c r="AO233" s="769">
        <f t="shared" si="849"/>
        <v>0</v>
      </c>
      <c r="AP233" s="769">
        <f t="shared" si="850"/>
        <v>0</v>
      </c>
      <c r="AQ233" s="769">
        <f t="shared" si="851"/>
        <v>0</v>
      </c>
      <c r="AR233" s="769">
        <f t="shared" si="852"/>
        <v>0</v>
      </c>
      <c r="AS233" s="769">
        <v>0</v>
      </c>
      <c r="AT233" s="769">
        <f t="shared" si="853"/>
        <v>0</v>
      </c>
      <c r="AU233" s="769">
        <f t="shared" si="854"/>
        <v>0</v>
      </c>
      <c r="AV233" s="769">
        <f t="shared" si="855"/>
        <v>0</v>
      </c>
      <c r="AW233" s="769">
        <f t="shared" si="856"/>
        <v>0</v>
      </c>
      <c r="AX233" s="769">
        <f t="shared" si="857"/>
        <v>0</v>
      </c>
      <c r="AY233" s="769">
        <f t="shared" si="858"/>
        <v>0</v>
      </c>
      <c r="AZ233" s="769">
        <f t="shared" si="859"/>
        <v>0</v>
      </c>
      <c r="BA233" s="769">
        <f t="shared" si="860"/>
        <v>0</v>
      </c>
      <c r="BB233" s="769">
        <f t="shared" si="861"/>
        <v>0</v>
      </c>
      <c r="BC233" s="769">
        <f t="shared" si="862"/>
        <v>0</v>
      </c>
      <c r="BD233" s="661"/>
      <c r="BF233" s="480"/>
      <c r="BG233" s="480"/>
      <c r="BH233" s="480"/>
      <c r="BI233" s="480"/>
      <c r="BJ233" s="480"/>
      <c r="BK233" s="769">
        <f t="shared" si="863"/>
        <v>0</v>
      </c>
      <c r="BL233" s="769">
        <f t="shared" si="864"/>
        <v>0</v>
      </c>
      <c r="BM233" s="769">
        <f t="shared" si="865"/>
        <v>0</v>
      </c>
      <c r="BN233" s="769">
        <f t="shared" si="866"/>
        <v>0</v>
      </c>
      <c r="BO233" s="769">
        <f t="shared" si="867"/>
        <v>0</v>
      </c>
      <c r="BP233" s="769">
        <f t="shared" si="868"/>
        <v>0</v>
      </c>
    </row>
    <row r="234" spans="1:68" s="775" customFormat="1" ht="15.6">
      <c r="A234" s="762"/>
      <c r="B234" s="763">
        <v>0</v>
      </c>
      <c r="C234" s="763">
        <v>0</v>
      </c>
      <c r="D234" s="763">
        <v>0</v>
      </c>
      <c r="E234" s="763">
        <v>0</v>
      </c>
      <c r="F234" s="763">
        <v>0</v>
      </c>
      <c r="G234" s="689">
        <f t="shared" si="826"/>
        <v>0</v>
      </c>
      <c r="H234" s="764">
        <f t="shared" si="827"/>
        <v>0</v>
      </c>
      <c r="I234" s="763">
        <v>0</v>
      </c>
      <c r="J234" s="689">
        <f t="shared" si="828"/>
        <v>0</v>
      </c>
      <c r="K234" s="764">
        <f t="shared" si="829"/>
        <v>0</v>
      </c>
      <c r="L234" s="763">
        <v>0</v>
      </c>
      <c r="M234" s="689">
        <f t="shared" si="830"/>
        <v>0</v>
      </c>
      <c r="N234" s="765"/>
      <c r="O234" s="776"/>
      <c r="P234" s="776"/>
      <c r="Q234" s="777" t="s">
        <v>360</v>
      </c>
      <c r="R234" s="762" t="s">
        <v>211</v>
      </c>
      <c r="S234" s="768">
        <v>1</v>
      </c>
      <c r="T234" s="769">
        <f t="shared" si="831"/>
        <v>0</v>
      </c>
      <c r="U234" s="772">
        <f t="shared" si="832"/>
        <v>0</v>
      </c>
      <c r="V234" s="771">
        <v>0</v>
      </c>
      <c r="W234" s="772">
        <f t="shared" si="833"/>
        <v>0</v>
      </c>
      <c r="X234" s="773"/>
      <c r="Y234" s="773"/>
      <c r="Z234" s="772">
        <f t="shared" si="834"/>
        <v>0</v>
      </c>
      <c r="AA234" s="772">
        <f t="shared" si="835"/>
        <v>0</v>
      </c>
      <c r="AB234" s="772">
        <f t="shared" si="836"/>
        <v>0</v>
      </c>
      <c r="AC234" s="772">
        <f t="shared" si="837"/>
        <v>0</v>
      </c>
      <c r="AD234" s="772">
        <f t="shared" si="838"/>
        <v>0</v>
      </c>
      <c r="AE234" s="772">
        <f t="shared" si="839"/>
        <v>0</v>
      </c>
      <c r="AF234" s="774">
        <f t="shared" si="840"/>
        <v>0</v>
      </c>
      <c r="AG234" s="772">
        <f t="shared" si="841"/>
        <v>0</v>
      </c>
      <c r="AH234" s="772">
        <f t="shared" si="842"/>
        <v>0</v>
      </c>
      <c r="AI234" s="769">
        <f t="shared" si="843"/>
        <v>0</v>
      </c>
      <c r="AJ234" s="772">
        <f t="shared" si="844"/>
        <v>0</v>
      </c>
      <c r="AK234" s="769">
        <f t="shared" si="845"/>
        <v>0</v>
      </c>
      <c r="AL234" s="769">
        <f t="shared" si="846"/>
        <v>0</v>
      </c>
      <c r="AM234" s="769">
        <f t="shared" si="847"/>
        <v>0</v>
      </c>
      <c r="AN234" s="769">
        <f t="shared" si="848"/>
        <v>0</v>
      </c>
      <c r="AO234" s="769">
        <f t="shared" si="849"/>
        <v>0</v>
      </c>
      <c r="AP234" s="769">
        <f t="shared" si="850"/>
        <v>0</v>
      </c>
      <c r="AQ234" s="769">
        <f t="shared" si="851"/>
        <v>0</v>
      </c>
      <c r="AR234" s="769">
        <f t="shared" si="852"/>
        <v>0</v>
      </c>
      <c r="AS234" s="769">
        <v>0</v>
      </c>
      <c r="AT234" s="769">
        <f t="shared" si="853"/>
        <v>0</v>
      </c>
      <c r="AU234" s="769">
        <f t="shared" si="854"/>
        <v>0</v>
      </c>
      <c r="AV234" s="769">
        <f t="shared" si="855"/>
        <v>0</v>
      </c>
      <c r="AW234" s="769">
        <f t="shared" si="856"/>
        <v>0</v>
      </c>
      <c r="AX234" s="769">
        <f t="shared" si="857"/>
        <v>0</v>
      </c>
      <c r="AY234" s="769">
        <f t="shared" si="858"/>
        <v>0</v>
      </c>
      <c r="AZ234" s="769">
        <f t="shared" si="859"/>
        <v>0</v>
      </c>
      <c r="BA234" s="769">
        <f t="shared" si="860"/>
        <v>0</v>
      </c>
      <c r="BB234" s="769">
        <f t="shared" si="861"/>
        <v>0</v>
      </c>
      <c r="BC234" s="769">
        <f t="shared" si="862"/>
        <v>0</v>
      </c>
      <c r="BD234" s="661"/>
      <c r="BF234" s="480"/>
      <c r="BG234" s="480"/>
      <c r="BH234" s="480"/>
      <c r="BI234" s="480"/>
      <c r="BJ234" s="480"/>
      <c r="BK234" s="769">
        <f t="shared" si="863"/>
        <v>0</v>
      </c>
      <c r="BL234" s="769">
        <f t="shared" si="864"/>
        <v>0</v>
      </c>
      <c r="BM234" s="769">
        <f t="shared" si="865"/>
        <v>0</v>
      </c>
      <c r="BN234" s="769">
        <f t="shared" si="866"/>
        <v>0</v>
      </c>
      <c r="BO234" s="769">
        <f t="shared" si="867"/>
        <v>0</v>
      </c>
      <c r="BP234" s="769">
        <f t="shared" si="868"/>
        <v>0</v>
      </c>
    </row>
    <row r="235" spans="1:68" s="775" customFormat="1" ht="15.6">
      <c r="A235" s="762"/>
      <c r="B235" s="763">
        <v>0</v>
      </c>
      <c r="C235" s="763">
        <v>0</v>
      </c>
      <c r="D235" s="763">
        <v>0</v>
      </c>
      <c r="E235" s="763">
        <v>0</v>
      </c>
      <c r="F235" s="763">
        <v>0</v>
      </c>
      <c r="G235" s="689">
        <f t="shared" si="826"/>
        <v>0</v>
      </c>
      <c r="H235" s="764">
        <f t="shared" si="827"/>
        <v>0</v>
      </c>
      <c r="I235" s="763">
        <v>0</v>
      </c>
      <c r="J235" s="689">
        <f t="shared" si="828"/>
        <v>0</v>
      </c>
      <c r="K235" s="764">
        <f t="shared" si="829"/>
        <v>0</v>
      </c>
      <c r="L235" s="763">
        <v>0</v>
      </c>
      <c r="M235" s="689">
        <f t="shared" si="830"/>
        <v>0</v>
      </c>
      <c r="N235" s="765"/>
      <c r="O235" s="776"/>
      <c r="P235" s="776"/>
      <c r="Q235" s="777" t="s">
        <v>361</v>
      </c>
      <c r="R235" s="762" t="s">
        <v>211</v>
      </c>
      <c r="S235" s="768">
        <v>1</v>
      </c>
      <c r="T235" s="769">
        <f t="shared" si="831"/>
        <v>0</v>
      </c>
      <c r="U235" s="772">
        <f t="shared" si="832"/>
        <v>0</v>
      </c>
      <c r="V235" s="771">
        <v>0</v>
      </c>
      <c r="W235" s="772">
        <f t="shared" si="833"/>
        <v>0</v>
      </c>
      <c r="X235" s="773"/>
      <c r="Y235" s="773"/>
      <c r="Z235" s="772">
        <f t="shared" si="834"/>
        <v>0</v>
      </c>
      <c r="AA235" s="772">
        <f t="shared" si="835"/>
        <v>0</v>
      </c>
      <c r="AB235" s="772">
        <f t="shared" si="836"/>
        <v>0</v>
      </c>
      <c r="AC235" s="772">
        <f t="shared" si="837"/>
        <v>0</v>
      </c>
      <c r="AD235" s="772">
        <f t="shared" si="838"/>
        <v>0</v>
      </c>
      <c r="AE235" s="772">
        <f t="shared" si="839"/>
        <v>0</v>
      </c>
      <c r="AF235" s="774">
        <f t="shared" si="840"/>
        <v>0</v>
      </c>
      <c r="AG235" s="772">
        <f t="shared" si="841"/>
        <v>0</v>
      </c>
      <c r="AH235" s="772">
        <f t="shared" si="842"/>
        <v>0</v>
      </c>
      <c r="AI235" s="769">
        <f t="shared" si="843"/>
        <v>0</v>
      </c>
      <c r="AJ235" s="772">
        <f t="shared" si="844"/>
        <v>0</v>
      </c>
      <c r="AK235" s="769">
        <f t="shared" si="845"/>
        <v>0</v>
      </c>
      <c r="AL235" s="769">
        <f t="shared" si="846"/>
        <v>0</v>
      </c>
      <c r="AM235" s="769">
        <f t="shared" si="847"/>
        <v>0</v>
      </c>
      <c r="AN235" s="769">
        <f t="shared" si="848"/>
        <v>0</v>
      </c>
      <c r="AO235" s="769">
        <f t="shared" si="849"/>
        <v>0</v>
      </c>
      <c r="AP235" s="769">
        <f t="shared" si="850"/>
        <v>0</v>
      </c>
      <c r="AQ235" s="769">
        <f t="shared" si="851"/>
        <v>0</v>
      </c>
      <c r="AR235" s="769">
        <f t="shared" si="852"/>
        <v>0</v>
      </c>
      <c r="AS235" s="769">
        <v>0</v>
      </c>
      <c r="AT235" s="769">
        <f t="shared" si="853"/>
        <v>0</v>
      </c>
      <c r="AU235" s="769">
        <f t="shared" si="854"/>
        <v>0</v>
      </c>
      <c r="AV235" s="769">
        <f t="shared" si="855"/>
        <v>0</v>
      </c>
      <c r="AW235" s="769">
        <f t="shared" si="856"/>
        <v>0</v>
      </c>
      <c r="AX235" s="769">
        <f t="shared" si="857"/>
        <v>0</v>
      </c>
      <c r="AY235" s="769">
        <f t="shared" si="858"/>
        <v>0</v>
      </c>
      <c r="AZ235" s="769">
        <f t="shared" si="859"/>
        <v>0</v>
      </c>
      <c r="BA235" s="769">
        <f t="shared" si="860"/>
        <v>0</v>
      </c>
      <c r="BB235" s="769">
        <f t="shared" si="861"/>
        <v>0</v>
      </c>
      <c r="BC235" s="769">
        <f t="shared" si="862"/>
        <v>0</v>
      </c>
      <c r="BD235" s="661"/>
      <c r="BF235" s="480"/>
      <c r="BG235" s="480"/>
      <c r="BH235" s="480"/>
      <c r="BI235" s="480"/>
      <c r="BJ235" s="480"/>
      <c r="BK235" s="769">
        <f t="shared" si="863"/>
        <v>0</v>
      </c>
      <c r="BL235" s="769">
        <f t="shared" si="864"/>
        <v>0</v>
      </c>
      <c r="BM235" s="769">
        <f t="shared" si="865"/>
        <v>0</v>
      </c>
      <c r="BN235" s="769">
        <f t="shared" si="866"/>
        <v>0</v>
      </c>
      <c r="BO235" s="769">
        <f t="shared" si="867"/>
        <v>0</v>
      </c>
      <c r="BP235" s="769">
        <f t="shared" si="868"/>
        <v>0</v>
      </c>
    </row>
    <row r="236" spans="1:68" s="775" customFormat="1" ht="15.6">
      <c r="A236" s="762"/>
      <c r="B236" s="763">
        <v>0</v>
      </c>
      <c r="C236" s="763">
        <v>0</v>
      </c>
      <c r="D236" s="763">
        <v>0</v>
      </c>
      <c r="E236" s="763">
        <v>0</v>
      </c>
      <c r="F236" s="763">
        <v>0</v>
      </c>
      <c r="G236" s="689">
        <f t="shared" si="826"/>
        <v>0</v>
      </c>
      <c r="H236" s="764">
        <f t="shared" si="827"/>
        <v>0</v>
      </c>
      <c r="I236" s="763">
        <v>0</v>
      </c>
      <c r="J236" s="689">
        <f t="shared" si="828"/>
        <v>0</v>
      </c>
      <c r="K236" s="764">
        <f t="shared" si="829"/>
        <v>0</v>
      </c>
      <c r="L236" s="763">
        <v>0</v>
      </c>
      <c r="M236" s="689">
        <f t="shared" si="830"/>
        <v>0</v>
      </c>
      <c r="N236" s="765"/>
      <c r="O236" s="776"/>
      <c r="P236" s="776"/>
      <c r="Q236" s="777" t="s">
        <v>362</v>
      </c>
      <c r="R236" s="762" t="s">
        <v>211</v>
      </c>
      <c r="S236" s="768">
        <v>1</v>
      </c>
      <c r="T236" s="769">
        <f t="shared" si="831"/>
        <v>0</v>
      </c>
      <c r="U236" s="772">
        <f t="shared" si="832"/>
        <v>0</v>
      </c>
      <c r="V236" s="771">
        <v>0</v>
      </c>
      <c r="W236" s="772">
        <f t="shared" si="833"/>
        <v>0</v>
      </c>
      <c r="X236" s="773"/>
      <c r="Y236" s="773"/>
      <c r="Z236" s="772">
        <f t="shared" si="834"/>
        <v>0</v>
      </c>
      <c r="AA236" s="772">
        <f t="shared" si="835"/>
        <v>0</v>
      </c>
      <c r="AB236" s="772">
        <f t="shared" si="836"/>
        <v>0</v>
      </c>
      <c r="AC236" s="772">
        <f t="shared" si="837"/>
        <v>0</v>
      </c>
      <c r="AD236" s="772">
        <f t="shared" si="838"/>
        <v>0</v>
      </c>
      <c r="AE236" s="772">
        <f t="shared" si="839"/>
        <v>0</v>
      </c>
      <c r="AF236" s="774">
        <f t="shared" si="840"/>
        <v>0</v>
      </c>
      <c r="AG236" s="772">
        <f t="shared" si="841"/>
        <v>0</v>
      </c>
      <c r="AH236" s="772">
        <f t="shared" si="842"/>
        <v>0</v>
      </c>
      <c r="AI236" s="769">
        <f t="shared" si="843"/>
        <v>0</v>
      </c>
      <c r="AJ236" s="772">
        <f t="shared" si="844"/>
        <v>0</v>
      </c>
      <c r="AK236" s="769">
        <f t="shared" si="845"/>
        <v>0</v>
      </c>
      <c r="AL236" s="769">
        <f t="shared" si="846"/>
        <v>0</v>
      </c>
      <c r="AM236" s="769">
        <f t="shared" si="847"/>
        <v>0</v>
      </c>
      <c r="AN236" s="769">
        <f t="shared" si="848"/>
        <v>0</v>
      </c>
      <c r="AO236" s="769">
        <f t="shared" si="849"/>
        <v>0</v>
      </c>
      <c r="AP236" s="769">
        <f t="shared" si="850"/>
        <v>0</v>
      </c>
      <c r="AQ236" s="769">
        <f t="shared" si="851"/>
        <v>0</v>
      </c>
      <c r="AR236" s="769">
        <f t="shared" si="852"/>
        <v>0</v>
      </c>
      <c r="AS236" s="769">
        <v>0</v>
      </c>
      <c r="AT236" s="769">
        <f t="shared" si="853"/>
        <v>0</v>
      </c>
      <c r="AU236" s="769">
        <f t="shared" si="854"/>
        <v>0</v>
      </c>
      <c r="AV236" s="769">
        <f t="shared" si="855"/>
        <v>0</v>
      </c>
      <c r="AW236" s="769">
        <f t="shared" si="856"/>
        <v>0</v>
      </c>
      <c r="AX236" s="769">
        <f t="shared" si="857"/>
        <v>0</v>
      </c>
      <c r="AY236" s="769">
        <f t="shared" si="858"/>
        <v>0</v>
      </c>
      <c r="AZ236" s="769">
        <f t="shared" si="859"/>
        <v>0</v>
      </c>
      <c r="BA236" s="769">
        <f t="shared" si="860"/>
        <v>0</v>
      </c>
      <c r="BB236" s="769">
        <f t="shared" si="861"/>
        <v>0</v>
      </c>
      <c r="BC236" s="769">
        <f t="shared" si="862"/>
        <v>0</v>
      </c>
      <c r="BD236" s="661"/>
      <c r="BF236" s="480"/>
      <c r="BG236" s="480"/>
      <c r="BH236" s="480"/>
      <c r="BI236" s="480"/>
      <c r="BJ236" s="480"/>
      <c r="BK236" s="769">
        <f t="shared" si="863"/>
        <v>0</v>
      </c>
      <c r="BL236" s="769">
        <f t="shared" si="864"/>
        <v>0</v>
      </c>
      <c r="BM236" s="769">
        <f t="shared" si="865"/>
        <v>0</v>
      </c>
      <c r="BN236" s="769">
        <f t="shared" si="866"/>
        <v>0</v>
      </c>
      <c r="BO236" s="769">
        <f t="shared" si="867"/>
        <v>0</v>
      </c>
      <c r="BP236" s="769">
        <f t="shared" si="868"/>
        <v>0</v>
      </c>
    </row>
    <row r="237" spans="1:68" ht="16.2" thickBot="1">
      <c r="C237" s="809"/>
      <c r="E237" s="809"/>
      <c r="F237" s="809"/>
      <c r="G237" s="809"/>
      <c r="H237" s="809"/>
      <c r="I237" s="809"/>
      <c r="J237" s="809"/>
      <c r="K237" s="809"/>
      <c r="L237" s="809"/>
      <c r="M237" s="809"/>
      <c r="N237" s="660"/>
      <c r="O237" s="810"/>
      <c r="P237" s="810"/>
      <c r="Q237" s="811" t="s">
        <v>102</v>
      </c>
      <c r="S237" s="812"/>
      <c r="T237" s="769"/>
      <c r="U237" s="769"/>
      <c r="V237" s="675"/>
      <c r="W237" s="769"/>
      <c r="AF237" s="812"/>
      <c r="AG237" s="812"/>
      <c r="AH237" s="812"/>
      <c r="AI237" s="661"/>
      <c r="AJ237" s="812"/>
      <c r="AK237" s="661"/>
      <c r="AL237" s="661"/>
      <c r="AM237" s="661"/>
      <c r="AN237" s="661"/>
      <c r="AO237" s="661"/>
      <c r="AP237" s="661"/>
      <c r="AQ237" s="661"/>
      <c r="AR237" s="661"/>
      <c r="AS237" s="661"/>
      <c r="AT237" s="661"/>
      <c r="AU237" s="661"/>
      <c r="AV237" s="661"/>
      <c r="AW237" s="661"/>
      <c r="AX237" s="661"/>
      <c r="AY237" s="661"/>
      <c r="AZ237" s="661"/>
      <c r="BA237" s="661"/>
      <c r="BB237" s="661"/>
      <c r="BC237" s="661"/>
      <c r="BD237" s="808"/>
      <c r="BE237" s="808"/>
      <c r="BF237" s="808"/>
      <c r="BG237" s="808"/>
      <c r="BH237" s="808"/>
      <c r="BI237" s="808"/>
      <c r="BJ237" s="808"/>
      <c r="BK237" s="775"/>
      <c r="BL237" s="775"/>
      <c r="BM237" s="775"/>
      <c r="BN237" s="775"/>
      <c r="BO237" s="775"/>
      <c r="BP237" s="775"/>
    </row>
    <row r="238" spans="1:68" ht="15.6" thickTop="1">
      <c r="A238" s="813"/>
      <c r="B238" s="814"/>
      <c r="C238" s="815"/>
      <c r="D238" s="814"/>
      <c r="E238" s="816"/>
      <c r="F238" s="817"/>
      <c r="G238" s="817"/>
      <c r="H238" s="818"/>
      <c r="I238" s="819"/>
      <c r="J238" s="819"/>
      <c r="K238" s="820"/>
      <c r="L238" s="821"/>
      <c r="M238" s="821"/>
      <c r="N238" s="758"/>
      <c r="O238" s="755"/>
      <c r="P238" s="755"/>
      <c r="Q238" s="755"/>
      <c r="R238" s="755"/>
      <c r="S238" s="755"/>
      <c r="T238" s="822"/>
      <c r="U238" s="822"/>
      <c r="V238" s="755"/>
      <c r="W238" s="822"/>
      <c r="X238" s="760"/>
      <c r="Y238" s="760"/>
      <c r="Z238" s="823"/>
      <c r="AA238" s="824"/>
      <c r="AB238" s="825"/>
      <c r="AC238" s="826"/>
      <c r="AD238" s="827"/>
      <c r="AE238" s="828"/>
      <c r="AF238" s="828"/>
      <c r="AG238" s="828"/>
      <c r="AH238" s="823"/>
      <c r="AI238" s="823"/>
      <c r="AJ238" s="824"/>
      <c r="AK238" s="824"/>
      <c r="AL238" s="825"/>
      <c r="AM238" s="825"/>
      <c r="AN238" s="825"/>
      <c r="AO238" s="825"/>
      <c r="AP238" s="825"/>
      <c r="AQ238" s="825"/>
      <c r="AR238" s="826"/>
      <c r="AS238" s="826"/>
      <c r="AT238" s="826"/>
      <c r="AU238" s="826"/>
      <c r="AV238" s="826"/>
      <c r="AW238" s="828"/>
      <c r="AX238" s="828"/>
      <c r="AY238" s="827"/>
      <c r="AZ238" s="827"/>
      <c r="BA238" s="827"/>
      <c r="BB238" s="828"/>
      <c r="BC238" s="828"/>
      <c r="BD238" s="829"/>
      <c r="BE238" s="829"/>
      <c r="BF238" s="829"/>
      <c r="BG238" s="829"/>
      <c r="BH238" s="829"/>
      <c r="BI238" s="829"/>
      <c r="BJ238" s="829"/>
      <c r="BK238" s="830"/>
      <c r="BL238" s="831"/>
      <c r="BM238" s="832"/>
      <c r="BN238" s="833"/>
      <c r="BO238" s="834"/>
      <c r="BP238" s="835"/>
    </row>
    <row r="239" spans="1:68" ht="15.6">
      <c r="A239" s="836">
        <f>+AM239+AN239</f>
        <v>0</v>
      </c>
      <c r="B239" s="837">
        <f>+AE239</f>
        <v>0</v>
      </c>
      <c r="C239" s="838">
        <f>+AI239</f>
        <v>0</v>
      </c>
      <c r="D239" s="837">
        <f>+AG239</f>
        <v>0</v>
      </c>
      <c r="E239" s="839">
        <f>+AK239</f>
        <v>0</v>
      </c>
      <c r="F239" s="840">
        <f>+BA239+BC239+AY239</f>
        <v>0</v>
      </c>
      <c r="G239" s="840"/>
      <c r="H239" s="841">
        <f>+AM239+AN239</f>
        <v>0</v>
      </c>
      <c r="I239" s="842">
        <f>+AP239+AL239</f>
        <v>0</v>
      </c>
      <c r="J239" s="842"/>
      <c r="K239" s="843">
        <f>+AT239+AV239+AX239+AR239</f>
        <v>0</v>
      </c>
      <c r="L239" s="844"/>
      <c r="M239" s="845"/>
      <c r="N239" s="660"/>
      <c r="O239" s="676" t="s">
        <v>68</v>
      </c>
      <c r="P239" s="676"/>
      <c r="Q239" s="664"/>
      <c r="R239" s="664"/>
      <c r="S239" s="664"/>
      <c r="T239" s="846"/>
      <c r="U239" s="846">
        <f>SUM(U8:U238)</f>
        <v>0</v>
      </c>
      <c r="V239" s="679" t="s">
        <v>69</v>
      </c>
      <c r="W239" s="846">
        <f>SUM(W8:W238)</f>
        <v>0</v>
      </c>
      <c r="X239" s="664"/>
      <c r="Y239" s="664"/>
      <c r="Z239" s="838">
        <f t="shared" ref="Z239:AE239" si="869">SUM(Z23:Z238)</f>
        <v>0</v>
      </c>
      <c r="AA239" s="839">
        <f t="shared" si="869"/>
        <v>0</v>
      </c>
      <c r="AB239" s="842">
        <f t="shared" si="869"/>
        <v>0</v>
      </c>
      <c r="AC239" s="847">
        <f t="shared" si="869"/>
        <v>0</v>
      </c>
      <c r="AD239" s="840">
        <f t="shared" si="869"/>
        <v>0</v>
      </c>
      <c r="AE239" s="837">
        <f t="shared" si="869"/>
        <v>0</v>
      </c>
      <c r="AF239" s="848"/>
      <c r="AG239" s="837">
        <f>SUM(AG23:AG238)</f>
        <v>0</v>
      </c>
      <c r="AH239" s="849"/>
      <c r="AI239" s="838">
        <f>SUM(AI23:AI238)</f>
        <v>0</v>
      </c>
      <c r="AJ239" s="850"/>
      <c r="AK239" s="839">
        <f>SUM(AK23:AK238)</f>
        <v>0</v>
      </c>
      <c r="AL239" s="842">
        <f>SUM(AL23:AL238)</f>
        <v>0</v>
      </c>
      <c r="AM239" s="842">
        <f>SUM(AM23:AM238)</f>
        <v>0</v>
      </c>
      <c r="AN239" s="842">
        <f>SUM(AN23:AN238)</f>
        <v>0</v>
      </c>
      <c r="AO239" s="842"/>
      <c r="AP239" s="842">
        <f>SUM(AP23:AP238)</f>
        <v>0</v>
      </c>
      <c r="AQ239" s="842"/>
      <c r="AR239" s="847">
        <f>SUM(AR23:AR238)</f>
        <v>0</v>
      </c>
      <c r="AS239" s="847"/>
      <c r="AT239" s="847">
        <f>SUM(AT23:AT238)</f>
        <v>0</v>
      </c>
      <c r="AU239" s="847"/>
      <c r="AV239" s="847">
        <f>SUM(AV23:AV238)</f>
        <v>0</v>
      </c>
      <c r="AW239" s="837"/>
      <c r="AX239" s="837">
        <f>SUM(AX23:AX238)</f>
        <v>0</v>
      </c>
      <c r="AY239" s="840">
        <f>SUM(AY23:AY238)</f>
        <v>0</v>
      </c>
      <c r="AZ239" s="840"/>
      <c r="BA239" s="840">
        <f>SUM(BA23:BA238)</f>
        <v>0</v>
      </c>
      <c r="BB239" s="837"/>
      <c r="BC239" s="837">
        <f>SUM(BC23:BC238)</f>
        <v>0</v>
      </c>
      <c r="BD239" s="681"/>
      <c r="BE239" s="681"/>
      <c r="BF239" s="681"/>
      <c r="BG239" s="681"/>
      <c r="BH239" s="681"/>
      <c r="BI239" s="681"/>
      <c r="BJ239" s="681"/>
      <c r="BK239" s="851">
        <f t="shared" ref="BK239:BP239" si="870">SUM(BK8:BK238)</f>
        <v>0</v>
      </c>
      <c r="BL239" s="852">
        <f t="shared" si="870"/>
        <v>0</v>
      </c>
      <c r="BM239" s="853">
        <f t="shared" si="870"/>
        <v>0</v>
      </c>
      <c r="BN239" s="854">
        <f t="shared" si="870"/>
        <v>0</v>
      </c>
      <c r="BO239" s="855">
        <f t="shared" si="870"/>
        <v>0</v>
      </c>
      <c r="BP239" s="856">
        <f t="shared" si="870"/>
        <v>0</v>
      </c>
    </row>
    <row r="240" spans="1:68">
      <c r="A240" s="660"/>
      <c r="B240" s="857"/>
      <c r="C240" s="858"/>
      <c r="D240" s="857"/>
      <c r="E240" s="859"/>
      <c r="F240" s="860"/>
      <c r="G240" s="860"/>
      <c r="H240" s="861"/>
      <c r="I240" s="862"/>
      <c r="J240" s="862"/>
      <c r="K240" s="863"/>
      <c r="L240" s="864"/>
      <c r="M240" s="864"/>
      <c r="N240" s="865"/>
      <c r="O240" s="866"/>
      <c r="P240" s="866"/>
      <c r="Q240" s="866"/>
      <c r="R240" s="866"/>
      <c r="S240" s="866"/>
      <c r="T240" s="866"/>
      <c r="U240" s="866"/>
      <c r="V240" s="866"/>
      <c r="W240" s="866"/>
      <c r="X240" s="867"/>
      <c r="Y240" s="867"/>
      <c r="Z240" s="868"/>
      <c r="AA240" s="869"/>
      <c r="AB240" s="870"/>
      <c r="AC240" s="871"/>
      <c r="AD240" s="872"/>
      <c r="AE240" s="873"/>
      <c r="AF240" s="873"/>
      <c r="AG240" s="873"/>
      <c r="AH240" s="868"/>
      <c r="AI240" s="868"/>
      <c r="AJ240" s="869"/>
      <c r="AK240" s="869"/>
      <c r="AL240" s="870"/>
      <c r="AM240" s="870"/>
      <c r="AN240" s="870"/>
      <c r="AO240" s="870"/>
      <c r="AP240" s="870"/>
      <c r="AQ240" s="870"/>
      <c r="AR240" s="871"/>
      <c r="AS240" s="871"/>
      <c r="AT240" s="871"/>
      <c r="AU240" s="871"/>
      <c r="AV240" s="871"/>
      <c r="AW240" s="873"/>
      <c r="AX240" s="873"/>
      <c r="AY240" s="872"/>
      <c r="AZ240" s="872"/>
      <c r="BA240" s="872"/>
      <c r="BB240" s="873"/>
      <c r="BC240" s="873"/>
      <c r="BD240" s="874"/>
      <c r="BE240" s="874"/>
      <c r="BF240" s="874"/>
      <c r="BG240" s="874"/>
      <c r="BH240" s="874"/>
      <c r="BI240" s="874"/>
      <c r="BJ240" s="874"/>
      <c r="BK240" s="875"/>
      <c r="BL240" s="876"/>
      <c r="BM240" s="877"/>
      <c r="BN240" s="878"/>
      <c r="BO240" s="879"/>
      <c r="BP240" s="880"/>
    </row>
    <row r="241" spans="17:68">
      <c r="BK241" s="775"/>
      <c r="BL241" s="775"/>
      <c r="BM241" s="775"/>
      <c r="BN241" s="775"/>
      <c r="BO241" s="775"/>
      <c r="BP241" s="775"/>
    </row>
    <row r="242" spans="17:68">
      <c r="Q242" s="881"/>
      <c r="BK242" s="775"/>
      <c r="BL242" s="775"/>
      <c r="BM242" s="775"/>
      <c r="BN242" s="775"/>
      <c r="BO242" s="775"/>
      <c r="BP242" s="775"/>
    </row>
    <row r="243" spans="17:68">
      <c r="Q243" s="881"/>
      <c r="BK243" s="775"/>
      <c r="BL243" s="775"/>
      <c r="BM243" s="775"/>
      <c r="BN243" s="775"/>
      <c r="BO243" s="775"/>
      <c r="BP243" s="775"/>
    </row>
    <row r="244" spans="17:68">
      <c r="Q244" s="881"/>
      <c r="BK244" s="775"/>
      <c r="BL244" s="775"/>
      <c r="BM244" s="775"/>
      <c r="BN244" s="775"/>
      <c r="BO244" s="775"/>
      <c r="BP244" s="775"/>
    </row>
    <row r="245" spans="17:68">
      <c r="Q245" s="881"/>
      <c r="BK245" s="775"/>
      <c r="BL245" s="775"/>
      <c r="BM245" s="775"/>
      <c r="BN245" s="775"/>
      <c r="BO245" s="775"/>
      <c r="BP245" s="775"/>
    </row>
    <row r="246" spans="17:68">
      <c r="Q246" s="881"/>
      <c r="BK246" s="775"/>
      <c r="BL246" s="775"/>
      <c r="BM246" s="775"/>
      <c r="BN246" s="775"/>
      <c r="BO246" s="775"/>
      <c r="BP246" s="775"/>
    </row>
    <row r="247" spans="17:68">
      <c r="Q247" s="881"/>
      <c r="BK247" s="775"/>
      <c r="BL247" s="775"/>
      <c r="BM247" s="775"/>
      <c r="BN247" s="775"/>
      <c r="BO247" s="775"/>
      <c r="BP247" s="775"/>
    </row>
    <row r="248" spans="17:68">
      <c r="Q248" s="881"/>
      <c r="BK248" s="775"/>
      <c r="BL248" s="775"/>
      <c r="BM248" s="775"/>
      <c r="BN248" s="775"/>
      <c r="BO248" s="775"/>
      <c r="BP248" s="775"/>
    </row>
    <row r="249" spans="17:68">
      <c r="Q249" s="881"/>
      <c r="BK249" s="775"/>
      <c r="BL249" s="775"/>
      <c r="BM249" s="775"/>
      <c r="BN249" s="775"/>
      <c r="BO249" s="775"/>
      <c r="BP249" s="775"/>
    </row>
    <row r="250" spans="17:68">
      <c r="Q250" s="881"/>
      <c r="BK250" s="775"/>
      <c r="BL250" s="775"/>
      <c r="BM250" s="775"/>
      <c r="BN250" s="775"/>
      <c r="BO250" s="775"/>
      <c r="BP250" s="775"/>
    </row>
    <row r="251" spans="17:68">
      <c r="Q251" s="881"/>
      <c r="BK251" s="775"/>
      <c r="BL251" s="775"/>
      <c r="BM251" s="775"/>
      <c r="BN251" s="775"/>
      <c r="BO251" s="775"/>
      <c r="BP251" s="775"/>
    </row>
    <row r="252" spans="17:68">
      <c r="Q252" s="881"/>
      <c r="BK252" s="775"/>
      <c r="BL252" s="775"/>
      <c r="BM252" s="775"/>
      <c r="BN252" s="775"/>
      <c r="BO252" s="775"/>
      <c r="BP252" s="775"/>
    </row>
    <row r="253" spans="17:68">
      <c r="Q253" s="881"/>
      <c r="BK253" s="775"/>
      <c r="BL253" s="775"/>
      <c r="BM253" s="775"/>
      <c r="BN253" s="775"/>
      <c r="BO253" s="775"/>
      <c r="BP253" s="775"/>
    </row>
    <row r="254" spans="17:68">
      <c r="Q254" s="881"/>
      <c r="BK254" s="775"/>
      <c r="BL254" s="775"/>
      <c r="BM254" s="775"/>
      <c r="BN254" s="775"/>
      <c r="BO254" s="775"/>
      <c r="BP254" s="775"/>
    </row>
    <row r="255" spans="17:68">
      <c r="Q255" s="881"/>
      <c r="BK255" s="775"/>
      <c r="BL255" s="775"/>
      <c r="BM255" s="775"/>
      <c r="BN255" s="775"/>
      <c r="BO255" s="775"/>
      <c r="BP255" s="775"/>
    </row>
    <row r="256" spans="17:68">
      <c r="Q256" s="881"/>
      <c r="BK256" s="775"/>
      <c r="BL256" s="775"/>
      <c r="BM256" s="775"/>
      <c r="BN256" s="775"/>
      <c r="BO256" s="775"/>
      <c r="BP256" s="775"/>
    </row>
    <row r="257" spans="17:68">
      <c r="Q257" s="881"/>
      <c r="BK257" s="775"/>
      <c r="BL257" s="775"/>
      <c r="BM257" s="775"/>
      <c r="BN257" s="775"/>
      <c r="BO257" s="775"/>
      <c r="BP257" s="775"/>
    </row>
    <row r="258" spans="17:68">
      <c r="Q258" s="881"/>
      <c r="BK258" s="775"/>
      <c r="BL258" s="775"/>
      <c r="BM258" s="775"/>
      <c r="BN258" s="775"/>
      <c r="BO258" s="775"/>
      <c r="BP258" s="775"/>
    </row>
    <row r="259" spans="17:68">
      <c r="Q259" s="881"/>
      <c r="BK259" s="775"/>
      <c r="BL259" s="775"/>
      <c r="BM259" s="775"/>
      <c r="BN259" s="775"/>
      <c r="BO259" s="775"/>
      <c r="BP259" s="775"/>
    </row>
    <row r="260" spans="17:68">
      <c r="Q260" s="881"/>
      <c r="BK260" s="775"/>
      <c r="BL260" s="775"/>
      <c r="BM260" s="775"/>
      <c r="BN260" s="775"/>
      <c r="BO260" s="775"/>
      <c r="BP260" s="775"/>
    </row>
    <row r="261" spans="17:68">
      <c r="Q261" s="881"/>
      <c r="BK261" s="775"/>
      <c r="BL261" s="775"/>
      <c r="BM261" s="775"/>
      <c r="BN261" s="775"/>
      <c r="BO261" s="775"/>
      <c r="BP261" s="775"/>
    </row>
    <row r="262" spans="17:68">
      <c r="Q262" s="881"/>
      <c r="BK262" s="775"/>
      <c r="BL262" s="775"/>
      <c r="BM262" s="775"/>
      <c r="BN262" s="775"/>
      <c r="BO262" s="775"/>
      <c r="BP262" s="775"/>
    </row>
    <row r="263" spans="17:68">
      <c r="Q263" s="881"/>
      <c r="BK263" s="775"/>
      <c r="BL263" s="775"/>
      <c r="BM263" s="775"/>
      <c r="BN263" s="775"/>
      <c r="BO263" s="775"/>
      <c r="BP263" s="775"/>
    </row>
    <row r="264" spans="17:68">
      <c r="Q264" s="881"/>
      <c r="BK264" s="775"/>
      <c r="BL264" s="775"/>
      <c r="BM264" s="775"/>
      <c r="BN264" s="775"/>
      <c r="BO264" s="775"/>
      <c r="BP264" s="775"/>
    </row>
    <row r="265" spans="17:68">
      <c r="Q265" s="881"/>
      <c r="BK265" s="775"/>
      <c r="BL265" s="775"/>
      <c r="BM265" s="775"/>
      <c r="BN265" s="775"/>
      <c r="BO265" s="775"/>
      <c r="BP265" s="775"/>
    </row>
    <row r="266" spans="17:68">
      <c r="Q266" s="881"/>
      <c r="BK266" s="775"/>
      <c r="BL266" s="775"/>
      <c r="BM266" s="775"/>
      <c r="BN266" s="775"/>
      <c r="BO266" s="775"/>
      <c r="BP266" s="775"/>
    </row>
    <row r="267" spans="17:68">
      <c r="Q267" s="881"/>
      <c r="BK267" s="775"/>
      <c r="BL267" s="775"/>
      <c r="BM267" s="775"/>
      <c r="BN267" s="775"/>
      <c r="BO267" s="775"/>
      <c r="BP267" s="775"/>
    </row>
    <row r="268" spans="17:68">
      <c r="Q268" s="881"/>
      <c r="BK268" s="775"/>
      <c r="BL268" s="775"/>
      <c r="BM268" s="775"/>
      <c r="BN268" s="775"/>
      <c r="BO268" s="775"/>
      <c r="BP268" s="775"/>
    </row>
    <row r="269" spans="17:68">
      <c r="Q269" s="881"/>
      <c r="BK269" s="775"/>
      <c r="BL269" s="775"/>
      <c r="BM269" s="775"/>
      <c r="BN269" s="775"/>
      <c r="BO269" s="775"/>
      <c r="BP269" s="775"/>
    </row>
    <row r="270" spans="17:68">
      <c r="Q270" s="881"/>
      <c r="BK270" s="775"/>
      <c r="BL270" s="775"/>
      <c r="BM270" s="775"/>
      <c r="BN270" s="775"/>
      <c r="BO270" s="775"/>
      <c r="BP270" s="775"/>
    </row>
    <row r="271" spans="17:68">
      <c r="Q271" s="881"/>
      <c r="BK271" s="775"/>
      <c r="BL271" s="775"/>
      <c r="BM271" s="775"/>
      <c r="BN271" s="775"/>
      <c r="BO271" s="775"/>
      <c r="BP271" s="775"/>
    </row>
    <row r="272" spans="17:68">
      <c r="Q272" s="881"/>
      <c r="BK272" s="775"/>
      <c r="BL272" s="775"/>
      <c r="BM272" s="775"/>
      <c r="BN272" s="775"/>
      <c r="BO272" s="775"/>
      <c r="BP272" s="775"/>
    </row>
    <row r="273" spans="17:68">
      <c r="Q273" s="881"/>
      <c r="BK273" s="775"/>
      <c r="BL273" s="775"/>
      <c r="BM273" s="775"/>
      <c r="BN273" s="775"/>
      <c r="BO273" s="775"/>
      <c r="BP273" s="775"/>
    </row>
    <row r="274" spans="17:68">
      <c r="Q274" s="881"/>
      <c r="BK274" s="775"/>
      <c r="BL274" s="775"/>
      <c r="BM274" s="775"/>
      <c r="BN274" s="775"/>
      <c r="BO274" s="775"/>
      <c r="BP274" s="775"/>
    </row>
    <row r="275" spans="17:68">
      <c r="Q275" s="881"/>
      <c r="BK275" s="775"/>
      <c r="BL275" s="775"/>
      <c r="BM275" s="775"/>
      <c r="BN275" s="775"/>
      <c r="BO275" s="775"/>
      <c r="BP275" s="775"/>
    </row>
    <row r="276" spans="17:68">
      <c r="Q276" s="881"/>
      <c r="BK276" s="775"/>
      <c r="BL276" s="775"/>
      <c r="BM276" s="775"/>
      <c r="BN276" s="775"/>
      <c r="BO276" s="775"/>
      <c r="BP276" s="775"/>
    </row>
    <row r="277" spans="17:68">
      <c r="Q277" s="881"/>
      <c r="BK277" s="775"/>
      <c r="BL277" s="775"/>
      <c r="BM277" s="775"/>
      <c r="BN277" s="775"/>
      <c r="BO277" s="775"/>
      <c r="BP277" s="775"/>
    </row>
    <row r="278" spans="17:68">
      <c r="Q278" s="881"/>
      <c r="BK278" s="775"/>
      <c r="BL278" s="775"/>
      <c r="BM278" s="775"/>
      <c r="BN278" s="775"/>
      <c r="BO278" s="775"/>
      <c r="BP278" s="775"/>
    </row>
    <row r="279" spans="17:68">
      <c r="Q279" s="881"/>
      <c r="BK279" s="775"/>
      <c r="BL279" s="775"/>
      <c r="BM279" s="775"/>
      <c r="BN279" s="775"/>
      <c r="BO279" s="775"/>
      <c r="BP279" s="775"/>
    </row>
    <row r="280" spans="17:68">
      <c r="Q280" s="881"/>
      <c r="BK280" s="775"/>
      <c r="BL280" s="775"/>
      <c r="BM280" s="775"/>
      <c r="BN280" s="775"/>
      <c r="BO280" s="775"/>
      <c r="BP280" s="775"/>
    </row>
    <row r="281" spans="17:68">
      <c r="Q281" s="881"/>
      <c r="BK281" s="775"/>
      <c r="BL281" s="775"/>
      <c r="BM281" s="775"/>
      <c r="BN281" s="775"/>
      <c r="BO281" s="775"/>
      <c r="BP281" s="775"/>
    </row>
    <row r="282" spans="17:68">
      <c r="Q282" s="881"/>
      <c r="BK282" s="775"/>
      <c r="BL282" s="775"/>
      <c r="BM282" s="775"/>
      <c r="BN282" s="775"/>
      <c r="BO282" s="775"/>
      <c r="BP282" s="775"/>
    </row>
    <row r="283" spans="17:68">
      <c r="Q283" s="881"/>
      <c r="BK283" s="775"/>
      <c r="BL283" s="775"/>
      <c r="BM283" s="775"/>
      <c r="BN283" s="775"/>
      <c r="BO283" s="775"/>
      <c r="BP283" s="775"/>
    </row>
    <row r="284" spans="17:68">
      <c r="Q284" s="881"/>
      <c r="BK284" s="775"/>
      <c r="BL284" s="775"/>
      <c r="BM284" s="775"/>
      <c r="BN284" s="775"/>
      <c r="BO284" s="775"/>
      <c r="BP284" s="775"/>
    </row>
    <row r="285" spans="17:68">
      <c r="Q285" s="881"/>
      <c r="BK285" s="775"/>
      <c r="BL285" s="775"/>
      <c r="BM285" s="775"/>
      <c r="BN285" s="775"/>
      <c r="BO285" s="775"/>
      <c r="BP285" s="775"/>
    </row>
    <row r="286" spans="17:68">
      <c r="Q286" s="881"/>
      <c r="BK286" s="775"/>
      <c r="BL286" s="775"/>
      <c r="BM286" s="775"/>
      <c r="BN286" s="775"/>
      <c r="BO286" s="775"/>
      <c r="BP286" s="775"/>
    </row>
    <row r="287" spans="17:68">
      <c r="Q287" s="881"/>
      <c r="BK287" s="775"/>
      <c r="BL287" s="775"/>
      <c r="BM287" s="775"/>
      <c r="BN287" s="775"/>
      <c r="BO287" s="775"/>
      <c r="BP287" s="775"/>
    </row>
    <row r="288" spans="17:68">
      <c r="Q288" s="881"/>
    </row>
    <row r="289" spans="17:17">
      <c r="Q289" s="881"/>
    </row>
    <row r="290" spans="17:17">
      <c r="Q290" s="881"/>
    </row>
    <row r="291" spans="17:17">
      <c r="Q291" s="881"/>
    </row>
    <row r="292" spans="17:17">
      <c r="Q292" s="881"/>
    </row>
    <row r="293" spans="17:17">
      <c r="Q293" s="881"/>
    </row>
    <row r="294" spans="17:17">
      <c r="Q294" s="881"/>
    </row>
    <row r="295" spans="17:17">
      <c r="Q295" s="881"/>
    </row>
    <row r="296" spans="17:17">
      <c r="Q296" s="881"/>
    </row>
    <row r="297" spans="17:17">
      <c r="Q297" s="881"/>
    </row>
    <row r="298" spans="17:17">
      <c r="Q298" s="881"/>
    </row>
    <row r="299" spans="17:17">
      <c r="Q299" s="881"/>
    </row>
    <row r="300" spans="17:17">
      <c r="Q300" s="881"/>
    </row>
    <row r="301" spans="17:17">
      <c r="Q301" s="881"/>
    </row>
    <row r="302" spans="17:17">
      <c r="Q302" s="881"/>
    </row>
    <row r="303" spans="17:17">
      <c r="Q303" s="881"/>
    </row>
  </sheetData>
  <autoFilter ref="U8:U303" xr:uid="{00000000-0009-0000-0000-000004000000}"/>
  <mergeCells count="13">
    <mergeCell ref="B6:C6"/>
    <mergeCell ref="BD5:BJ5"/>
    <mergeCell ref="BH6:BH7"/>
    <mergeCell ref="BI6:BI7"/>
    <mergeCell ref="BJ6:BJ7"/>
    <mergeCell ref="AH6:AI6"/>
    <mergeCell ref="BK5:BL5"/>
    <mergeCell ref="BM5:BN5"/>
    <mergeCell ref="BO5:BP5"/>
    <mergeCell ref="AJ6:AK6"/>
    <mergeCell ref="AR6:AX6"/>
    <mergeCell ref="AY6:BC6"/>
    <mergeCell ref="AL6:AQ6"/>
  </mergeCells>
  <phoneticPr fontId="3" type="noConversion"/>
  <dataValidations count="1">
    <dataValidation allowBlank="1" showInputMessage="1" showErrorMessage="1" sqref="A1:XFD1048576" xr:uid="{00000000-0002-0000-0400-000000000000}"/>
  </dataValidations>
  <pageMargins left="0.74803149606299213" right="0.74803149606299213" top="0.74803149606299213" bottom="0.74803149606299213" header="0.31496062992125984" footer="0.31496062992125984"/>
  <pageSetup scale="72" fitToHeight="20" orientation="portrait" r:id="rId1"/>
  <headerFooter alignWithMargins="0">
    <oddHeader>&amp;L&amp;G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tidyPandG">
                <anchor moveWithCells="1">
                  <from>
                    <xdr:col>7</xdr:col>
                    <xdr:colOff>472440</xdr:colOff>
                    <xdr:row>1</xdr:row>
                    <xdr:rowOff>76200</xdr:rowOff>
                  </from>
                  <to>
                    <xdr:col>8</xdr:col>
                    <xdr:colOff>762000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unhidePandG">
                <anchor moveWithCells="1">
                  <from>
                    <xdr:col>9</xdr:col>
                    <xdr:colOff>38100</xdr:colOff>
                    <xdr:row>1</xdr:row>
                    <xdr:rowOff>76200</xdr:rowOff>
                  </from>
                  <to>
                    <xdr:col>10</xdr:col>
                    <xdr:colOff>762000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4">
    <pageSetUpPr fitToPage="1"/>
  </sheetPr>
  <dimension ref="A1:H50"/>
  <sheetViews>
    <sheetView zoomScale="75" workbookViewId="0">
      <selection activeCell="H21" sqref="H21"/>
    </sheetView>
  </sheetViews>
  <sheetFormatPr defaultColWidth="8.7265625" defaultRowHeight="15"/>
  <cols>
    <col min="1" max="1" width="10.7265625" style="480" customWidth="1"/>
    <col min="2" max="2" width="35.453125" style="480" customWidth="1"/>
    <col min="3" max="3" width="4" style="480" bestFit="1" customWidth="1"/>
    <col min="4" max="4" width="7.54296875" style="480" bestFit="1" customWidth="1"/>
    <col min="5" max="5" width="7.7265625" style="480" customWidth="1"/>
    <col min="6" max="6" width="12.1796875" style="480" customWidth="1"/>
    <col min="7" max="7" width="11.54296875" style="480" bestFit="1" customWidth="1"/>
    <col min="8" max="8" width="10.26953125" style="480" bestFit="1" customWidth="1"/>
    <col min="9" max="16384" width="8.7265625" style="480"/>
  </cols>
  <sheetData>
    <row r="1" spans="1:8" ht="15.6">
      <c r="A1" s="882" t="s">
        <v>143</v>
      </c>
      <c r="B1" s="883"/>
      <c r="C1" s="883"/>
      <c r="D1" s="883"/>
      <c r="E1" s="883"/>
      <c r="F1" s="883"/>
      <c r="G1" s="884" t="s">
        <v>144</v>
      </c>
      <c r="H1" s="885" t="str">
        <f>+SUMRY!L1</f>
        <v>XXXX</v>
      </c>
    </row>
    <row r="2" spans="1:8" ht="15.6">
      <c r="A2" s="882"/>
      <c r="B2" s="883"/>
      <c r="C2" s="883"/>
      <c r="D2" s="883"/>
      <c r="E2" s="883"/>
      <c r="F2" s="883"/>
      <c r="G2" s="884"/>
      <c r="H2" s="885"/>
    </row>
    <row r="3" spans="1:8" ht="15.6">
      <c r="A3" s="882" t="s">
        <v>1</v>
      </c>
      <c r="B3" s="885" t="str">
        <f>+SUMRY!J2</f>
        <v>Job Name</v>
      </c>
      <c r="C3" s="883"/>
      <c r="D3" s="882"/>
      <c r="E3" s="882"/>
      <c r="F3" s="882"/>
      <c r="G3" s="884" t="s">
        <v>145</v>
      </c>
      <c r="H3" s="886" t="str">
        <f>+SUMRY!L3</f>
        <v>00/00/0000</v>
      </c>
    </row>
    <row r="4" spans="1:8" ht="15.6">
      <c r="A4" s="882"/>
      <c r="B4" s="885"/>
      <c r="C4" s="883"/>
      <c r="D4" s="882"/>
      <c r="E4" s="882"/>
      <c r="F4" s="882"/>
      <c r="G4" s="884"/>
      <c r="H4" s="886"/>
    </row>
    <row r="5" spans="1:8" ht="15.6">
      <c r="A5" s="882" t="s">
        <v>146</v>
      </c>
      <c r="B5" s="885"/>
      <c r="C5" s="883"/>
      <c r="D5" s="882"/>
      <c r="E5" s="882"/>
      <c r="F5" s="882"/>
      <c r="G5" s="884"/>
      <c r="H5" s="886"/>
    </row>
    <row r="6" spans="1:8" ht="15.6">
      <c r="A6" s="882"/>
      <c r="B6" s="885"/>
      <c r="C6" s="883"/>
      <c r="D6" s="882"/>
      <c r="E6" s="882"/>
      <c r="F6" s="882"/>
      <c r="G6" s="884"/>
      <c r="H6" s="887"/>
    </row>
    <row r="7" spans="1:8" ht="15.6">
      <c r="A7" s="882" t="s">
        <v>139</v>
      </c>
      <c r="B7" s="883"/>
      <c r="C7" s="883"/>
      <c r="D7" s="883"/>
      <c r="E7" s="883"/>
      <c r="F7" s="883"/>
      <c r="G7" s="883"/>
      <c r="H7" s="883"/>
    </row>
    <row r="8" spans="1:8" ht="15.6">
      <c r="A8" s="882"/>
      <c r="B8" s="883"/>
      <c r="C8" s="883"/>
      <c r="D8" s="883"/>
      <c r="E8" s="883"/>
      <c r="F8" s="883"/>
      <c r="G8" s="883"/>
      <c r="H8" s="883"/>
    </row>
    <row r="9" spans="1:8" ht="15.6">
      <c r="A9" s="882" t="s">
        <v>136</v>
      </c>
      <c r="B9" s="882" t="s">
        <v>135</v>
      </c>
      <c r="C9" s="882" t="s">
        <v>142</v>
      </c>
      <c r="D9" s="882" t="s">
        <v>137</v>
      </c>
      <c r="E9" s="882" t="s">
        <v>141</v>
      </c>
      <c r="F9" s="888" t="s">
        <v>138</v>
      </c>
      <c r="G9" s="889" t="s">
        <v>439</v>
      </c>
      <c r="H9" s="889" t="s">
        <v>440</v>
      </c>
    </row>
    <row r="10" spans="1:8" ht="16.2" thickBot="1">
      <c r="A10" s="882"/>
      <c r="B10" s="882"/>
      <c r="C10" s="882"/>
      <c r="D10" s="882"/>
      <c r="E10" s="882"/>
      <c r="F10" s="888"/>
      <c r="G10" s="890"/>
      <c r="H10" s="890"/>
    </row>
    <row r="11" spans="1:8" ht="16.2" thickTop="1">
      <c r="A11" s="891"/>
      <c r="B11" s="891"/>
      <c r="C11" s="891"/>
      <c r="D11" s="891"/>
      <c r="E11" s="891"/>
      <c r="F11" s="892"/>
      <c r="G11" s="893"/>
      <c r="H11" s="893"/>
    </row>
    <row r="12" spans="1:8" ht="15.6">
      <c r="A12" s="882" t="s">
        <v>150</v>
      </c>
      <c r="B12" s="882"/>
      <c r="C12" s="882"/>
      <c r="D12" s="882"/>
      <c r="E12" s="882"/>
      <c r="F12" s="888"/>
    </row>
    <row r="13" spans="1:8">
      <c r="A13" s="894"/>
      <c r="B13" s="895"/>
      <c r="D13" s="624">
        <v>0</v>
      </c>
      <c r="E13" s="649">
        <v>0</v>
      </c>
      <c r="F13" s="635">
        <f>+D13*E13</f>
        <v>0</v>
      </c>
      <c r="H13" s="635">
        <f>F13</f>
        <v>0</v>
      </c>
    </row>
    <row r="14" spans="1:8">
      <c r="A14" s="894"/>
      <c r="B14" s="895"/>
      <c r="D14" s="624">
        <v>0</v>
      </c>
      <c r="E14" s="649">
        <v>0</v>
      </c>
      <c r="F14" s="635">
        <f>+D14*E14</f>
        <v>0</v>
      </c>
      <c r="H14" s="635">
        <f t="shared" ref="H14:H17" si="0">F14</f>
        <v>0</v>
      </c>
    </row>
    <row r="15" spans="1:8">
      <c r="A15" s="894"/>
      <c r="B15" s="895"/>
      <c r="D15" s="624">
        <v>0</v>
      </c>
      <c r="E15" s="649">
        <v>0</v>
      </c>
      <c r="F15" s="635">
        <f>+D15*E15</f>
        <v>0</v>
      </c>
      <c r="H15" s="635">
        <f t="shared" si="0"/>
        <v>0</v>
      </c>
    </row>
    <row r="16" spans="1:8">
      <c r="A16" s="894"/>
      <c r="B16" s="895"/>
      <c r="D16" s="624">
        <v>0</v>
      </c>
      <c r="E16" s="649">
        <v>0</v>
      </c>
      <c r="F16" s="635">
        <f t="shared" ref="F16:F23" si="1">+D16*E16</f>
        <v>0</v>
      </c>
      <c r="H16" s="635">
        <f t="shared" si="0"/>
        <v>0</v>
      </c>
    </row>
    <row r="17" spans="1:8">
      <c r="A17" s="894"/>
      <c r="B17" s="895"/>
      <c r="D17" s="624">
        <v>0</v>
      </c>
      <c r="E17" s="649">
        <v>0</v>
      </c>
      <c r="F17" s="635">
        <f t="shared" si="1"/>
        <v>0</v>
      </c>
      <c r="H17" s="635">
        <f t="shared" si="0"/>
        <v>0</v>
      </c>
    </row>
    <row r="18" spans="1:8" ht="15.6">
      <c r="A18" s="882" t="s">
        <v>151</v>
      </c>
      <c r="B18" s="882"/>
      <c r="C18" s="882"/>
      <c r="D18" s="882"/>
      <c r="E18" s="882"/>
      <c r="F18" s="888"/>
      <c r="G18" s="888"/>
      <c r="H18" s="888"/>
    </row>
    <row r="19" spans="1:8">
      <c r="A19" s="894"/>
      <c r="B19" s="895"/>
      <c r="D19" s="624">
        <v>0</v>
      </c>
      <c r="E19" s="649">
        <v>0</v>
      </c>
      <c r="F19" s="635">
        <f t="shared" si="1"/>
        <v>0</v>
      </c>
      <c r="G19" s="635">
        <f>F19</f>
        <v>0</v>
      </c>
    </row>
    <row r="20" spans="1:8">
      <c r="A20" s="894"/>
      <c r="B20" s="895"/>
      <c r="D20" s="624">
        <v>0</v>
      </c>
      <c r="E20" s="649">
        <v>0</v>
      </c>
      <c r="F20" s="635">
        <f t="shared" si="1"/>
        <v>0</v>
      </c>
      <c r="G20" s="635">
        <f t="shared" ref="G20:G24" si="2">F20</f>
        <v>0</v>
      </c>
    </row>
    <row r="21" spans="1:8">
      <c r="A21" s="894"/>
      <c r="B21" s="895"/>
      <c r="D21" s="624">
        <v>0</v>
      </c>
      <c r="E21" s="649">
        <v>0</v>
      </c>
      <c r="F21" s="635">
        <f t="shared" si="1"/>
        <v>0</v>
      </c>
      <c r="G21" s="635">
        <f t="shared" si="2"/>
        <v>0</v>
      </c>
    </row>
    <row r="22" spans="1:8">
      <c r="A22" s="894"/>
      <c r="B22" s="895"/>
      <c r="D22" s="624">
        <v>0</v>
      </c>
      <c r="E22" s="649">
        <v>0</v>
      </c>
      <c r="F22" s="635">
        <f t="shared" si="1"/>
        <v>0</v>
      </c>
      <c r="G22" s="635">
        <f t="shared" si="2"/>
        <v>0</v>
      </c>
    </row>
    <row r="23" spans="1:8">
      <c r="A23" s="894"/>
      <c r="B23" s="895"/>
      <c r="D23" s="624">
        <v>0</v>
      </c>
      <c r="E23" s="649">
        <v>0</v>
      </c>
      <c r="F23" s="635">
        <f t="shared" si="1"/>
        <v>0</v>
      </c>
      <c r="G23" s="635">
        <f t="shared" si="2"/>
        <v>0</v>
      </c>
    </row>
    <row r="24" spans="1:8">
      <c r="A24" s="894"/>
      <c r="B24" s="895"/>
      <c r="D24" s="624">
        <v>0</v>
      </c>
      <c r="E24" s="649">
        <v>0</v>
      </c>
      <c r="F24" s="635">
        <f>+D24*E24</f>
        <v>0</v>
      </c>
      <c r="G24" s="635">
        <f t="shared" si="2"/>
        <v>0</v>
      </c>
    </row>
    <row r="25" spans="1:8" ht="15.6" thickBot="1">
      <c r="A25" s="896"/>
      <c r="B25" s="897"/>
      <c r="C25" s="898"/>
      <c r="D25" s="898"/>
      <c r="E25" s="899"/>
      <c r="F25" s="900"/>
      <c r="G25" s="900"/>
      <c r="H25" s="900"/>
    </row>
    <row r="26" spans="1:8" ht="16.2" thickTop="1">
      <c r="A26" s="882"/>
      <c r="B26" s="882"/>
      <c r="C26" s="882"/>
      <c r="D26" s="891"/>
      <c r="E26" s="882"/>
      <c r="F26" s="888"/>
      <c r="G26" s="888"/>
      <c r="H26" s="888"/>
    </row>
    <row r="27" spans="1:8" ht="15.6">
      <c r="A27" s="882" t="str">
        <f>"TOTAL OF " &amp;A7</f>
        <v>TOTAL OF ON SITE MATERIALS CLAIM</v>
      </c>
      <c r="B27" s="883"/>
      <c r="C27" s="883"/>
      <c r="D27" s="883"/>
      <c r="E27" s="901"/>
      <c r="F27" s="888">
        <f>SUM(F9:F25)</f>
        <v>0</v>
      </c>
      <c r="G27" s="888">
        <f t="shared" ref="G27:H27" si="3">SUM(G9:G25)</f>
        <v>0</v>
      </c>
      <c r="H27" s="888">
        <f t="shared" si="3"/>
        <v>0</v>
      </c>
    </row>
    <row r="28" spans="1:8" ht="15.6">
      <c r="A28" s="882"/>
      <c r="B28" s="883"/>
      <c r="C28" s="883"/>
      <c r="D28" s="883"/>
      <c r="E28" s="901"/>
      <c r="F28" s="888"/>
    </row>
    <row r="29" spans="1:8" ht="15.6">
      <c r="A29" s="902" t="s">
        <v>140</v>
      </c>
      <c r="B29" s="883"/>
      <c r="C29" s="883"/>
      <c r="D29" s="883"/>
      <c r="E29" s="883"/>
      <c r="F29" s="883"/>
    </row>
    <row r="30" spans="1:8">
      <c r="A30" s="883"/>
      <c r="B30" s="883"/>
      <c r="C30" s="883"/>
      <c r="D30" s="883"/>
      <c r="E30" s="883"/>
      <c r="F30" s="883"/>
    </row>
    <row r="31" spans="1:8" ht="15.6">
      <c r="A31" s="902" t="s">
        <v>136</v>
      </c>
      <c r="B31" s="882" t="s">
        <v>135</v>
      </c>
      <c r="C31" s="882" t="s">
        <v>142</v>
      </c>
      <c r="D31" s="882" t="s">
        <v>137</v>
      </c>
      <c r="E31" s="903" t="s">
        <v>141</v>
      </c>
      <c r="F31" s="888" t="s">
        <v>138</v>
      </c>
      <c r="G31" s="888" t="str">
        <f>G9</f>
        <v>Subs</v>
      </c>
      <c r="H31" s="888" t="str">
        <f>H9</f>
        <v>Suppliers</v>
      </c>
    </row>
    <row r="32" spans="1:8" ht="16.2" thickBot="1">
      <c r="A32" s="882"/>
      <c r="B32" s="882"/>
      <c r="C32" s="882"/>
      <c r="D32" s="882"/>
      <c r="E32" s="882"/>
      <c r="F32" s="888"/>
      <c r="G32" s="888"/>
      <c r="H32" s="888"/>
    </row>
    <row r="33" spans="1:8" ht="16.2" thickTop="1">
      <c r="A33" s="891"/>
      <c r="B33" s="891"/>
      <c r="C33" s="891"/>
      <c r="D33" s="891"/>
      <c r="E33" s="891"/>
      <c r="F33" s="892"/>
      <c r="G33" s="892"/>
      <c r="H33" s="892"/>
    </row>
    <row r="34" spans="1:8" ht="15.6">
      <c r="A34" s="882" t="s">
        <v>150</v>
      </c>
      <c r="B34" s="882"/>
      <c r="C34" s="882"/>
      <c r="D34" s="882"/>
      <c r="E34" s="882"/>
      <c r="F34" s="888"/>
    </row>
    <row r="35" spans="1:8">
      <c r="A35" s="894"/>
      <c r="B35" s="895"/>
      <c r="D35" s="624">
        <v>0</v>
      </c>
      <c r="E35" s="649">
        <v>0</v>
      </c>
      <c r="F35" s="635">
        <f>+D35*E35</f>
        <v>0</v>
      </c>
      <c r="H35" s="635">
        <f>F35</f>
        <v>0</v>
      </c>
    </row>
    <row r="36" spans="1:8">
      <c r="A36" s="894"/>
      <c r="B36" s="895"/>
      <c r="D36" s="624">
        <v>0</v>
      </c>
      <c r="E36" s="649">
        <v>0</v>
      </c>
      <c r="F36" s="635">
        <f>+D36*E36</f>
        <v>0</v>
      </c>
      <c r="H36" s="635">
        <f t="shared" ref="H36:H39" si="4">F36</f>
        <v>0</v>
      </c>
    </row>
    <row r="37" spans="1:8">
      <c r="A37" s="894"/>
      <c r="B37" s="895"/>
      <c r="D37" s="624">
        <v>0</v>
      </c>
      <c r="E37" s="649">
        <v>0</v>
      </c>
      <c r="F37" s="635">
        <f>+D37*E37</f>
        <v>0</v>
      </c>
      <c r="H37" s="635">
        <f t="shared" si="4"/>
        <v>0</v>
      </c>
    </row>
    <row r="38" spans="1:8">
      <c r="A38" s="894"/>
      <c r="B38" s="895"/>
      <c r="D38" s="624">
        <v>0</v>
      </c>
      <c r="E38" s="649">
        <v>0</v>
      </c>
      <c r="F38" s="635">
        <f t="shared" ref="F38:F45" si="5">+D38*E38</f>
        <v>0</v>
      </c>
      <c r="H38" s="635">
        <f t="shared" si="4"/>
        <v>0</v>
      </c>
    </row>
    <row r="39" spans="1:8">
      <c r="A39" s="894"/>
      <c r="B39" s="895"/>
      <c r="D39" s="624">
        <v>0</v>
      </c>
      <c r="E39" s="649">
        <v>0</v>
      </c>
      <c r="F39" s="635">
        <f t="shared" si="5"/>
        <v>0</v>
      </c>
      <c r="H39" s="635">
        <f t="shared" si="4"/>
        <v>0</v>
      </c>
    </row>
    <row r="40" spans="1:8" ht="15.6">
      <c r="A40" s="882" t="s">
        <v>151</v>
      </c>
      <c r="B40" s="882"/>
      <c r="C40" s="882"/>
      <c r="D40" s="882"/>
      <c r="E40" s="882"/>
      <c r="F40" s="888"/>
    </row>
    <row r="41" spans="1:8">
      <c r="A41" s="894"/>
      <c r="B41" s="895"/>
      <c r="D41" s="624">
        <v>0</v>
      </c>
      <c r="E41" s="649">
        <v>0</v>
      </c>
      <c r="F41" s="635">
        <f t="shared" si="5"/>
        <v>0</v>
      </c>
      <c r="G41" s="635">
        <f>F41</f>
        <v>0</v>
      </c>
    </row>
    <row r="42" spans="1:8">
      <c r="A42" s="894"/>
      <c r="B42" s="895"/>
      <c r="D42" s="624">
        <v>0</v>
      </c>
      <c r="E42" s="649">
        <v>0</v>
      </c>
      <c r="F42" s="635">
        <f t="shared" si="5"/>
        <v>0</v>
      </c>
      <c r="G42" s="635">
        <f t="shared" ref="G42:G45" si="6">F42</f>
        <v>0</v>
      </c>
    </row>
    <row r="43" spans="1:8">
      <c r="A43" s="894"/>
      <c r="B43" s="895"/>
      <c r="D43" s="624">
        <v>0</v>
      </c>
      <c r="E43" s="649">
        <v>0</v>
      </c>
      <c r="F43" s="635">
        <f t="shared" si="5"/>
        <v>0</v>
      </c>
      <c r="G43" s="635">
        <f t="shared" si="6"/>
        <v>0</v>
      </c>
    </row>
    <row r="44" spans="1:8">
      <c r="A44" s="894"/>
      <c r="B44" s="895"/>
      <c r="D44" s="624">
        <v>0</v>
      </c>
      <c r="E44" s="649">
        <v>0</v>
      </c>
      <c r="F44" s="635">
        <f t="shared" si="5"/>
        <v>0</v>
      </c>
      <c r="G44" s="635">
        <f t="shared" si="6"/>
        <v>0</v>
      </c>
    </row>
    <row r="45" spans="1:8">
      <c r="A45" s="894"/>
      <c r="B45" s="895"/>
      <c r="D45" s="624">
        <v>0</v>
      </c>
      <c r="E45" s="649">
        <v>0</v>
      </c>
      <c r="F45" s="635">
        <f t="shared" si="5"/>
        <v>0</v>
      </c>
      <c r="G45" s="635">
        <f t="shared" si="6"/>
        <v>0</v>
      </c>
    </row>
    <row r="46" spans="1:8">
      <c r="A46" s="894"/>
      <c r="B46" s="895"/>
      <c r="D46" s="624">
        <v>0</v>
      </c>
      <c r="E46" s="649">
        <v>0</v>
      </c>
      <c r="F46" s="635">
        <f>+D46*E46</f>
        <v>0</v>
      </c>
      <c r="G46" s="635">
        <f>F46</f>
        <v>0</v>
      </c>
    </row>
    <row r="47" spans="1:8" ht="15.6" thickBot="1">
      <c r="A47" s="896"/>
      <c r="B47" s="897"/>
      <c r="C47" s="898"/>
      <c r="D47" s="898"/>
      <c r="E47" s="899"/>
      <c r="F47" s="900"/>
      <c r="G47" s="900"/>
      <c r="H47" s="900"/>
    </row>
    <row r="48" spans="1:8" ht="16.2" thickTop="1">
      <c r="A48" s="882"/>
      <c r="B48" s="882"/>
      <c r="C48" s="882"/>
      <c r="D48" s="882"/>
      <c r="E48" s="882"/>
      <c r="F48" s="888"/>
      <c r="G48" s="888"/>
      <c r="H48" s="888"/>
    </row>
    <row r="49" spans="1:8" ht="15.6">
      <c r="A49" s="882" t="str">
        <f>"TOTAL OF " &amp;A29</f>
        <v>TOTAL OF OFF SITE MATERIALS CLAIM</v>
      </c>
      <c r="B49" s="883"/>
      <c r="C49" s="883"/>
      <c r="D49" s="883"/>
      <c r="E49" s="883"/>
      <c r="F49" s="888">
        <f>SUM(F31:F45)</f>
        <v>0</v>
      </c>
      <c r="G49" s="888">
        <f t="shared" ref="G49:H49" si="7">SUM(G31:G45)</f>
        <v>0</v>
      </c>
      <c r="H49" s="888">
        <f t="shared" si="7"/>
        <v>0</v>
      </c>
    </row>
    <row r="50" spans="1:8">
      <c r="A50" s="883"/>
      <c r="B50" s="883"/>
      <c r="C50" s="883"/>
      <c r="D50" s="883"/>
      <c r="E50" s="883"/>
      <c r="F50" s="883"/>
    </row>
  </sheetData>
  <phoneticPr fontId="3" type="noConversion"/>
  <dataValidations count="1">
    <dataValidation type="custom" allowBlank="1" showInputMessage="1" showErrorMessage="1" error="Data entry in this cell is denied." sqref="A47:F50 F13:F17 F19:F24 F35:F39 F41:F46 G10:H11 G32:H33 G25:H27 B9:F12 B1:H8 A1:A12 A18:H18 A25:F34 A40:F40 G47:H49" xr:uid="{00000000-0002-0000-0500-000000000000}">
      <formula1>"&lt;&gt;ActiveCell"</formula1>
    </dataValidation>
  </dataValidations>
  <pageMargins left="0.75" right="0.75" top="1" bottom="1" header="0.5" footer="0.5"/>
  <pageSetup scale="92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49D5-1018-468D-993C-8B1D2EDD7BE4}">
  <sheetPr codeName="Sheet12"/>
  <dimension ref="B2:O43"/>
  <sheetViews>
    <sheetView workbookViewId="0">
      <selection activeCell="F3" sqref="F3:H3"/>
    </sheetView>
  </sheetViews>
  <sheetFormatPr defaultColWidth="7.26953125" defaultRowHeight="13.8"/>
  <cols>
    <col min="1" max="1" width="2.90625" style="430" customWidth="1"/>
    <col min="2" max="2" width="15.90625" style="430" customWidth="1"/>
    <col min="3" max="8" width="20.453125" style="430" customWidth="1"/>
    <col min="9" max="9" width="2.6328125" style="430" customWidth="1"/>
    <col min="10" max="10" width="14" style="430" customWidth="1"/>
    <col min="11" max="14" width="7.26953125" style="430"/>
    <col min="15" max="15" width="22.7265625" style="430" customWidth="1"/>
    <col min="16" max="16384" width="7.26953125" style="430"/>
  </cols>
  <sheetData>
    <row r="2" spans="2:15" ht="15" customHeight="1">
      <c r="B2" s="427" t="s">
        <v>498</v>
      </c>
      <c r="C2" s="428"/>
      <c r="D2" s="428"/>
      <c r="E2" s="428"/>
      <c r="F2" s="428"/>
      <c r="G2" s="428"/>
      <c r="H2" s="429"/>
      <c r="J2" s="431" t="s">
        <v>55</v>
      </c>
      <c r="K2" s="432"/>
      <c r="L2" s="432"/>
      <c r="M2" s="432"/>
      <c r="N2" s="432"/>
      <c r="O2" s="433"/>
    </row>
    <row r="3" spans="2:15" ht="17.399999999999999">
      <c r="B3" s="434" t="s">
        <v>95</v>
      </c>
      <c r="C3" s="435" t="s">
        <v>471</v>
      </c>
      <c r="D3" s="436" t="s">
        <v>499</v>
      </c>
      <c r="E3" s="437"/>
      <c r="F3" s="438" t="s">
        <v>513</v>
      </c>
      <c r="G3" s="439"/>
      <c r="H3" s="440"/>
      <c r="J3" s="441" t="str">
        <f>IF(ISBLANK(D6)," ",D6)</f>
        <v>Sub1</v>
      </c>
      <c r="K3" s="442"/>
      <c r="L3" s="442"/>
      <c r="M3" s="442"/>
      <c r="N3" s="442"/>
      <c r="O3" s="443"/>
    </row>
    <row r="4" spans="2:15" ht="15.75" customHeight="1">
      <c r="B4" s="434" t="s">
        <v>500</v>
      </c>
      <c r="C4" s="444">
        <v>0</v>
      </c>
      <c r="D4" s="444"/>
      <c r="E4" s="444"/>
      <c r="F4" s="445"/>
      <c r="G4" s="434" t="s">
        <v>501</v>
      </c>
      <c r="H4" s="446" t="s">
        <v>436</v>
      </c>
      <c r="J4" s="447"/>
      <c r="K4" s="448"/>
      <c r="L4" s="448"/>
      <c r="M4" s="448"/>
      <c r="N4" s="448"/>
      <c r="O4" s="449"/>
    </row>
    <row r="5" spans="2:15" ht="17.399999999999999">
      <c r="B5" s="450"/>
      <c r="C5" s="450"/>
      <c r="D5" s="427"/>
      <c r="E5" s="428"/>
      <c r="F5" s="428"/>
      <c r="G5" s="428"/>
      <c r="H5" s="429"/>
      <c r="J5" s="451"/>
      <c r="K5" s="452"/>
      <c r="L5" s="452"/>
      <c r="M5" s="452"/>
      <c r="N5" s="452"/>
      <c r="O5" s="453"/>
    </row>
    <row r="6" spans="2:15" ht="15.6">
      <c r="B6" s="434"/>
      <c r="C6" s="434" t="s">
        <v>502</v>
      </c>
      <c r="D6" s="454" t="s">
        <v>503</v>
      </c>
      <c r="E6" s="454" t="s">
        <v>504</v>
      </c>
      <c r="F6" s="454" t="s">
        <v>505</v>
      </c>
      <c r="G6" s="454" t="s">
        <v>506</v>
      </c>
      <c r="H6" s="454" t="s">
        <v>507</v>
      </c>
      <c r="J6" s="451"/>
      <c r="K6" s="452"/>
      <c r="L6" s="452"/>
      <c r="M6" s="452"/>
      <c r="N6" s="452"/>
      <c r="O6" s="453"/>
    </row>
    <row r="7" spans="2:15" ht="13.5" customHeight="1">
      <c r="B7" s="455" t="s">
        <v>508</v>
      </c>
      <c r="C7" s="456" t="s">
        <v>509</v>
      </c>
      <c r="D7" s="456" t="s">
        <v>509</v>
      </c>
      <c r="E7" s="456" t="s">
        <v>509</v>
      </c>
      <c r="F7" s="456" t="s">
        <v>509</v>
      </c>
      <c r="G7" s="456" t="s">
        <v>509</v>
      </c>
      <c r="H7" s="456" t="s">
        <v>509</v>
      </c>
      <c r="J7" s="451"/>
      <c r="K7" s="452"/>
      <c r="L7" s="452"/>
      <c r="M7" s="452"/>
      <c r="N7" s="452"/>
      <c r="O7" s="453"/>
    </row>
    <row r="8" spans="2:15" ht="15" customHeight="1">
      <c r="B8" s="457"/>
      <c r="C8" s="458"/>
      <c r="D8" s="458"/>
      <c r="E8" s="458"/>
      <c r="F8" s="458"/>
      <c r="G8" s="458"/>
      <c r="H8" s="458"/>
      <c r="J8" s="451"/>
      <c r="K8" s="452"/>
      <c r="L8" s="452"/>
      <c r="M8" s="452"/>
      <c r="N8" s="452"/>
      <c r="O8" s="453"/>
    </row>
    <row r="9" spans="2:15" ht="15" customHeight="1">
      <c r="B9" s="457"/>
      <c r="C9" s="458"/>
      <c r="D9" s="458"/>
      <c r="E9" s="458"/>
      <c r="F9" s="458"/>
      <c r="G9" s="458"/>
      <c r="H9" s="458"/>
      <c r="J9" s="451"/>
      <c r="K9" s="452"/>
      <c r="L9" s="452"/>
      <c r="M9" s="452"/>
      <c r="N9" s="452"/>
      <c r="O9" s="453"/>
    </row>
    <row r="10" spans="2:15" ht="15" customHeight="1">
      <c r="B10" s="459"/>
      <c r="C10" s="458"/>
      <c r="D10" s="458"/>
      <c r="E10" s="458"/>
      <c r="F10" s="458"/>
      <c r="G10" s="458"/>
      <c r="H10" s="458"/>
      <c r="J10" s="451"/>
      <c r="K10" s="452"/>
      <c r="L10" s="452"/>
      <c r="M10" s="452"/>
      <c r="N10" s="452"/>
      <c r="O10" s="453"/>
    </row>
    <row r="11" spans="2:15" ht="15" customHeight="1">
      <c r="B11" s="460" t="s">
        <v>510</v>
      </c>
      <c r="C11" s="461" t="s">
        <v>511</v>
      </c>
      <c r="D11" s="462"/>
      <c r="E11" s="462"/>
      <c r="F11" s="462"/>
      <c r="G11" s="462"/>
      <c r="H11" s="463"/>
      <c r="J11" s="441" t="str">
        <f>IF(ISBLANK(E6)," ",E6)</f>
        <v>Sub2</v>
      </c>
      <c r="K11" s="442"/>
      <c r="L11" s="442"/>
      <c r="M11" s="442"/>
      <c r="N11" s="442"/>
      <c r="O11" s="443"/>
    </row>
    <row r="12" spans="2:15" ht="15.6">
      <c r="B12" s="464"/>
      <c r="C12" s="465" t="s">
        <v>511</v>
      </c>
      <c r="D12" s="466"/>
      <c r="E12" s="466"/>
      <c r="F12" s="466"/>
      <c r="G12" s="466"/>
      <c r="H12" s="467"/>
      <c r="J12" s="447"/>
      <c r="K12" s="448"/>
      <c r="L12" s="448"/>
      <c r="M12" s="448"/>
      <c r="N12" s="448"/>
      <c r="O12" s="449"/>
    </row>
    <row r="13" spans="2:15" ht="15.6">
      <c r="B13" s="464"/>
      <c r="C13" s="465" t="s">
        <v>511</v>
      </c>
      <c r="D13" s="466"/>
      <c r="E13" s="466"/>
      <c r="F13" s="466"/>
      <c r="G13" s="466"/>
      <c r="H13" s="467"/>
      <c r="J13" s="451"/>
      <c r="K13" s="452"/>
      <c r="L13" s="452"/>
      <c r="M13" s="452"/>
      <c r="N13" s="452"/>
      <c r="O13" s="453"/>
    </row>
    <row r="14" spans="2:15" ht="13.5" customHeight="1">
      <c r="B14" s="464"/>
      <c r="C14" s="465" t="s">
        <v>511</v>
      </c>
      <c r="D14" s="466"/>
      <c r="E14" s="466"/>
      <c r="F14" s="466"/>
      <c r="G14" s="466"/>
      <c r="H14" s="467"/>
      <c r="J14" s="451"/>
      <c r="K14" s="452"/>
      <c r="L14" s="452"/>
      <c r="M14" s="452"/>
      <c r="N14" s="452"/>
      <c r="O14" s="453"/>
    </row>
    <row r="15" spans="2:15" ht="15.6">
      <c r="B15" s="464"/>
      <c r="C15" s="465" t="s">
        <v>511</v>
      </c>
      <c r="D15" s="466"/>
      <c r="E15" s="466"/>
      <c r="F15" s="466"/>
      <c r="G15" s="466"/>
      <c r="H15" s="467"/>
      <c r="J15" s="451"/>
      <c r="K15" s="452"/>
      <c r="L15" s="452"/>
      <c r="M15" s="452"/>
      <c r="N15" s="452"/>
      <c r="O15" s="453"/>
    </row>
    <row r="16" spans="2:15" ht="15.6">
      <c r="B16" s="464"/>
      <c r="C16" s="465" t="s">
        <v>511</v>
      </c>
      <c r="D16" s="466"/>
      <c r="E16" s="466"/>
      <c r="F16" s="466"/>
      <c r="G16" s="466"/>
      <c r="H16" s="467"/>
      <c r="J16" s="451"/>
      <c r="K16" s="452"/>
      <c r="L16" s="452"/>
      <c r="M16" s="452"/>
      <c r="N16" s="452"/>
      <c r="O16" s="453"/>
    </row>
    <row r="17" spans="2:15" ht="15.6">
      <c r="B17" s="464"/>
      <c r="C17" s="465" t="s">
        <v>511</v>
      </c>
      <c r="D17" s="466"/>
      <c r="E17" s="466"/>
      <c r="F17" s="466"/>
      <c r="G17" s="466"/>
      <c r="H17" s="467"/>
      <c r="J17" s="451"/>
      <c r="K17" s="452"/>
      <c r="L17" s="452"/>
      <c r="M17" s="452"/>
      <c r="N17" s="452"/>
      <c r="O17" s="453"/>
    </row>
    <row r="18" spans="2:15" ht="15.6">
      <c r="B18" s="464"/>
      <c r="C18" s="465" t="s">
        <v>511</v>
      </c>
      <c r="D18" s="466"/>
      <c r="E18" s="466"/>
      <c r="F18" s="466"/>
      <c r="G18" s="466"/>
      <c r="H18" s="467"/>
      <c r="J18" s="451"/>
      <c r="K18" s="452"/>
      <c r="L18" s="452"/>
      <c r="M18" s="452"/>
      <c r="N18" s="452"/>
      <c r="O18" s="453"/>
    </row>
    <row r="19" spans="2:15" ht="15.6">
      <c r="B19" s="464"/>
      <c r="C19" s="465" t="s">
        <v>511</v>
      </c>
      <c r="D19" s="466"/>
      <c r="E19" s="466"/>
      <c r="F19" s="466"/>
      <c r="G19" s="466"/>
      <c r="H19" s="467"/>
      <c r="J19" s="441" t="str">
        <f>IF(ISBLANK(F6)," ",F6)</f>
        <v>Sub3</v>
      </c>
      <c r="K19" s="442"/>
      <c r="L19" s="442"/>
      <c r="M19" s="442"/>
      <c r="N19" s="442"/>
      <c r="O19" s="443"/>
    </row>
    <row r="20" spans="2:15" ht="15.6">
      <c r="B20" s="464"/>
      <c r="C20" s="465" t="s">
        <v>511</v>
      </c>
      <c r="D20" s="466"/>
      <c r="E20" s="466"/>
      <c r="F20" s="466"/>
      <c r="G20" s="466"/>
      <c r="H20" s="467"/>
      <c r="J20" s="447"/>
      <c r="K20" s="448"/>
      <c r="L20" s="448"/>
      <c r="M20" s="448"/>
      <c r="N20" s="448"/>
      <c r="O20" s="449"/>
    </row>
    <row r="21" spans="2:15" ht="15.6">
      <c r="B21" s="464"/>
      <c r="C21" s="465" t="s">
        <v>511</v>
      </c>
      <c r="D21" s="466"/>
      <c r="E21" s="466"/>
      <c r="F21" s="466"/>
      <c r="G21" s="466"/>
      <c r="H21" s="467"/>
      <c r="J21" s="451"/>
      <c r="K21" s="452"/>
      <c r="L21" s="452"/>
      <c r="M21" s="452"/>
      <c r="N21" s="452"/>
      <c r="O21" s="453"/>
    </row>
    <row r="22" spans="2:15" ht="15.6">
      <c r="B22" s="464"/>
      <c r="C22" s="465" t="s">
        <v>511</v>
      </c>
      <c r="D22" s="466"/>
      <c r="E22" s="466"/>
      <c r="F22" s="466"/>
      <c r="G22" s="466"/>
      <c r="H22" s="467"/>
      <c r="J22" s="451"/>
      <c r="K22" s="452"/>
      <c r="L22" s="452"/>
      <c r="M22" s="452"/>
      <c r="N22" s="452"/>
      <c r="O22" s="453"/>
    </row>
    <row r="23" spans="2:15" ht="15.6">
      <c r="B23" s="464"/>
      <c r="C23" s="465" t="s">
        <v>511</v>
      </c>
      <c r="D23" s="466"/>
      <c r="E23" s="466"/>
      <c r="F23" s="466"/>
      <c r="G23" s="466"/>
      <c r="H23" s="467"/>
      <c r="J23" s="451"/>
      <c r="K23" s="452"/>
      <c r="L23" s="452"/>
      <c r="M23" s="452"/>
      <c r="N23" s="452"/>
      <c r="O23" s="453"/>
    </row>
    <row r="24" spans="2:15" ht="15.6">
      <c r="B24" s="464"/>
      <c r="C24" s="465" t="s">
        <v>511</v>
      </c>
      <c r="D24" s="466"/>
      <c r="E24" s="466"/>
      <c r="F24" s="466"/>
      <c r="G24" s="466"/>
      <c r="H24" s="467"/>
      <c r="J24" s="451"/>
      <c r="K24" s="452"/>
      <c r="L24" s="452"/>
      <c r="M24" s="452"/>
      <c r="N24" s="452"/>
      <c r="O24" s="453"/>
    </row>
    <row r="25" spans="2:15" ht="15.6">
      <c r="B25" s="464"/>
      <c r="C25" s="465" t="s">
        <v>511</v>
      </c>
      <c r="D25" s="466"/>
      <c r="E25" s="466"/>
      <c r="F25" s="466"/>
      <c r="G25" s="466"/>
      <c r="H25" s="467"/>
      <c r="J25" s="451"/>
      <c r="K25" s="452"/>
      <c r="L25" s="452"/>
      <c r="M25" s="452"/>
      <c r="N25" s="452"/>
      <c r="O25" s="453"/>
    </row>
    <row r="26" spans="2:15" ht="15.6">
      <c r="B26" s="464"/>
      <c r="C26" s="465" t="s">
        <v>511</v>
      </c>
      <c r="D26" s="466"/>
      <c r="E26" s="466"/>
      <c r="F26" s="466"/>
      <c r="G26" s="466"/>
      <c r="H26" s="467"/>
      <c r="J26" s="451"/>
      <c r="K26" s="452"/>
      <c r="L26" s="452"/>
      <c r="M26" s="452"/>
      <c r="N26" s="452"/>
      <c r="O26" s="453"/>
    </row>
    <row r="27" spans="2:15" ht="15.6">
      <c r="B27" s="464"/>
      <c r="C27" s="465" t="s">
        <v>511</v>
      </c>
      <c r="D27" s="466"/>
      <c r="E27" s="466"/>
      <c r="F27" s="466"/>
      <c r="G27" s="466"/>
      <c r="H27" s="467"/>
      <c r="J27" s="441" t="str">
        <f>IF(ISBLANK(G6)," ",G6)</f>
        <v>Sub4</v>
      </c>
      <c r="K27" s="442"/>
      <c r="L27" s="442"/>
      <c r="M27" s="442"/>
      <c r="N27" s="442"/>
      <c r="O27" s="443"/>
    </row>
    <row r="28" spans="2:15" ht="15.6">
      <c r="B28" s="464"/>
      <c r="C28" s="465" t="s">
        <v>511</v>
      </c>
      <c r="D28" s="466"/>
      <c r="E28" s="466"/>
      <c r="F28" s="466"/>
      <c r="G28" s="466"/>
      <c r="H28" s="467"/>
      <c r="J28" s="447"/>
      <c r="K28" s="448"/>
      <c r="L28" s="448"/>
      <c r="M28" s="448"/>
      <c r="N28" s="448"/>
      <c r="O28" s="449"/>
    </row>
    <row r="29" spans="2:15" ht="15.6">
      <c r="B29" s="464"/>
      <c r="C29" s="465" t="s">
        <v>511</v>
      </c>
      <c r="D29" s="466"/>
      <c r="E29" s="466"/>
      <c r="F29" s="466"/>
      <c r="G29" s="466"/>
      <c r="H29" s="467"/>
      <c r="J29" s="451"/>
      <c r="K29" s="452"/>
      <c r="L29" s="452"/>
      <c r="M29" s="452"/>
      <c r="N29" s="452"/>
      <c r="O29" s="453"/>
    </row>
    <row r="30" spans="2:15" ht="15.6">
      <c r="B30" s="464"/>
      <c r="C30" s="465" t="s">
        <v>511</v>
      </c>
      <c r="D30" s="466"/>
      <c r="E30" s="466"/>
      <c r="F30" s="466"/>
      <c r="G30" s="466"/>
      <c r="H30" s="467"/>
      <c r="J30" s="451"/>
      <c r="K30" s="452"/>
      <c r="L30" s="452"/>
      <c r="M30" s="452"/>
      <c r="N30" s="452"/>
      <c r="O30" s="453"/>
    </row>
    <row r="31" spans="2:15" ht="15.6">
      <c r="B31" s="464"/>
      <c r="C31" s="465" t="s">
        <v>511</v>
      </c>
      <c r="D31" s="466"/>
      <c r="E31" s="466"/>
      <c r="F31" s="466"/>
      <c r="G31" s="466"/>
      <c r="H31" s="467"/>
      <c r="J31" s="451"/>
      <c r="K31" s="452"/>
      <c r="L31" s="452"/>
      <c r="M31" s="452"/>
      <c r="N31" s="452"/>
      <c r="O31" s="453"/>
    </row>
    <row r="32" spans="2:15" ht="15.6">
      <c r="B32" s="464"/>
      <c r="C32" s="465" t="s">
        <v>511</v>
      </c>
      <c r="D32" s="466"/>
      <c r="E32" s="466"/>
      <c r="F32" s="466"/>
      <c r="G32" s="466"/>
      <c r="H32" s="467"/>
      <c r="J32" s="451"/>
      <c r="K32" s="452"/>
      <c r="L32" s="452"/>
      <c r="M32" s="452"/>
      <c r="N32" s="452"/>
      <c r="O32" s="453"/>
    </row>
    <row r="33" spans="2:15" ht="15.6">
      <c r="B33" s="464"/>
      <c r="C33" s="465" t="s">
        <v>511</v>
      </c>
      <c r="D33" s="466"/>
      <c r="E33" s="466"/>
      <c r="F33" s="466"/>
      <c r="G33" s="466"/>
      <c r="H33" s="467"/>
      <c r="J33" s="451"/>
      <c r="K33" s="452"/>
      <c r="L33" s="452"/>
      <c r="M33" s="452"/>
      <c r="N33" s="452"/>
      <c r="O33" s="453"/>
    </row>
    <row r="34" spans="2:15" ht="15.6">
      <c r="B34" s="464"/>
      <c r="C34" s="465" t="s">
        <v>511</v>
      </c>
      <c r="D34" s="466"/>
      <c r="E34" s="466"/>
      <c r="F34" s="466"/>
      <c r="G34" s="466"/>
      <c r="H34" s="467"/>
      <c r="J34" s="451"/>
      <c r="K34" s="452"/>
      <c r="L34" s="452"/>
      <c r="M34" s="452"/>
      <c r="N34" s="452"/>
      <c r="O34" s="453"/>
    </row>
    <row r="35" spans="2:15" ht="15.6">
      <c r="B35" s="464"/>
      <c r="C35" s="465" t="s">
        <v>511</v>
      </c>
      <c r="D35" s="466"/>
      <c r="E35" s="466"/>
      <c r="F35" s="466"/>
      <c r="G35" s="466"/>
      <c r="H35" s="467"/>
      <c r="J35" s="441" t="str">
        <f>IF(ISBLANK(H6)," ",H6)</f>
        <v>Sub5</v>
      </c>
      <c r="K35" s="442"/>
      <c r="L35" s="442"/>
      <c r="M35" s="442"/>
      <c r="N35" s="442"/>
      <c r="O35" s="443"/>
    </row>
    <row r="36" spans="2:15" ht="15.6">
      <c r="B36" s="464"/>
      <c r="C36" s="465" t="s">
        <v>511</v>
      </c>
      <c r="D36" s="466"/>
      <c r="E36" s="466"/>
      <c r="F36" s="466"/>
      <c r="G36" s="466"/>
      <c r="H36" s="467"/>
      <c r="J36" s="447"/>
      <c r="K36" s="448"/>
      <c r="L36" s="448"/>
      <c r="M36" s="448"/>
      <c r="N36" s="448"/>
      <c r="O36" s="449"/>
    </row>
    <row r="37" spans="2:15" ht="15.6">
      <c r="B37" s="464"/>
      <c r="C37" s="465" t="s">
        <v>511</v>
      </c>
      <c r="D37" s="466"/>
      <c r="E37" s="466"/>
      <c r="F37" s="466"/>
      <c r="G37" s="466"/>
      <c r="H37" s="467"/>
      <c r="J37" s="451"/>
      <c r="K37" s="452"/>
      <c r="L37" s="452"/>
      <c r="M37" s="452"/>
      <c r="N37" s="452"/>
      <c r="O37" s="453"/>
    </row>
    <row r="38" spans="2:15" ht="15">
      <c r="B38" s="468"/>
      <c r="C38" s="469" t="s">
        <v>511</v>
      </c>
      <c r="D38" s="470"/>
      <c r="E38" s="470"/>
      <c r="F38" s="470"/>
      <c r="G38" s="470"/>
      <c r="H38" s="471"/>
      <c r="J38" s="451"/>
      <c r="K38" s="452"/>
      <c r="L38" s="452"/>
      <c r="M38" s="452"/>
      <c r="N38" s="452"/>
      <c r="O38" s="453"/>
    </row>
    <row r="39" spans="2:15">
      <c r="B39" s="455" t="s">
        <v>512</v>
      </c>
      <c r="C39" s="472"/>
      <c r="D39" s="473">
        <f>SUM(D7:D38)</f>
        <v>0</v>
      </c>
      <c r="E39" s="473">
        <f>SUM(E7:E38)</f>
        <v>0</v>
      </c>
      <c r="F39" s="473">
        <f>SUM(F7:F38)</f>
        <v>0</v>
      </c>
      <c r="G39" s="473">
        <f>SUM(G7:G38)</f>
        <v>0</v>
      </c>
      <c r="H39" s="473">
        <f>SUM(H7:H38)</f>
        <v>0</v>
      </c>
      <c r="J39" s="451"/>
      <c r="K39" s="452"/>
      <c r="L39" s="452"/>
      <c r="M39" s="452"/>
      <c r="N39" s="452"/>
      <c r="O39" s="453"/>
    </row>
    <row r="40" spans="2:15">
      <c r="B40" s="457"/>
      <c r="C40" s="474"/>
      <c r="D40" s="473"/>
      <c r="E40" s="473"/>
      <c r="F40" s="473"/>
      <c r="G40" s="473"/>
      <c r="H40" s="473"/>
      <c r="J40" s="451"/>
      <c r="K40" s="452"/>
      <c r="L40" s="452"/>
      <c r="M40" s="452"/>
      <c r="N40" s="452"/>
      <c r="O40" s="453"/>
    </row>
    <row r="41" spans="2:15">
      <c r="B41" s="457"/>
      <c r="C41" s="474"/>
      <c r="D41" s="473"/>
      <c r="E41" s="473"/>
      <c r="F41" s="473"/>
      <c r="G41" s="473"/>
      <c r="H41" s="473"/>
      <c r="J41" s="451"/>
      <c r="K41" s="452"/>
      <c r="L41" s="452"/>
      <c r="M41" s="452"/>
      <c r="N41" s="452"/>
      <c r="O41" s="453"/>
    </row>
    <row r="42" spans="2:15">
      <c r="B42" s="459"/>
      <c r="C42" s="474"/>
      <c r="D42" s="475"/>
      <c r="E42" s="475"/>
      <c r="F42" s="475"/>
      <c r="G42" s="475"/>
      <c r="H42" s="475"/>
      <c r="J42" s="476"/>
      <c r="K42" s="477"/>
      <c r="L42" s="477"/>
      <c r="M42" s="477"/>
      <c r="N42" s="477"/>
      <c r="O42" s="478"/>
    </row>
    <row r="43" spans="2:15">
      <c r="B43" s="479"/>
    </row>
  </sheetData>
  <mergeCells count="31">
    <mergeCell ref="C4:F4"/>
    <mergeCell ref="J4:O10"/>
    <mergeCell ref="D5:H5"/>
    <mergeCell ref="B7:B10"/>
    <mergeCell ref="C7:C10"/>
    <mergeCell ref="D7:D10"/>
    <mergeCell ref="E7:E10"/>
    <mergeCell ref="F7:F10"/>
    <mergeCell ref="G7:G10"/>
    <mergeCell ref="H7:H10"/>
    <mergeCell ref="B2:H2"/>
    <mergeCell ref="J2:O2"/>
    <mergeCell ref="D3:E3"/>
    <mergeCell ref="F3:H3"/>
    <mergeCell ref="J3:O3"/>
    <mergeCell ref="J35:O35"/>
    <mergeCell ref="J36:O42"/>
    <mergeCell ref="B39:B42"/>
    <mergeCell ref="C39:C42"/>
    <mergeCell ref="D39:D42"/>
    <mergeCell ref="E39:E42"/>
    <mergeCell ref="F39:F42"/>
    <mergeCell ref="G39:G42"/>
    <mergeCell ref="H39:H42"/>
    <mergeCell ref="B11:B38"/>
    <mergeCell ref="J28:O34"/>
    <mergeCell ref="J11:O11"/>
    <mergeCell ref="J12:O18"/>
    <mergeCell ref="J19:O19"/>
    <mergeCell ref="J20:O26"/>
    <mergeCell ref="J27:O27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U51"/>
  <sheetViews>
    <sheetView showZeros="0" zoomScaleNormal="100" workbookViewId="0">
      <selection activeCell="K26" sqref="K26"/>
    </sheetView>
  </sheetViews>
  <sheetFormatPr defaultColWidth="0" defaultRowHeight="13.2" zeroHeight="1"/>
  <cols>
    <col min="1" max="1" width="3.81640625" style="907" customWidth="1"/>
    <col min="2" max="2" width="7.7265625" style="907" customWidth="1"/>
    <col min="3" max="3" width="14.54296875" style="907" customWidth="1"/>
    <col min="4" max="4" width="8.81640625" style="907" customWidth="1"/>
    <col min="5" max="5" width="4.7265625" style="907" customWidth="1"/>
    <col min="6" max="6" width="5.26953125" style="907" customWidth="1"/>
    <col min="7" max="7" width="13.7265625" style="907" customWidth="1"/>
    <col min="8" max="8" width="1.26953125" style="907" customWidth="1"/>
    <col min="9" max="9" width="5.81640625" style="907" customWidth="1"/>
    <col min="10" max="10" width="2.26953125" style="907" customWidth="1"/>
    <col min="11" max="11" width="13.7265625" style="907" customWidth="1"/>
    <col min="12" max="12" width="5.453125" style="907" customWidth="1"/>
    <col min="13" max="13" width="16.1796875" style="907" customWidth="1"/>
    <col min="14" max="14" width="3.81640625" style="907" customWidth="1"/>
    <col min="15" max="15" width="1.54296875" style="907" hidden="1" customWidth="1"/>
    <col min="16" max="16" width="8.26953125" style="907" hidden="1" customWidth="1"/>
    <col min="17" max="17" width="12.26953125" style="907" hidden="1" customWidth="1"/>
    <col min="18" max="18" width="20" style="907" hidden="1" customWidth="1"/>
    <col min="19" max="19" width="23.81640625" style="907" hidden="1" customWidth="1"/>
    <col min="20" max="21" width="0" style="907" hidden="1" customWidth="1"/>
    <col min="22" max="16384" width="8.81640625" style="907" hidden="1"/>
  </cols>
  <sheetData>
    <row r="1" spans="1:21" ht="13.8" thickBot="1">
      <c r="A1" s="904"/>
      <c r="B1" s="904"/>
      <c r="C1" s="904"/>
      <c r="D1" s="904"/>
      <c r="E1" s="904"/>
      <c r="F1" s="904"/>
      <c r="G1" s="904"/>
      <c r="H1" s="904"/>
      <c r="I1" s="904"/>
      <c r="J1" s="904"/>
      <c r="K1" s="904"/>
      <c r="L1" s="904"/>
      <c r="M1" s="904"/>
      <c r="N1" s="904"/>
      <c r="O1" s="905"/>
      <c r="P1" s="906"/>
      <c r="S1" s="908"/>
    </row>
    <row r="2" spans="1:21" ht="25.8" thickTop="1" thickBot="1">
      <c r="A2" s="904"/>
      <c r="B2" s="909"/>
      <c r="C2" s="909"/>
      <c r="D2" s="909"/>
      <c r="E2" s="909"/>
      <c r="F2" s="909"/>
      <c r="G2" s="909"/>
      <c r="H2" s="909"/>
      <c r="I2" s="909"/>
      <c r="J2" s="910"/>
      <c r="K2" s="911" t="str">
        <f>IF(M40&gt;=0,"Invoice No.", "Credit Note.")</f>
        <v>Invoice No.</v>
      </c>
      <c r="L2" s="912"/>
      <c r="M2" s="913" t="s">
        <v>435</v>
      </c>
      <c r="N2" s="914"/>
      <c r="O2" s="905"/>
      <c r="P2" s="908"/>
      <c r="Q2" s="908"/>
      <c r="R2" s="908"/>
      <c r="S2" s="908"/>
      <c r="T2" s="908"/>
      <c r="U2" s="908"/>
    </row>
    <row r="3" spans="1:21" ht="13.8" thickTop="1">
      <c r="A3" s="904"/>
      <c r="B3" s="915"/>
      <c r="C3" s="915"/>
      <c r="D3" s="915"/>
      <c r="E3" s="915"/>
      <c r="F3" s="915"/>
      <c r="G3" s="915"/>
      <c r="H3" s="915"/>
      <c r="I3" s="915"/>
      <c r="J3" s="904"/>
      <c r="K3" s="904"/>
      <c r="L3" s="916"/>
      <c r="M3" s="917"/>
      <c r="N3" s="904"/>
      <c r="O3" s="905"/>
      <c r="P3" s="908"/>
      <c r="Q3" s="908"/>
      <c r="R3" s="908"/>
      <c r="S3" s="908"/>
      <c r="T3" s="908"/>
      <c r="U3" s="908"/>
    </row>
    <row r="4" spans="1:21">
      <c r="A4" s="904"/>
      <c r="B4" s="915"/>
      <c r="C4" s="915"/>
      <c r="D4" s="915"/>
      <c r="E4" s="915"/>
      <c r="F4" s="915"/>
      <c r="G4" s="915"/>
      <c r="H4" s="915"/>
      <c r="I4" s="915"/>
      <c r="J4" s="904"/>
      <c r="K4" s="904"/>
      <c r="L4" s="918"/>
      <c r="M4" s="919"/>
      <c r="N4" s="904"/>
      <c r="O4" s="905"/>
      <c r="P4" s="908"/>
      <c r="Q4" s="908"/>
      <c r="R4" s="908"/>
      <c r="S4" s="908"/>
      <c r="T4" s="908"/>
      <c r="U4" s="908"/>
    </row>
    <row r="5" spans="1:21" ht="22.8">
      <c r="A5" s="904"/>
      <c r="B5" s="904"/>
      <c r="C5" s="904"/>
      <c r="D5" s="904"/>
      <c r="E5" s="904"/>
      <c r="F5" s="904"/>
      <c r="G5" s="904"/>
      <c r="H5" s="904"/>
      <c r="I5" s="920" t="s">
        <v>405</v>
      </c>
      <c r="J5" s="920"/>
      <c r="K5" s="920"/>
      <c r="L5" s="920"/>
      <c r="M5" s="920"/>
      <c r="N5" s="904"/>
      <c r="O5" s="905"/>
      <c r="P5" s="908"/>
      <c r="Q5" s="908"/>
      <c r="R5" s="908"/>
      <c r="S5" s="908"/>
      <c r="T5" s="908"/>
      <c r="U5" s="908"/>
    </row>
    <row r="6" spans="1:21" ht="4.5" customHeight="1">
      <c r="A6" s="904"/>
      <c r="B6" s="904"/>
      <c r="C6" s="904"/>
      <c r="D6" s="904"/>
      <c r="E6" s="904"/>
      <c r="F6" s="904"/>
      <c r="G6" s="904"/>
      <c r="H6" s="904"/>
      <c r="I6" s="904"/>
      <c r="J6" s="904"/>
      <c r="K6" s="904"/>
      <c r="L6" s="904"/>
      <c r="M6" s="904"/>
      <c r="N6" s="921"/>
      <c r="O6" s="905"/>
      <c r="P6" s="908"/>
      <c r="Q6" s="908"/>
      <c r="R6" s="908"/>
      <c r="S6" s="908"/>
      <c r="T6" s="908"/>
      <c r="U6" s="908"/>
    </row>
    <row r="7" spans="1:21" ht="15.6">
      <c r="A7" s="904"/>
      <c r="B7" s="922">
        <f>'Internal Payment '!L4</f>
        <v>0</v>
      </c>
      <c r="C7" s="922"/>
      <c r="D7" s="922"/>
      <c r="E7" s="922"/>
      <c r="F7" s="922"/>
      <c r="G7" s="922"/>
      <c r="H7" s="922"/>
      <c r="I7" s="922"/>
      <c r="J7" s="904"/>
      <c r="K7" s="904"/>
      <c r="L7" s="904"/>
      <c r="M7" s="904"/>
      <c r="N7" s="904"/>
      <c r="O7" s="905"/>
      <c r="P7" s="908"/>
      <c r="Q7" s="908"/>
      <c r="R7" s="908"/>
      <c r="S7" s="908"/>
      <c r="T7" s="908"/>
      <c r="U7" s="908"/>
    </row>
    <row r="8" spans="1:21" ht="15.6">
      <c r="A8" s="904"/>
      <c r="B8" s="922">
        <f>'Internal Payment '!L5</f>
        <v>0</v>
      </c>
      <c r="C8" s="922"/>
      <c r="D8" s="922"/>
      <c r="E8" s="922"/>
      <c r="F8" s="922"/>
      <c r="G8" s="922"/>
      <c r="H8" s="922"/>
      <c r="I8" s="922"/>
      <c r="J8" s="904"/>
      <c r="K8" s="904" t="s">
        <v>407</v>
      </c>
      <c r="L8" s="904"/>
      <c r="M8" s="923" t="s">
        <v>408</v>
      </c>
      <c r="N8" s="904"/>
      <c r="O8" s="905"/>
      <c r="P8" s="908"/>
      <c r="Q8" s="908"/>
      <c r="R8" s="908"/>
      <c r="S8" s="908"/>
      <c r="T8" s="908"/>
      <c r="U8" s="908"/>
    </row>
    <row r="9" spans="1:21" ht="15.6">
      <c r="A9" s="904"/>
      <c r="B9" s="922">
        <f>'Internal Payment '!L6</f>
        <v>0</v>
      </c>
      <c r="C9" s="922"/>
      <c r="D9" s="922"/>
      <c r="E9" s="922"/>
      <c r="F9" s="922"/>
      <c r="G9" s="922"/>
      <c r="H9" s="922"/>
      <c r="I9" s="922"/>
      <c r="J9" s="904"/>
      <c r="K9" s="924" t="s">
        <v>409</v>
      </c>
      <c r="L9" s="924"/>
      <c r="M9" s="925">
        <f ca="1">NOW()</f>
        <v>45614.757380555558</v>
      </c>
      <c r="N9" s="904"/>
      <c r="O9" s="905"/>
      <c r="P9" s="908"/>
      <c r="Q9" s="908"/>
      <c r="R9" s="908"/>
      <c r="S9" s="908"/>
      <c r="T9" s="908"/>
      <c r="U9" s="908"/>
    </row>
    <row r="10" spans="1:21" ht="15.6">
      <c r="A10" s="904"/>
      <c r="B10" s="922">
        <f>'Internal Payment '!L7</f>
        <v>0</v>
      </c>
      <c r="C10" s="922"/>
      <c r="D10" s="922"/>
      <c r="E10" s="922"/>
      <c r="F10" s="922"/>
      <c r="G10" s="922"/>
      <c r="H10" s="922"/>
      <c r="I10" s="922"/>
      <c r="J10" s="904"/>
      <c r="K10" s="924" t="s">
        <v>410</v>
      </c>
      <c r="L10" s="924"/>
      <c r="M10" s="926">
        <f>'Internal Payment '!L12</f>
        <v>0</v>
      </c>
      <c r="N10" s="927"/>
      <c r="O10" s="905"/>
      <c r="P10" s="908"/>
      <c r="Q10" s="908"/>
      <c r="R10" s="908"/>
      <c r="S10" s="908"/>
      <c r="T10" s="908"/>
      <c r="U10" s="908"/>
    </row>
    <row r="11" spans="1:21" ht="15.6">
      <c r="A11" s="904"/>
      <c r="B11" s="922">
        <f>'Internal Payment '!L8</f>
        <v>0</v>
      </c>
      <c r="C11" s="922"/>
      <c r="D11" s="922"/>
      <c r="E11" s="922"/>
      <c r="F11" s="922"/>
      <c r="G11" s="922"/>
      <c r="H11" s="922"/>
      <c r="I11" s="922"/>
      <c r="J11" s="904"/>
      <c r="K11" s="924" t="s">
        <v>411</v>
      </c>
      <c r="L11" s="924"/>
      <c r="M11" s="926" t="str">
        <f>'Internal Payment '!C4</f>
        <v>XXXX</v>
      </c>
      <c r="N11" s="904"/>
      <c r="O11" s="905"/>
      <c r="P11" s="908"/>
      <c r="Q11" s="908"/>
      <c r="R11" s="908"/>
      <c r="S11" s="908"/>
      <c r="T11" s="908"/>
      <c r="U11" s="908"/>
    </row>
    <row r="12" spans="1:21" ht="15.6">
      <c r="A12" s="904"/>
      <c r="B12" s="922">
        <f>'Internal Payment '!L9</f>
        <v>0</v>
      </c>
      <c r="C12" s="922"/>
      <c r="D12" s="922"/>
      <c r="E12" s="922"/>
      <c r="F12" s="922"/>
      <c r="G12" s="922"/>
      <c r="H12" s="922"/>
      <c r="I12" s="922"/>
      <c r="J12" s="904"/>
      <c r="K12" s="924" t="s">
        <v>412</v>
      </c>
      <c r="L12" s="924"/>
      <c r="M12" s="926"/>
      <c r="N12" s="904"/>
      <c r="O12" s="905"/>
      <c r="P12" s="908"/>
      <c r="Q12" s="908"/>
      <c r="R12" s="908"/>
      <c r="S12" s="908"/>
      <c r="T12" s="908"/>
      <c r="U12" s="908"/>
    </row>
    <row r="13" spans="1:21" ht="15.6">
      <c r="A13" s="904"/>
      <c r="B13" s="922">
        <f>'Internal Payment '!L10</f>
        <v>0</v>
      </c>
      <c r="C13" s="922"/>
      <c r="D13" s="922"/>
      <c r="E13" s="922"/>
      <c r="F13" s="922"/>
      <c r="G13" s="922"/>
      <c r="H13" s="922"/>
      <c r="I13" s="922"/>
      <c r="J13" s="904"/>
      <c r="K13" s="924" t="s">
        <v>413</v>
      </c>
      <c r="L13" s="924"/>
      <c r="M13" s="926">
        <v>2</v>
      </c>
      <c r="N13" s="904"/>
      <c r="O13" s="905"/>
      <c r="P13" s="908"/>
      <c r="Q13" s="908"/>
      <c r="R13" s="908"/>
      <c r="S13" s="908"/>
      <c r="T13" s="908"/>
      <c r="U13" s="908"/>
    </row>
    <row r="14" spans="1:21" ht="13.8" thickBot="1">
      <c r="A14" s="904"/>
      <c r="B14" s="928"/>
      <c r="C14" s="928"/>
      <c r="D14" s="928"/>
      <c r="E14" s="928"/>
      <c r="F14" s="928"/>
      <c r="G14" s="928"/>
      <c r="H14" s="928"/>
      <c r="I14" s="928"/>
      <c r="J14" s="928"/>
      <c r="K14" s="929"/>
      <c r="L14" s="929"/>
      <c r="M14" s="930"/>
      <c r="N14" s="904"/>
      <c r="O14" s="905"/>
      <c r="P14" s="908"/>
      <c r="Q14" s="908"/>
      <c r="R14" s="908"/>
      <c r="S14" s="908"/>
      <c r="T14" s="908"/>
      <c r="U14" s="908"/>
    </row>
    <row r="15" spans="1:21" ht="14.4" thickTop="1" thickBot="1">
      <c r="A15" s="904"/>
      <c r="B15" s="904"/>
      <c r="C15" s="904"/>
      <c r="D15" s="904"/>
      <c r="E15" s="904"/>
      <c r="F15" s="904"/>
      <c r="G15" s="904"/>
      <c r="H15" s="904"/>
      <c r="I15" s="904"/>
      <c r="J15" s="904"/>
      <c r="K15" s="904"/>
      <c r="L15" s="904"/>
      <c r="M15" s="904"/>
      <c r="N15" s="904"/>
      <c r="O15" s="905"/>
      <c r="P15" s="908"/>
      <c r="Q15" s="908"/>
      <c r="R15" s="908"/>
      <c r="S15" s="908"/>
      <c r="T15" s="908"/>
      <c r="U15" s="908"/>
    </row>
    <row r="16" spans="1:21" ht="16.2" thickTop="1">
      <c r="A16" s="904"/>
      <c r="B16" s="931" t="s">
        <v>414</v>
      </c>
      <c r="C16" s="932"/>
      <c r="D16" s="933" t="str">
        <f>'Internal Payment '!C3</f>
        <v>Job Name</v>
      </c>
      <c r="E16" s="933"/>
      <c r="F16" s="933"/>
      <c r="G16" s="933"/>
      <c r="H16" s="933"/>
      <c r="I16" s="933"/>
      <c r="J16" s="933"/>
      <c r="K16" s="933"/>
      <c r="L16" s="933"/>
      <c r="M16" s="934"/>
      <c r="N16" s="904"/>
      <c r="O16" s="905"/>
      <c r="P16" s="908"/>
      <c r="Q16" s="908"/>
      <c r="R16" s="908"/>
      <c r="S16" s="908"/>
      <c r="T16" s="908"/>
      <c r="U16" s="908"/>
    </row>
    <row r="17" spans="1:21" ht="15.6">
      <c r="A17" s="904"/>
      <c r="B17" s="935" t="s">
        <v>415</v>
      </c>
      <c r="C17" s="936"/>
      <c r="D17" s="937">
        <f>'Internal Payment '!F4</f>
        <v>1</v>
      </c>
      <c r="E17" s="937"/>
      <c r="F17" s="937"/>
      <c r="G17" s="937"/>
      <c r="H17" s="937"/>
      <c r="I17" s="937"/>
      <c r="J17" s="937"/>
      <c r="K17" s="937"/>
      <c r="L17" s="937"/>
      <c r="M17" s="938"/>
      <c r="N17" s="904"/>
      <c r="O17" s="905"/>
      <c r="P17" s="908"/>
      <c r="Q17" s="908"/>
      <c r="R17" s="908"/>
      <c r="S17" s="908"/>
      <c r="T17" s="908"/>
      <c r="U17" s="908"/>
    </row>
    <row r="18" spans="1:21" ht="15.6">
      <c r="A18" s="904"/>
      <c r="B18" s="939" t="s">
        <v>416</v>
      </c>
      <c r="C18" s="940"/>
      <c r="D18" s="940"/>
      <c r="E18" s="940"/>
      <c r="F18" s="940"/>
      <c r="G18" s="941">
        <f>SUMRY!K30</f>
        <v>43831</v>
      </c>
      <c r="H18" s="940"/>
      <c r="I18" s="940" t="s">
        <v>417</v>
      </c>
      <c r="J18" s="940"/>
      <c r="K18" s="942"/>
      <c r="L18" s="942"/>
      <c r="M18" s="943">
        <f>SUMRY!M30</f>
        <v>43861</v>
      </c>
      <c r="N18" s="904"/>
      <c r="O18" s="905"/>
      <c r="P18" s="908"/>
      <c r="Q18" s="908"/>
      <c r="R18" s="908"/>
      <c r="S18" s="908"/>
      <c r="T18" s="908"/>
      <c r="U18" s="908"/>
    </row>
    <row r="19" spans="1:21" ht="15.75" customHeight="1">
      <c r="A19" s="904"/>
      <c r="B19" s="944" t="s">
        <v>418</v>
      </c>
      <c r="C19" s="945"/>
      <c r="D19" s="945"/>
      <c r="E19" s="945"/>
      <c r="F19" s="945"/>
      <c r="G19" s="945"/>
      <c r="H19" s="945"/>
      <c r="I19" s="945"/>
      <c r="J19" s="945"/>
      <c r="K19" s="946"/>
      <c r="L19" s="946"/>
      <c r="M19" s="947">
        <f>'Internal Payment '!G15</f>
        <v>43944</v>
      </c>
      <c r="N19" s="904"/>
      <c r="O19" s="905"/>
      <c r="P19" s="908"/>
      <c r="Q19" s="908"/>
      <c r="R19" s="908"/>
      <c r="S19" s="908"/>
      <c r="T19" s="908"/>
      <c r="U19" s="908"/>
    </row>
    <row r="20" spans="1:21" ht="16.2" thickBot="1">
      <c r="A20" s="904"/>
      <c r="B20" s="948" t="s">
        <v>419</v>
      </c>
      <c r="C20" s="949"/>
      <c r="D20" s="949"/>
      <c r="E20" s="949"/>
      <c r="F20" s="949"/>
      <c r="G20" s="949"/>
      <c r="H20" s="949"/>
      <c r="I20" s="949"/>
      <c r="J20" s="949"/>
      <c r="K20" s="950"/>
      <c r="L20" s="950"/>
      <c r="M20" s="951"/>
      <c r="N20" s="904"/>
      <c r="O20" s="905"/>
      <c r="P20" s="908"/>
      <c r="Q20" s="908"/>
      <c r="R20" s="908"/>
      <c r="S20" s="908"/>
      <c r="T20" s="908"/>
      <c r="U20" s="908"/>
    </row>
    <row r="21" spans="1:21" ht="14.4" thickTop="1" thickBot="1">
      <c r="A21" s="904"/>
      <c r="B21" s="928"/>
      <c r="C21" s="928"/>
      <c r="D21" s="928"/>
      <c r="E21" s="928"/>
      <c r="F21" s="928"/>
      <c r="G21" s="928"/>
      <c r="H21" s="928"/>
      <c r="I21" s="928"/>
      <c r="J21" s="928"/>
      <c r="K21" s="928"/>
      <c r="L21" s="928"/>
      <c r="M21" s="928"/>
      <c r="N21" s="904"/>
      <c r="O21" s="905"/>
      <c r="P21" s="908"/>
      <c r="Q21" s="908"/>
      <c r="R21" s="908"/>
      <c r="S21" s="908"/>
      <c r="T21" s="908"/>
      <c r="U21" s="908"/>
    </row>
    <row r="22" spans="1:21" ht="13.8" thickTop="1">
      <c r="A22" s="904"/>
      <c r="B22" s="904"/>
      <c r="C22" s="904"/>
      <c r="D22" s="904"/>
      <c r="E22" s="904"/>
      <c r="F22" s="904"/>
      <c r="G22" s="904"/>
      <c r="H22" s="904"/>
      <c r="I22" s="904"/>
      <c r="J22" s="904"/>
      <c r="K22" s="904"/>
      <c r="L22" s="904"/>
      <c r="M22" s="904"/>
      <c r="N22" s="904"/>
      <c r="O22" s="905"/>
      <c r="P22" s="908"/>
      <c r="Q22" s="908"/>
      <c r="R22" s="908"/>
      <c r="S22" s="908"/>
      <c r="T22" s="908"/>
      <c r="U22" s="908"/>
    </row>
    <row r="23" spans="1:21">
      <c r="A23" s="904"/>
      <c r="B23" s="952"/>
      <c r="C23" s="953" t="s">
        <v>58</v>
      </c>
      <c r="D23" s="953"/>
      <c r="E23" s="953"/>
      <c r="F23" s="953"/>
      <c r="G23" s="953"/>
      <c r="H23" s="953"/>
      <c r="I23" s="953"/>
      <c r="J23" s="953"/>
      <c r="K23" s="954"/>
      <c r="L23" s="954"/>
      <c r="M23" s="955" t="s">
        <v>15</v>
      </c>
      <c r="N23" s="904"/>
      <c r="O23" s="905"/>
      <c r="P23" s="908"/>
      <c r="Q23" s="908"/>
      <c r="R23" s="908"/>
      <c r="S23" s="908"/>
      <c r="T23" s="908"/>
      <c r="U23" s="908"/>
    </row>
    <row r="24" spans="1:21" ht="15.6">
      <c r="A24" s="904"/>
      <c r="B24" s="956"/>
      <c r="C24" s="957"/>
      <c r="D24" s="957"/>
      <c r="E24" s="957"/>
      <c r="F24" s="957"/>
      <c r="G24" s="957"/>
      <c r="H24" s="957"/>
      <c r="I24" s="957"/>
      <c r="J24" s="957"/>
      <c r="K24" s="13"/>
      <c r="L24" s="13"/>
      <c r="M24" s="14"/>
      <c r="N24" s="904"/>
      <c r="O24" s="905"/>
      <c r="P24" s="908"/>
      <c r="Q24" s="908"/>
      <c r="R24" s="908"/>
      <c r="S24" s="908"/>
      <c r="T24" s="908"/>
      <c r="U24" s="908"/>
    </row>
    <row r="25" spans="1:21" ht="15.6">
      <c r="A25" s="904"/>
      <c r="B25" s="958"/>
      <c r="C25" s="922"/>
      <c r="D25" s="922"/>
      <c r="E25" s="922"/>
      <c r="F25" s="922"/>
      <c r="G25" s="922"/>
      <c r="H25" s="922"/>
      <c r="I25" s="922"/>
      <c r="J25" s="922"/>
      <c r="K25" s="15"/>
      <c r="L25" s="15"/>
      <c r="M25" s="16"/>
      <c r="N25" s="904"/>
      <c r="O25" s="905"/>
      <c r="P25" s="908"/>
      <c r="Q25" s="908"/>
      <c r="R25" s="908"/>
      <c r="S25" s="908"/>
      <c r="T25" s="908"/>
      <c r="U25" s="908"/>
    </row>
    <row r="26" spans="1:21" ht="15.6">
      <c r="A26" s="904"/>
      <c r="B26" s="958"/>
      <c r="C26" s="922" t="str">
        <f>"Progress Claim No. "&amp;'Internal Payment '!F4</f>
        <v>Progress Claim No. 1</v>
      </c>
      <c r="D26" s="922"/>
      <c r="E26" s="922"/>
      <c r="F26" s="922"/>
      <c r="G26" s="922"/>
      <c r="H26" s="922"/>
      <c r="I26" s="922"/>
      <c r="J26" s="922"/>
      <c r="K26" s="17">
        <f>'Internal Payment '!G20</f>
        <v>0</v>
      </c>
      <c r="L26" s="17"/>
      <c r="M26" s="16"/>
      <c r="N26" s="904"/>
      <c r="O26" s="905"/>
      <c r="P26" s="908"/>
      <c r="Q26" s="908"/>
      <c r="R26" s="908"/>
      <c r="S26" s="908"/>
      <c r="T26" s="908"/>
      <c r="U26" s="908"/>
    </row>
    <row r="27" spans="1:21" ht="15.6">
      <c r="A27" s="904"/>
      <c r="B27" s="958"/>
      <c r="C27" s="922" t="s">
        <v>433</v>
      </c>
      <c r="D27" s="922"/>
      <c r="E27" s="922"/>
      <c r="F27" s="922"/>
      <c r="G27" s="922"/>
      <c r="H27" s="922"/>
      <c r="I27" s="922"/>
      <c r="J27" s="922"/>
      <c r="K27" s="17">
        <f>'Internal Payment '!G22</f>
        <v>0</v>
      </c>
      <c r="L27" s="17"/>
      <c r="M27" s="16">
        <f>K26-K27</f>
        <v>0</v>
      </c>
      <c r="N27" s="904"/>
      <c r="O27" s="905"/>
      <c r="P27" s="908"/>
      <c r="Q27" s="908"/>
      <c r="R27" s="908"/>
      <c r="S27" s="908"/>
      <c r="T27" s="908"/>
      <c r="U27" s="908"/>
    </row>
    <row r="28" spans="1:21" ht="15.6">
      <c r="A28" s="904"/>
      <c r="B28" s="958"/>
      <c r="C28" s="922" t="s">
        <v>406</v>
      </c>
      <c r="D28" s="922"/>
      <c r="E28" s="922"/>
      <c r="F28" s="922"/>
      <c r="G28" s="922"/>
      <c r="H28" s="922"/>
      <c r="I28" s="922"/>
      <c r="J28" s="922"/>
      <c r="K28" s="15"/>
      <c r="L28" s="15"/>
      <c r="M28" s="16"/>
      <c r="N28" s="904"/>
      <c r="O28" s="905"/>
      <c r="P28" s="908"/>
      <c r="Q28" s="908"/>
      <c r="R28" s="908"/>
      <c r="S28" s="908"/>
      <c r="T28" s="908"/>
      <c r="U28" s="908"/>
    </row>
    <row r="29" spans="1:21" ht="15.6">
      <c r="A29" s="904"/>
      <c r="B29" s="958"/>
      <c r="C29" s="922" t="s">
        <v>434</v>
      </c>
      <c r="D29" s="922"/>
      <c r="E29" s="922"/>
      <c r="F29" s="922"/>
      <c r="G29" s="922"/>
      <c r="H29" s="922"/>
      <c r="I29" s="922"/>
      <c r="J29" s="922"/>
      <c r="K29" s="15"/>
      <c r="L29" s="15"/>
      <c r="M29" s="16">
        <f>-SUMRY!M25</f>
        <v>0</v>
      </c>
      <c r="N29" s="904"/>
      <c r="O29" s="905"/>
      <c r="P29" s="908"/>
      <c r="Q29" s="908"/>
      <c r="R29" s="908"/>
      <c r="S29" s="908"/>
      <c r="T29" s="908"/>
      <c r="U29" s="908"/>
    </row>
    <row r="30" spans="1:21" ht="15.6">
      <c r="A30" s="904"/>
      <c r="B30" s="958"/>
      <c r="C30" s="922"/>
      <c r="D30" s="922"/>
      <c r="E30" s="922"/>
      <c r="F30" s="922"/>
      <c r="G30" s="922"/>
      <c r="H30" s="922"/>
      <c r="I30" s="922"/>
      <c r="J30" s="922"/>
      <c r="K30" s="15"/>
      <c r="L30" s="15"/>
      <c r="M30" s="16"/>
      <c r="N30" s="904"/>
      <c r="O30" s="905"/>
      <c r="P30" s="908"/>
      <c r="Q30" s="908"/>
      <c r="R30" s="908"/>
      <c r="S30" s="908"/>
      <c r="T30" s="908"/>
      <c r="U30" s="908"/>
    </row>
    <row r="31" spans="1:21" ht="15.6">
      <c r="A31" s="904"/>
      <c r="B31" s="958"/>
      <c r="C31" s="922"/>
      <c r="D31" s="922"/>
      <c r="E31" s="922"/>
      <c r="F31" s="922"/>
      <c r="G31" s="922"/>
      <c r="H31" s="922"/>
      <c r="I31" s="922"/>
      <c r="J31" s="922"/>
      <c r="K31" s="15"/>
      <c r="L31" s="15"/>
      <c r="M31" s="16"/>
      <c r="N31" s="904"/>
      <c r="O31" s="905"/>
      <c r="P31" s="908"/>
      <c r="Q31" s="908"/>
      <c r="R31" s="908"/>
      <c r="S31" s="908"/>
      <c r="T31" s="908"/>
      <c r="U31" s="908"/>
    </row>
    <row r="32" spans="1:21" ht="15.6">
      <c r="A32" s="904"/>
      <c r="B32" s="958"/>
      <c r="C32" s="922"/>
      <c r="D32" s="922"/>
      <c r="E32" s="922"/>
      <c r="F32" s="922"/>
      <c r="G32" s="922"/>
      <c r="H32" s="922"/>
      <c r="I32" s="922"/>
      <c r="J32" s="922"/>
      <c r="K32" s="15"/>
      <c r="L32" s="15"/>
      <c r="M32" s="16"/>
      <c r="N32" s="904"/>
      <c r="O32" s="905"/>
      <c r="P32" s="908"/>
      <c r="Q32" s="908"/>
      <c r="R32" s="908"/>
      <c r="S32" s="908"/>
      <c r="T32" s="908"/>
      <c r="U32" s="908"/>
    </row>
    <row r="33" spans="1:21" ht="15.6">
      <c r="A33" s="904"/>
      <c r="B33" s="958"/>
      <c r="C33" s="922"/>
      <c r="D33" s="922"/>
      <c r="E33" s="922"/>
      <c r="F33" s="922"/>
      <c r="G33" s="922"/>
      <c r="H33" s="922"/>
      <c r="I33" s="922"/>
      <c r="J33" s="922"/>
      <c r="K33" s="15"/>
      <c r="L33" s="15"/>
      <c r="M33" s="16"/>
      <c r="N33" s="904"/>
      <c r="O33" s="905"/>
      <c r="P33" s="908"/>
      <c r="Q33" s="908"/>
      <c r="R33" s="908"/>
      <c r="S33" s="908"/>
      <c r="T33" s="908"/>
      <c r="U33" s="908"/>
    </row>
    <row r="34" spans="1:21" ht="15.6">
      <c r="A34" s="904"/>
      <c r="B34" s="958"/>
      <c r="C34" s="922"/>
      <c r="D34" s="922"/>
      <c r="E34" s="922"/>
      <c r="F34" s="922"/>
      <c r="G34" s="922"/>
      <c r="H34" s="922"/>
      <c r="I34" s="922"/>
      <c r="J34" s="922"/>
      <c r="K34" s="15"/>
      <c r="L34" s="15"/>
      <c r="M34" s="16"/>
      <c r="N34" s="904"/>
      <c r="O34" s="905"/>
      <c r="P34" s="908"/>
      <c r="Q34" s="908"/>
      <c r="R34" s="908"/>
      <c r="S34" s="908"/>
      <c r="T34" s="908"/>
      <c r="U34" s="908"/>
    </row>
    <row r="35" spans="1:21" ht="15.6">
      <c r="A35" s="904"/>
      <c r="B35" s="958"/>
      <c r="C35" s="922"/>
      <c r="D35" s="922"/>
      <c r="E35" s="922"/>
      <c r="F35" s="922"/>
      <c r="G35" s="922"/>
      <c r="H35" s="922"/>
      <c r="I35" s="922"/>
      <c r="J35" s="922"/>
      <c r="K35" s="15"/>
      <c r="L35" s="15"/>
      <c r="M35" s="16"/>
      <c r="N35" s="904"/>
      <c r="O35" s="905"/>
      <c r="P35" s="908"/>
      <c r="Q35" s="908"/>
      <c r="R35" s="908"/>
      <c r="S35" s="908"/>
      <c r="T35" s="908"/>
      <c r="U35" s="908"/>
    </row>
    <row r="36" spans="1:21" ht="15.6">
      <c r="A36" s="904"/>
      <c r="B36" s="958"/>
      <c r="C36" s="922" t="s">
        <v>406</v>
      </c>
      <c r="D36" s="922"/>
      <c r="E36" s="922"/>
      <c r="F36" s="922"/>
      <c r="G36" s="922"/>
      <c r="H36" s="922"/>
      <c r="I36" s="922"/>
      <c r="J36" s="922"/>
      <c r="K36" s="15"/>
      <c r="L36" s="15"/>
      <c r="M36" s="16"/>
      <c r="N36" s="904"/>
      <c r="O36" s="905"/>
      <c r="P36" s="908"/>
      <c r="Q36" s="908"/>
      <c r="R36" s="908"/>
      <c r="S36" s="908"/>
      <c r="T36" s="908"/>
      <c r="U36" s="908"/>
    </row>
    <row r="37" spans="1:21" ht="15.6">
      <c r="A37" s="904"/>
      <c r="B37" s="958"/>
      <c r="C37" s="922"/>
      <c r="D37" s="922"/>
      <c r="E37" s="922"/>
      <c r="F37" s="922"/>
      <c r="G37" s="922"/>
      <c r="H37" s="922"/>
      <c r="I37" s="922"/>
      <c r="J37" s="922"/>
      <c r="K37" s="15"/>
      <c r="L37" s="15"/>
      <c r="M37" s="16"/>
      <c r="N37" s="904"/>
      <c r="O37" s="905"/>
      <c r="P37" s="908"/>
      <c r="Q37" s="908"/>
      <c r="R37" s="908"/>
      <c r="S37" s="908"/>
      <c r="T37" s="908"/>
      <c r="U37" s="908"/>
    </row>
    <row r="38" spans="1:21" ht="15.6">
      <c r="A38" s="904"/>
      <c r="B38" s="958"/>
      <c r="C38" s="922"/>
      <c r="D38" s="922"/>
      <c r="E38" s="922"/>
      <c r="F38" s="922"/>
      <c r="G38" s="922"/>
      <c r="H38" s="922"/>
      <c r="I38" s="922"/>
      <c r="J38" s="922"/>
      <c r="K38" s="15"/>
      <c r="L38" s="15"/>
      <c r="M38" s="16"/>
      <c r="N38" s="904"/>
      <c r="O38" s="905"/>
      <c r="P38" s="908"/>
      <c r="Q38" s="908"/>
      <c r="R38" s="908"/>
      <c r="S38" s="908"/>
      <c r="T38" s="908"/>
      <c r="U38" s="908"/>
    </row>
    <row r="39" spans="1:21" ht="15.6">
      <c r="A39" s="904"/>
      <c r="B39" s="959"/>
      <c r="C39" s="960"/>
      <c r="D39" s="960"/>
      <c r="E39" s="960"/>
      <c r="F39" s="960"/>
      <c r="G39" s="960"/>
      <c r="H39" s="960"/>
      <c r="I39" s="960"/>
      <c r="J39" s="960"/>
      <c r="K39" s="1"/>
      <c r="L39" s="1"/>
      <c r="M39" s="3"/>
      <c r="N39" s="904"/>
      <c r="O39" s="905"/>
      <c r="P39" s="908"/>
      <c r="Q39" s="908"/>
      <c r="R39" s="908"/>
      <c r="S39" s="908"/>
      <c r="T39" s="908"/>
      <c r="U39" s="908"/>
    </row>
    <row r="40" spans="1:21" ht="15.6">
      <c r="A40" s="904"/>
      <c r="B40" s="961"/>
      <c r="C40" s="961"/>
      <c r="D40" s="961"/>
      <c r="E40" s="961"/>
      <c r="F40" s="961"/>
      <c r="G40" s="961"/>
      <c r="H40" s="961"/>
      <c r="I40" s="961"/>
      <c r="J40" s="961"/>
      <c r="K40" s="962" t="s">
        <v>420</v>
      </c>
      <c r="L40" s="962"/>
      <c r="M40" s="4">
        <f>SUM(M24:M39)</f>
        <v>0</v>
      </c>
      <c r="N40" s="904"/>
      <c r="O40" s="905"/>
      <c r="P40" s="908"/>
      <c r="Q40" s="908"/>
      <c r="R40" s="908"/>
      <c r="S40" s="908"/>
      <c r="T40" s="908"/>
      <c r="U40" s="908"/>
    </row>
    <row r="41" spans="1:21" ht="15.6">
      <c r="A41" s="904"/>
      <c r="B41" s="963" t="str">
        <f>IF(M40&gt;=0,"", "Credit Note.")</f>
        <v/>
      </c>
      <c r="C41" s="964"/>
      <c r="D41" s="964"/>
      <c r="E41" s="964"/>
      <c r="F41" s="964"/>
      <c r="G41" s="961"/>
      <c r="H41" s="961"/>
      <c r="I41" s="961"/>
      <c r="J41" s="961"/>
      <c r="K41" s="965" t="s">
        <v>406</v>
      </c>
      <c r="L41" s="965"/>
      <c r="M41" s="5"/>
      <c r="N41" s="904"/>
      <c r="O41" s="905"/>
      <c r="P41" s="908"/>
      <c r="Q41" s="908"/>
      <c r="R41" s="908"/>
      <c r="S41" s="908"/>
      <c r="T41" s="908"/>
      <c r="U41" s="908"/>
    </row>
    <row r="42" spans="1:21" ht="15.6">
      <c r="A42" s="904"/>
      <c r="B42" s="964"/>
      <c r="C42" s="964"/>
      <c r="D42" s="964"/>
      <c r="E42" s="964"/>
      <c r="F42" s="964"/>
      <c r="G42" s="966"/>
      <c r="H42" s="966"/>
      <c r="I42" s="967" t="s">
        <v>421</v>
      </c>
      <c r="J42" s="962"/>
      <c r="K42" s="2">
        <v>0.15</v>
      </c>
      <c r="L42" s="2"/>
      <c r="M42" s="4">
        <f>IF(AND(K42&lt;&gt;"",$M$40&lt;&gt;""),ROUND(K42*$M$40,2),"")</f>
        <v>0</v>
      </c>
      <c r="N42" s="904"/>
      <c r="O42" s="905"/>
      <c r="P42" s="908"/>
      <c r="Q42" s="908"/>
      <c r="R42" s="908"/>
      <c r="S42" s="908"/>
      <c r="T42" s="908"/>
      <c r="U42" s="908"/>
    </row>
    <row r="43" spans="1:21" ht="15.6">
      <c r="A43" s="904"/>
      <c r="B43" s="964"/>
      <c r="C43" s="964"/>
      <c r="D43" s="964"/>
      <c r="E43" s="964"/>
      <c r="F43" s="964"/>
      <c r="G43" s="966"/>
      <c r="H43" s="966"/>
      <c r="I43" s="961"/>
      <c r="J43" s="961"/>
      <c r="K43" s="968"/>
      <c r="L43" s="968"/>
      <c r="M43" s="4" t="str">
        <f>IF(K43&lt;&gt;"",ROUND(K43*$M$40,2),"")</f>
        <v/>
      </c>
      <c r="N43" s="904"/>
      <c r="O43" s="905"/>
      <c r="P43" s="908"/>
      <c r="Q43" s="908"/>
      <c r="R43" s="908"/>
      <c r="S43" s="908"/>
      <c r="T43" s="908"/>
      <c r="U43" s="908"/>
    </row>
    <row r="44" spans="1:21" ht="15.6">
      <c r="A44" s="904"/>
      <c r="B44" s="964"/>
      <c r="C44" s="964"/>
      <c r="D44" s="964"/>
      <c r="E44" s="964"/>
      <c r="F44" s="964"/>
      <c r="G44" s="969"/>
      <c r="H44" s="969"/>
      <c r="I44" s="961"/>
      <c r="J44" s="961"/>
      <c r="K44" s="970" t="s">
        <v>422</v>
      </c>
      <c r="L44" s="970"/>
      <c r="M44" s="6">
        <f>IF(M40&lt;&gt;"",SUM(M40:M43),"")</f>
        <v>0</v>
      </c>
      <c r="N44" s="904"/>
      <c r="O44" s="905"/>
      <c r="P44" s="908"/>
      <c r="Q44" s="908"/>
      <c r="R44" s="908"/>
      <c r="S44" s="908"/>
      <c r="T44" s="908"/>
      <c r="U44" s="908"/>
    </row>
    <row r="45" spans="1:21">
      <c r="A45" s="904"/>
      <c r="B45" s="904"/>
      <c r="C45" s="904"/>
      <c r="D45" s="904"/>
      <c r="E45" s="904"/>
      <c r="F45" s="904"/>
      <c r="G45" s="904"/>
      <c r="H45" s="904"/>
      <c r="I45" s="904"/>
      <c r="J45" s="904"/>
      <c r="K45" s="904"/>
      <c r="L45" s="904"/>
      <c r="M45" s="904"/>
      <c r="N45" s="904"/>
      <c r="O45" s="905"/>
      <c r="P45" s="908"/>
      <c r="Q45" s="908"/>
      <c r="R45" s="908"/>
      <c r="S45" s="908"/>
      <c r="T45" s="908"/>
      <c r="U45" s="908"/>
    </row>
    <row r="46" spans="1:21" ht="13.8" thickBot="1">
      <c r="A46" s="904"/>
      <c r="B46" s="904"/>
      <c r="C46" s="904"/>
      <c r="D46" s="904"/>
      <c r="E46" s="904"/>
      <c r="F46" s="904"/>
      <c r="G46" s="904"/>
      <c r="H46" s="904"/>
      <c r="I46" s="904"/>
      <c r="J46" s="904"/>
      <c r="K46" s="904"/>
      <c r="L46" s="904"/>
      <c r="M46" s="904"/>
      <c r="N46" s="904"/>
      <c r="O46" s="905"/>
      <c r="P46" s="908"/>
      <c r="Q46" s="908"/>
      <c r="R46" s="908"/>
      <c r="S46" s="908"/>
      <c r="T46" s="908"/>
      <c r="U46" s="908"/>
    </row>
    <row r="47" spans="1:21" ht="13.8" thickTop="1">
      <c r="A47" s="904"/>
      <c r="B47" s="971"/>
      <c r="C47" s="971"/>
      <c r="D47" s="971"/>
      <c r="E47" s="971"/>
      <c r="F47" s="971"/>
      <c r="G47" s="971"/>
      <c r="H47" s="971"/>
      <c r="I47" s="971"/>
      <c r="J47" s="971"/>
      <c r="K47" s="971"/>
      <c r="L47" s="971"/>
      <c r="M47" s="971"/>
      <c r="N47" s="904"/>
      <c r="O47" s="905"/>
      <c r="P47" s="908"/>
      <c r="Q47" s="908"/>
      <c r="R47" s="908"/>
      <c r="S47" s="908"/>
      <c r="T47" s="908"/>
      <c r="U47" s="908"/>
    </row>
    <row r="48" spans="1:21">
      <c r="A48" s="904"/>
      <c r="B48" s="904"/>
      <c r="C48" s="972" t="s">
        <v>423</v>
      </c>
      <c r="D48" s="973"/>
      <c r="E48" s="973"/>
      <c r="F48" s="973"/>
      <c r="G48" s="973"/>
      <c r="H48" s="973"/>
      <c r="I48" s="973"/>
      <c r="J48" s="973"/>
      <c r="K48" s="973"/>
      <c r="L48" s="974"/>
      <c r="M48" s="904"/>
      <c r="N48" s="904"/>
      <c r="O48" s="905"/>
      <c r="P48" s="908"/>
      <c r="Q48" s="908"/>
      <c r="R48" s="908"/>
      <c r="S48" s="908"/>
      <c r="T48" s="908"/>
      <c r="U48" s="908"/>
    </row>
    <row r="49" spans="1:21">
      <c r="A49" s="904"/>
      <c r="B49" s="904"/>
      <c r="C49" s="973"/>
      <c r="D49" s="973"/>
      <c r="E49" s="973"/>
      <c r="F49" s="973"/>
      <c r="G49" s="973"/>
      <c r="H49" s="973"/>
      <c r="I49" s="973"/>
      <c r="J49" s="973"/>
      <c r="K49" s="973"/>
      <c r="L49" s="974"/>
      <c r="M49" s="904"/>
      <c r="N49" s="904"/>
      <c r="O49" s="905"/>
      <c r="P49" s="908"/>
      <c r="Q49" s="908"/>
      <c r="R49" s="908"/>
      <c r="S49" s="908"/>
      <c r="T49" s="908"/>
      <c r="U49" s="908"/>
    </row>
    <row r="50" spans="1:21">
      <c r="A50" s="904"/>
      <c r="B50" s="904"/>
      <c r="C50" s="973"/>
      <c r="D50" s="973"/>
      <c r="E50" s="973"/>
      <c r="F50" s="973"/>
      <c r="G50" s="973"/>
      <c r="H50" s="973"/>
      <c r="I50" s="973"/>
      <c r="J50" s="973"/>
      <c r="K50" s="973"/>
      <c r="L50" s="974"/>
      <c r="M50" s="904"/>
      <c r="N50" s="904"/>
      <c r="O50" s="905"/>
      <c r="P50" s="908"/>
      <c r="Q50" s="908"/>
      <c r="R50" s="908"/>
      <c r="S50" s="908"/>
      <c r="T50" s="908"/>
      <c r="U50" s="908"/>
    </row>
    <row r="51" spans="1:21" hidden="1">
      <c r="A51" s="975"/>
      <c r="B51" s="975"/>
      <c r="C51" s="975"/>
      <c r="D51" s="975"/>
      <c r="E51" s="975"/>
      <c r="F51" s="975"/>
      <c r="G51" s="975"/>
      <c r="H51" s="975"/>
      <c r="I51" s="975"/>
      <c r="J51" s="975"/>
      <c r="K51" s="975"/>
      <c r="L51" s="975"/>
      <c r="M51" s="975"/>
      <c r="N51" s="975"/>
      <c r="P51" s="908"/>
      <c r="Q51" s="908"/>
      <c r="R51" s="908"/>
      <c r="S51" s="908"/>
      <c r="T51" s="908"/>
      <c r="U51" s="908"/>
    </row>
  </sheetData>
  <mergeCells count="32">
    <mergeCell ref="B41:F44"/>
    <mergeCell ref="C48:K50"/>
    <mergeCell ref="D17:M17"/>
    <mergeCell ref="C34:J34"/>
    <mergeCell ref="C35:J35"/>
    <mergeCell ref="C36:J36"/>
    <mergeCell ref="C37:J37"/>
    <mergeCell ref="C38:J38"/>
    <mergeCell ref="C39:J39"/>
    <mergeCell ref="C28:J28"/>
    <mergeCell ref="C29:J29"/>
    <mergeCell ref="C30:J30"/>
    <mergeCell ref="C31:J31"/>
    <mergeCell ref="C32:J32"/>
    <mergeCell ref="C33:J33"/>
    <mergeCell ref="B19:J19"/>
    <mergeCell ref="C23:J23"/>
    <mergeCell ref="C24:J24"/>
    <mergeCell ref="C25:J25"/>
    <mergeCell ref="C26:J26"/>
    <mergeCell ref="C27:J27"/>
    <mergeCell ref="B11:I11"/>
    <mergeCell ref="B12:I12"/>
    <mergeCell ref="B13:I13"/>
    <mergeCell ref="B16:C16"/>
    <mergeCell ref="D16:M16"/>
    <mergeCell ref="B10:I10"/>
    <mergeCell ref="B2:I4"/>
    <mergeCell ref="I5:M5"/>
    <mergeCell ref="B7:I7"/>
    <mergeCell ref="B8:I8"/>
    <mergeCell ref="B9:I9"/>
  </mergeCells>
  <dataValidations count="8">
    <dataValidation errorStyle="warning" allowBlank="1" showInputMessage="1" showErrorMessage="1" errorTitle="Quantity" error="You must enter a number in this cell." promptTitle="Pro Forma" prompt="This area is used for Pro Forma Text._x000a__x000a_If you want more lines in the table, use Insert Line from the ribbon." sqref="B39" xr:uid="{00000000-0002-0000-0700-000000000000}"/>
    <dataValidation type="custom" allowBlank="1" showInputMessage="1" showErrorMessage="1" error="Data entry in this cell is denied." sqref="M40:M44 K18:L20 B41:F44 K2:L2" xr:uid="{00000000-0002-0000-0700-000001000000}">
      <formula1>"&lt;&gt;ActiveCell"</formula1>
    </dataValidation>
    <dataValidation allowBlank="1" showInputMessage="1" showErrorMessage="1" promptTitle="Company Information" prompt="To enter multiple lines in a single cell, use Alt + Enter._x000a__x000a_You can also customize this template with your company information and then save it as a new template for future use.  See the help topics for more information on how to create custom templates." sqref="B2:I4" xr:uid="{00000000-0002-0000-0700-000002000000}"/>
    <dataValidation allowBlank="1" showInputMessage="1" showErrorMessage="1" promptTitle="Tax Rate" prompt="To add a tax here, or to change the percentage associated with this tax, enter the tax rate in the cell to the left.  The tax rate will then be automatically calculated." sqref="K42:L43" xr:uid="{00000000-0002-0000-0700-000003000000}"/>
    <dataValidation type="decimal" allowBlank="1" showErrorMessage="1" errorTitle="Unit Price" error="You must enter a number into this cell." promptTitle="Unit Price" sqref="K24:L39" xr:uid="{00000000-0002-0000-0700-000004000000}">
      <formula1>0</formula1>
      <formula2>1000000000</formula2>
    </dataValidation>
    <dataValidation errorStyle="warning" allowBlank="1" showInputMessage="1" errorTitle="Farewell Statement" promptTitle="Farewell Statement" prompt="Enter any parting message for your customers (company slogan, mission statement, etc.) If you do not want a parting message, use Edit|Clear|Contents to remove the existing text." sqref="C48:L50" xr:uid="{00000000-0002-0000-0700-000005000000}"/>
    <dataValidation type="whole" errorStyle="warning" allowBlank="1" showErrorMessage="1" errorTitle="Quantity" error="You must enter a number in this cell." promptTitle="Quantity" sqref="B24:B38" xr:uid="{00000000-0002-0000-0700-000006000000}">
      <formula1>0</formula1>
      <formula2>1000000000</formula2>
    </dataValidation>
    <dataValidation allowBlank="1" showInputMessage="1" showErrorMessage="1" sqref="M2" xr:uid="{00000000-0002-0000-0700-000007000000}"/>
  </dataValidations>
  <printOptions horizontalCentered="1" verticalCentered="1"/>
  <pageMargins left="0.15748031496062992" right="0.15748031496062992" top="0.98425196850393704" bottom="0.98425196850393704" header="0.51181102362204722" footer="0.51181102362204722"/>
  <pageSetup paperSize="9" scale="78" orientation="portrait" r:id="rId1"/>
  <headerFooter alignWithMargins="0">
    <oddHeader>&amp;C&amp;G</oddHeader>
    <oddFooter>&amp;C&amp;G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/>
  <dimension ref="A1:G42"/>
  <sheetViews>
    <sheetView topLeftCell="A37" zoomScale="75" workbookViewId="0">
      <selection activeCell="E32" sqref="E32"/>
    </sheetView>
  </sheetViews>
  <sheetFormatPr defaultColWidth="8.81640625" defaultRowHeight="15"/>
  <cols>
    <col min="1" max="3" width="5.26953125" style="648" customWidth="1"/>
    <col min="4" max="4" width="26.26953125" style="648" customWidth="1"/>
    <col min="5" max="7" width="6.7265625" style="648" customWidth="1"/>
    <col min="8" max="8" width="2.1796875" style="648" customWidth="1"/>
    <col min="9" max="9" width="6.7265625" style="648" customWidth="1"/>
    <col min="10" max="16384" width="8.81640625" style="648"/>
  </cols>
  <sheetData>
    <row r="1" spans="1:7">
      <c r="A1" s="480" t="s">
        <v>156</v>
      </c>
      <c r="E1" s="480"/>
    </row>
    <row r="2" spans="1:7">
      <c r="E2" s="480" t="s">
        <v>157</v>
      </c>
      <c r="F2" s="480" t="s">
        <v>158</v>
      </c>
      <c r="G2" s="480" t="s">
        <v>159</v>
      </c>
    </row>
    <row r="3" spans="1:7">
      <c r="A3" s="480" t="s">
        <v>160</v>
      </c>
      <c r="E3" s="480" t="s">
        <v>161</v>
      </c>
      <c r="F3" s="480" t="s">
        <v>162</v>
      </c>
      <c r="G3" s="480" t="s">
        <v>162</v>
      </c>
    </row>
    <row r="5" spans="1:7">
      <c r="A5" s="480"/>
      <c r="B5" s="480"/>
      <c r="C5" s="480"/>
      <c r="D5" s="480"/>
      <c r="E5" s="480"/>
      <c r="F5" s="480"/>
      <c r="G5" s="480"/>
    </row>
    <row r="6" spans="1:7">
      <c r="A6" s="480"/>
      <c r="B6" s="480"/>
      <c r="C6" s="480"/>
      <c r="D6" s="480"/>
      <c r="E6" s="480"/>
      <c r="F6" s="480"/>
      <c r="G6" s="480"/>
    </row>
    <row r="7" spans="1:7">
      <c r="A7" s="480"/>
      <c r="B7" s="480"/>
      <c r="C7" s="480"/>
      <c r="D7" s="480"/>
      <c r="E7" s="480"/>
      <c r="F7" s="480"/>
      <c r="G7" s="480"/>
    </row>
    <row r="8" spans="1:7">
      <c r="A8" s="480"/>
      <c r="B8" s="480"/>
      <c r="C8" s="480"/>
      <c r="D8" s="480"/>
      <c r="E8" s="480"/>
      <c r="F8" s="480"/>
      <c r="G8" s="480"/>
    </row>
    <row r="9" spans="1:7">
      <c r="A9" s="480"/>
      <c r="B9" s="480"/>
      <c r="C9" s="480"/>
      <c r="D9" s="480"/>
      <c r="E9" s="480"/>
      <c r="F9" s="480"/>
      <c r="G9" s="480"/>
    </row>
    <row r="10" spans="1:7">
      <c r="A10" s="480"/>
      <c r="B10" s="480"/>
      <c r="C10" s="480"/>
      <c r="D10" s="480"/>
      <c r="E10" s="480"/>
      <c r="F10" s="480"/>
      <c r="G10" s="480"/>
    </row>
    <row r="11" spans="1:7">
      <c r="A11" s="480"/>
      <c r="B11" s="480"/>
      <c r="C11" s="480"/>
      <c r="D11" s="480"/>
      <c r="E11" s="480"/>
      <c r="F11" s="480"/>
      <c r="G11" s="480"/>
    </row>
    <row r="12" spans="1:7">
      <c r="A12" s="480"/>
      <c r="B12" s="480"/>
      <c r="C12" s="480"/>
      <c r="D12" s="480"/>
      <c r="E12" s="480" t="s">
        <v>157</v>
      </c>
      <c r="F12" s="480" t="s">
        <v>158</v>
      </c>
      <c r="G12" s="480" t="s">
        <v>159</v>
      </c>
    </row>
    <row r="13" spans="1:7">
      <c r="A13" s="480" t="s">
        <v>163</v>
      </c>
      <c r="B13" s="480"/>
      <c r="C13" s="480"/>
      <c r="D13" s="480"/>
      <c r="E13" s="480" t="s">
        <v>161</v>
      </c>
      <c r="F13" s="480" t="s">
        <v>162</v>
      </c>
      <c r="G13" s="480" t="s">
        <v>162</v>
      </c>
    </row>
    <row r="14" spans="1:7">
      <c r="A14" s="480"/>
      <c r="B14" s="480"/>
      <c r="C14" s="480"/>
      <c r="D14" s="480"/>
      <c r="E14" s="480"/>
      <c r="F14" s="480"/>
      <c r="G14" s="480"/>
    </row>
    <row r="15" spans="1:7">
      <c r="A15" s="480"/>
      <c r="B15" s="480"/>
      <c r="C15" s="480"/>
      <c r="D15" s="480"/>
      <c r="E15" s="480"/>
      <c r="F15" s="480"/>
      <c r="G15" s="480"/>
    </row>
    <row r="16" spans="1:7">
      <c r="A16" s="480"/>
      <c r="B16" s="480"/>
      <c r="C16" s="480"/>
      <c r="D16" s="480"/>
      <c r="E16" s="480"/>
      <c r="F16" s="480"/>
      <c r="G16" s="480"/>
    </row>
    <row r="17" spans="1:7">
      <c r="A17" s="480"/>
      <c r="B17" s="480"/>
      <c r="C17" s="480"/>
      <c r="D17" s="480"/>
      <c r="E17" s="480"/>
      <c r="F17" s="480"/>
      <c r="G17" s="480"/>
    </row>
    <row r="18" spans="1:7">
      <c r="A18" s="480"/>
      <c r="B18" s="480"/>
      <c r="C18" s="480"/>
      <c r="D18" s="480"/>
      <c r="E18" s="480"/>
      <c r="F18" s="480"/>
      <c r="G18" s="480"/>
    </row>
    <row r="19" spans="1:7">
      <c r="A19" s="480"/>
      <c r="B19" s="480"/>
      <c r="C19" s="480"/>
      <c r="D19" s="480"/>
      <c r="E19" s="480"/>
      <c r="F19" s="480"/>
      <c r="G19" s="480"/>
    </row>
    <row r="20" spans="1:7">
      <c r="A20" s="480"/>
      <c r="B20" s="480"/>
      <c r="C20" s="480"/>
      <c r="D20" s="480"/>
      <c r="E20" s="480"/>
      <c r="F20" s="480"/>
      <c r="G20" s="480"/>
    </row>
    <row r="21" spans="1:7">
      <c r="A21" s="480"/>
      <c r="B21" s="480"/>
      <c r="C21" s="480"/>
      <c r="D21" s="480"/>
      <c r="E21" s="480" t="s">
        <v>157</v>
      </c>
      <c r="F21" s="480" t="s">
        <v>158</v>
      </c>
      <c r="G21" s="480" t="s">
        <v>159</v>
      </c>
    </row>
    <row r="22" spans="1:7">
      <c r="A22" s="480" t="s">
        <v>164</v>
      </c>
      <c r="B22" s="480"/>
      <c r="C22" s="480"/>
      <c r="D22" s="480"/>
      <c r="E22" s="480" t="s">
        <v>161</v>
      </c>
      <c r="F22" s="480" t="s">
        <v>162</v>
      </c>
      <c r="G22" s="480" t="s">
        <v>162</v>
      </c>
    </row>
    <row r="23" spans="1:7">
      <c r="A23" s="480"/>
      <c r="B23" s="480"/>
      <c r="C23" s="480"/>
      <c r="D23" s="480"/>
    </row>
    <row r="24" spans="1:7">
      <c r="A24" s="480"/>
      <c r="B24" s="480"/>
      <c r="C24" s="480"/>
      <c r="D24" s="480"/>
      <c r="E24" s="480"/>
      <c r="F24" s="480"/>
      <c r="G24" s="480"/>
    </row>
    <row r="25" spans="1:7">
      <c r="A25" s="480"/>
      <c r="B25" s="480"/>
      <c r="C25" s="480"/>
      <c r="D25" s="480"/>
      <c r="E25" s="480"/>
      <c r="F25" s="480"/>
      <c r="G25" s="480"/>
    </row>
    <row r="26" spans="1:7">
      <c r="B26" s="480"/>
      <c r="F26" s="480"/>
      <c r="G26" s="480"/>
    </row>
    <row r="27" spans="1:7">
      <c r="A27" s="480"/>
      <c r="B27" s="480"/>
      <c r="C27" s="480"/>
      <c r="D27" s="480"/>
      <c r="E27" s="480" t="s">
        <v>157</v>
      </c>
      <c r="F27" s="480" t="s">
        <v>158</v>
      </c>
      <c r="G27" s="480" t="s">
        <v>159</v>
      </c>
    </row>
    <row r="28" spans="1:7">
      <c r="A28" s="480" t="s">
        <v>165</v>
      </c>
      <c r="B28" s="480"/>
      <c r="C28" s="480"/>
      <c r="D28" s="480"/>
      <c r="E28" s="480" t="s">
        <v>161</v>
      </c>
      <c r="F28" s="480" t="s">
        <v>162</v>
      </c>
      <c r="G28" s="480" t="s">
        <v>162</v>
      </c>
    </row>
    <row r="30" spans="1:7">
      <c r="A30" s="480"/>
      <c r="B30" s="480"/>
      <c r="C30" s="480"/>
      <c r="D30" s="480"/>
      <c r="E30" s="480"/>
      <c r="F30" s="480"/>
      <c r="G30" s="628"/>
    </row>
    <row r="31" spans="1:7">
      <c r="A31" s="480"/>
      <c r="B31" s="480"/>
      <c r="C31" s="480"/>
      <c r="D31" s="480"/>
      <c r="E31" s="480"/>
      <c r="F31" s="480"/>
      <c r="G31" s="628"/>
    </row>
    <row r="32" spans="1:7">
      <c r="A32" s="480"/>
      <c r="B32" s="480"/>
      <c r="C32" s="480"/>
      <c r="D32" s="480"/>
      <c r="E32" s="480"/>
      <c r="F32" s="480"/>
      <c r="G32" s="628"/>
    </row>
    <row r="33" spans="1:7">
      <c r="A33" s="480"/>
      <c r="B33" s="480"/>
      <c r="C33" s="480"/>
      <c r="D33" s="480"/>
      <c r="E33" s="480"/>
      <c r="F33" s="480"/>
      <c r="G33" s="480"/>
    </row>
    <row r="34" spans="1:7">
      <c r="A34" s="480"/>
      <c r="B34" s="480"/>
      <c r="C34" s="480"/>
      <c r="F34" s="480"/>
    </row>
    <row r="35" spans="1:7">
      <c r="A35" s="480"/>
      <c r="B35" s="480"/>
      <c r="C35" s="480"/>
      <c r="D35" s="480"/>
      <c r="E35" s="480" t="s">
        <v>157</v>
      </c>
      <c r="F35" s="480" t="s">
        <v>158</v>
      </c>
      <c r="G35" s="480" t="s">
        <v>159</v>
      </c>
    </row>
    <row r="36" spans="1:7">
      <c r="A36" s="480" t="s">
        <v>166</v>
      </c>
      <c r="B36" s="480"/>
      <c r="C36" s="480"/>
      <c r="D36" s="480"/>
      <c r="E36" s="480" t="s">
        <v>161</v>
      </c>
      <c r="F36" s="480" t="s">
        <v>162</v>
      </c>
      <c r="G36" s="480" t="s">
        <v>162</v>
      </c>
    </row>
    <row r="38" spans="1:7">
      <c r="A38" s="480"/>
      <c r="B38" s="480"/>
      <c r="C38" s="480"/>
      <c r="D38" s="480"/>
      <c r="E38" s="480"/>
      <c r="F38" s="480"/>
      <c r="G38" s="628"/>
    </row>
    <row r="39" spans="1:7">
      <c r="A39" s="480"/>
      <c r="B39" s="480"/>
      <c r="C39" s="480"/>
      <c r="D39" s="480"/>
      <c r="E39" s="480"/>
      <c r="F39" s="480"/>
      <c r="G39" s="480"/>
    </row>
    <row r="40" spans="1:7">
      <c r="A40" s="480"/>
      <c r="B40" s="480"/>
      <c r="C40" s="480"/>
      <c r="D40" s="480"/>
      <c r="E40" s="480"/>
      <c r="F40" s="480"/>
      <c r="G40" s="480"/>
    </row>
    <row r="41" spans="1:7">
      <c r="A41" s="480"/>
      <c r="B41" s="480"/>
      <c r="C41" s="480"/>
      <c r="D41" s="480"/>
      <c r="E41" s="480" t="s">
        <v>157</v>
      </c>
      <c r="F41" s="480" t="s">
        <v>158</v>
      </c>
      <c r="G41" s="480" t="s">
        <v>159</v>
      </c>
    </row>
    <row r="42" spans="1:7">
      <c r="A42" s="480" t="s">
        <v>167</v>
      </c>
      <c r="B42" s="480"/>
      <c r="C42" s="480"/>
      <c r="D42" s="480"/>
      <c r="E42" s="480" t="s">
        <v>161</v>
      </c>
      <c r="F42" s="480" t="s">
        <v>162</v>
      </c>
      <c r="G42" s="480" t="s">
        <v>162</v>
      </c>
    </row>
  </sheetData>
  <phoneticPr fontId="3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0">
    <pageSetUpPr fitToPage="1"/>
  </sheetPr>
  <dimension ref="A1:BP26"/>
  <sheetViews>
    <sheetView zoomScale="75" workbookViewId="0">
      <pane ySplit="7" topLeftCell="A8" activePane="bottomLeft" state="frozen"/>
      <selection pane="bottomLeft"/>
    </sheetView>
  </sheetViews>
  <sheetFormatPr defaultColWidth="9.7265625" defaultRowHeight="15.6"/>
  <cols>
    <col min="1" max="6" width="10.7265625" style="775" customWidth="1"/>
    <col min="7" max="7" width="5.81640625" style="775" bestFit="1" customWidth="1"/>
    <col min="8" max="8" width="10.7265625" style="775" bestFit="1" customWidth="1"/>
    <col min="9" max="9" width="10.7265625" style="775" customWidth="1"/>
    <col min="10" max="10" width="5.81640625" style="775" bestFit="1" customWidth="1"/>
    <col min="11" max="11" width="10.1796875" style="775" bestFit="1" customWidth="1"/>
    <col min="12" max="12" width="10.7265625" style="775" customWidth="1"/>
    <col min="13" max="13" width="5.81640625" style="775" bestFit="1" customWidth="1"/>
    <col min="14" max="14" width="1.7265625" style="775" customWidth="1"/>
    <col min="15" max="15" width="5.26953125" style="775" customWidth="1"/>
    <col min="16" max="16" width="4.81640625" style="775" customWidth="1"/>
    <col min="17" max="17" width="40.7265625" style="775" customWidth="1"/>
    <col min="18" max="22" width="5.7265625" style="775" customWidth="1"/>
    <col min="23" max="23" width="22.7265625" style="775" customWidth="1"/>
    <col min="24" max="24" width="5.7265625" style="775" customWidth="1"/>
    <col min="25" max="30" width="10.7265625" style="775" customWidth="1"/>
    <col min="31" max="31" width="6.7265625" style="1000" bestFit="1" customWidth="1"/>
    <col min="32" max="32" width="7.453125" style="1000" bestFit="1" customWidth="1"/>
    <col min="33" max="33" width="20.54296875" style="775" customWidth="1"/>
    <col min="34" max="37" width="10.7265625" style="775" customWidth="1"/>
    <col min="38" max="38" width="10.7265625" style="480" customWidth="1"/>
    <col min="39" max="40" width="12.7265625" style="775" bestFit="1" customWidth="1"/>
    <col min="41" max="55" width="10.7265625" style="775" customWidth="1"/>
    <col min="56" max="56" width="11.26953125" style="775" customWidth="1"/>
    <col min="57" max="68" width="10.7265625" style="775" customWidth="1"/>
    <col min="69" max="16384" width="9.7265625" style="775"/>
  </cols>
  <sheetData>
    <row r="1" spans="1:68">
      <c r="A1" s="976" t="str">
        <f>SUMRY!K$1</f>
        <v>QUOTE NO:</v>
      </c>
      <c r="B1" s="707"/>
      <c r="C1" s="707"/>
      <c r="D1" s="707"/>
      <c r="E1" s="707"/>
      <c r="F1" s="707"/>
      <c r="G1" s="707"/>
      <c r="H1" s="707"/>
      <c r="I1" s="707" t="s">
        <v>52</v>
      </c>
      <c r="J1" s="707"/>
      <c r="K1" s="707"/>
      <c r="L1" s="976" t="str">
        <f>SUMRY!I$1</f>
        <v>AMALGAMATED BUILDERS LTD</v>
      </c>
      <c r="M1" s="976"/>
      <c r="N1" s="707" t="s">
        <v>152</v>
      </c>
      <c r="O1" s="695"/>
      <c r="P1" s="695"/>
      <c r="Q1" s="695"/>
      <c r="R1" s="695"/>
      <c r="S1" s="670"/>
      <c r="T1" s="670"/>
      <c r="U1" s="670"/>
      <c r="V1" s="670"/>
      <c r="W1" s="670"/>
      <c r="X1" s="670"/>
      <c r="Y1" s="670"/>
      <c r="Z1" s="695"/>
      <c r="AA1" s="695"/>
      <c r="AB1" s="695"/>
      <c r="AC1" s="738"/>
      <c r="AD1" s="738"/>
      <c r="AE1" s="977"/>
      <c r="AF1" s="977"/>
      <c r="AG1" s="978" t="s">
        <v>126</v>
      </c>
      <c r="AH1" s="978"/>
      <c r="AI1" s="979"/>
      <c r="AJ1" s="979"/>
      <c r="AK1" s="979"/>
      <c r="AL1" s="979"/>
      <c r="AM1" s="738"/>
      <c r="AN1" s="738"/>
      <c r="AO1" s="738"/>
      <c r="AP1" s="976"/>
      <c r="AQ1" s="738"/>
      <c r="AR1" s="976"/>
      <c r="AS1" s="707"/>
      <c r="AT1" s="976"/>
      <c r="AU1" s="976"/>
      <c r="AV1" s="976"/>
      <c r="AW1" s="976"/>
      <c r="AX1" s="976"/>
      <c r="AY1" s="707"/>
      <c r="AZ1" s="707"/>
      <c r="BA1" s="707"/>
      <c r="BB1" s="707"/>
      <c r="BC1" s="707"/>
      <c r="BD1" s="707"/>
      <c r="BE1" s="707"/>
      <c r="BF1" s="707"/>
      <c r="BG1" s="707"/>
      <c r="BH1" s="707"/>
      <c r="BI1" s="707"/>
      <c r="BJ1" s="707"/>
      <c r="BK1" s="980" t="s">
        <v>149</v>
      </c>
      <c r="BL1" s="981"/>
      <c r="BM1" s="981"/>
      <c r="BN1" s="981"/>
      <c r="BO1" s="981"/>
      <c r="BP1" s="981"/>
    </row>
    <row r="2" spans="1:68">
      <c r="A2" s="662" t="s">
        <v>53</v>
      </c>
      <c r="B2" s="674"/>
      <c r="C2" s="674"/>
      <c r="D2" s="674"/>
      <c r="E2" s="674"/>
      <c r="F2" s="674"/>
      <c r="G2" s="674"/>
      <c r="H2" s="674"/>
      <c r="I2" s="674"/>
      <c r="J2" s="674"/>
      <c r="K2" s="674"/>
      <c r="L2" s="982">
        <v>2.5000000000000001E-2</v>
      </c>
      <c r="M2" s="982"/>
      <c r="N2" s="707" t="s">
        <v>152</v>
      </c>
      <c r="O2" s="983" t="str">
        <f>SUMRY!I1</f>
        <v>AMALGAMATED BUILDERS LTD</v>
      </c>
      <c r="P2" s="983"/>
      <c r="Q2" s="738"/>
      <c r="R2" s="738"/>
      <c r="S2" s="681"/>
      <c r="T2" s="681"/>
      <c r="U2" s="681"/>
      <c r="V2" s="682"/>
      <c r="W2" s="683"/>
      <c r="X2" s="682"/>
      <c r="Y2" s="683"/>
      <c r="Z2" s="984"/>
      <c r="AA2" s="678" t="str">
        <f>+SUMRY!K1</f>
        <v>QUOTE NO:</v>
      </c>
      <c r="AB2" s="984" t="str">
        <f>SUMRY!L1</f>
        <v>XXXX</v>
      </c>
      <c r="AC2" s="738"/>
      <c r="AD2" s="738"/>
      <c r="AE2" s="977"/>
      <c r="AF2" s="977"/>
      <c r="AG2" s="979"/>
      <c r="AH2" s="979"/>
      <c r="AI2" s="979"/>
      <c r="AJ2" s="979"/>
      <c r="AK2" s="979"/>
      <c r="AL2" s="979"/>
      <c r="AM2" s="738"/>
      <c r="AN2" s="738"/>
      <c r="AO2" s="738"/>
      <c r="AP2" s="707"/>
      <c r="AQ2" s="738"/>
      <c r="AR2" s="707"/>
      <c r="AS2" s="707"/>
      <c r="AT2" s="707"/>
      <c r="AU2" s="707"/>
      <c r="AV2" s="707"/>
      <c r="AW2" s="707"/>
      <c r="AX2" s="707"/>
      <c r="AY2" s="707"/>
      <c r="AZ2" s="707"/>
      <c r="BA2" s="707"/>
      <c r="BB2" s="707"/>
      <c r="BC2" s="707"/>
      <c r="BD2" s="707"/>
      <c r="BE2" s="707"/>
      <c r="BF2" s="707"/>
      <c r="BG2" s="707"/>
      <c r="BH2" s="707"/>
      <c r="BI2" s="707"/>
      <c r="BJ2" s="707"/>
      <c r="BK2" s="981"/>
      <c r="BL2" s="981"/>
      <c r="BM2" s="981"/>
      <c r="BN2" s="981"/>
      <c r="BO2" s="981"/>
      <c r="BP2" s="981"/>
    </row>
    <row r="3" spans="1:68">
      <c r="A3" s="674" t="s">
        <v>172</v>
      </c>
      <c r="B3" s="674"/>
      <c r="C3" s="674"/>
      <c r="D3" s="674"/>
      <c r="E3" s="674"/>
      <c r="F3" s="985">
        <v>1</v>
      </c>
      <c r="G3" s="674"/>
      <c r="H3" s="674"/>
      <c r="I3" s="674"/>
      <c r="J3" s="674"/>
      <c r="K3" s="674"/>
      <c r="L3" s="985">
        <v>1</v>
      </c>
      <c r="M3" s="674"/>
      <c r="N3" s="707" t="s">
        <v>152</v>
      </c>
      <c r="O3" s="983" t="str">
        <f>SUMRY!I2</f>
        <v>JOB NAME:</v>
      </c>
      <c r="P3" s="983"/>
      <c r="Q3" s="738" t="str">
        <f>SUMRY!J2</f>
        <v>Job Name</v>
      </c>
      <c r="R3" s="738"/>
      <c r="S3" s="681"/>
      <c r="T3" s="681"/>
      <c r="U3" s="681"/>
      <c r="V3" s="682"/>
      <c r="W3" s="683"/>
      <c r="X3" s="682"/>
      <c r="Y3" s="683"/>
      <c r="Z3" s="984"/>
      <c r="AA3" s="984"/>
      <c r="AB3" s="984"/>
      <c r="AC3" s="738"/>
      <c r="AD3" s="738"/>
      <c r="AE3" s="977"/>
      <c r="AF3" s="977"/>
      <c r="AG3" s="979"/>
      <c r="AH3" s="979"/>
      <c r="AI3" s="979"/>
      <c r="AJ3" s="979"/>
      <c r="AK3" s="979"/>
      <c r="AL3" s="979"/>
      <c r="AM3" s="738"/>
      <c r="AN3" s="738"/>
      <c r="AO3" s="738"/>
      <c r="AP3" s="707"/>
      <c r="AQ3" s="738"/>
      <c r="AR3" s="707"/>
      <c r="AS3" s="707"/>
      <c r="AT3" s="707"/>
      <c r="AU3" s="707"/>
      <c r="AV3" s="707"/>
      <c r="AW3" s="707"/>
      <c r="AX3" s="707"/>
      <c r="AY3" s="707"/>
      <c r="AZ3" s="707"/>
      <c r="BA3" s="707"/>
      <c r="BB3" s="707"/>
      <c r="BC3" s="707"/>
      <c r="BD3" s="707"/>
      <c r="BE3" s="707"/>
      <c r="BF3" s="707"/>
      <c r="BG3" s="707"/>
      <c r="BH3" s="707"/>
      <c r="BI3" s="707"/>
      <c r="BJ3" s="707"/>
      <c r="BK3" s="981"/>
      <c r="BL3" s="981"/>
      <c r="BM3" s="981"/>
      <c r="BN3" s="981"/>
      <c r="BO3" s="981"/>
      <c r="BP3" s="981"/>
    </row>
    <row r="4" spans="1:68">
      <c r="A4" s="687" t="s">
        <v>173</v>
      </c>
      <c r="B4" s="674"/>
      <c r="C4" s="674"/>
      <c r="D4" s="674"/>
      <c r="E4" s="674"/>
      <c r="F4" s="688">
        <f>SUMRY!F3</f>
        <v>0.1</v>
      </c>
      <c r="G4" s="689">
        <v>0.1</v>
      </c>
      <c r="H4" s="689"/>
      <c r="I4" s="687">
        <f>SUMRY!E3</f>
        <v>60</v>
      </c>
      <c r="J4" s="689">
        <v>0.1</v>
      </c>
      <c r="K4" s="689"/>
      <c r="L4" s="688">
        <f>SUMRY!F3</f>
        <v>0.1</v>
      </c>
      <c r="M4" s="689">
        <v>0.1</v>
      </c>
      <c r="N4" s="707" t="s">
        <v>152</v>
      </c>
      <c r="O4" s="983" t="s">
        <v>54</v>
      </c>
      <c r="P4" s="983"/>
      <c r="Q4" s="983">
        <f>SUMRY!J$1</f>
        <v>0</v>
      </c>
      <c r="R4" s="738"/>
      <c r="S4" s="681"/>
      <c r="T4" s="681"/>
      <c r="U4" s="681"/>
      <c r="V4" s="692"/>
      <c r="W4" s="683"/>
      <c r="X4" s="692"/>
      <c r="Y4" s="683"/>
      <c r="Z4" s="984"/>
      <c r="AA4" s="986" t="s">
        <v>4</v>
      </c>
      <c r="AB4" s="984" t="str">
        <f>SUMRY!L3</f>
        <v>00/00/0000</v>
      </c>
      <c r="AC4" s="738"/>
      <c r="AD4" s="738"/>
      <c r="AE4" s="977"/>
      <c r="AF4" s="977"/>
      <c r="AG4" s="979"/>
      <c r="AH4" s="979"/>
      <c r="AI4" s="979"/>
      <c r="AJ4" s="979"/>
      <c r="AK4" s="979"/>
      <c r="AL4" s="979"/>
      <c r="AM4" s="738"/>
      <c r="AN4" s="738"/>
      <c r="AO4" s="738"/>
      <c r="AP4" s="707"/>
      <c r="AQ4" s="738"/>
      <c r="AR4" s="707"/>
      <c r="AS4" s="707"/>
      <c r="AT4" s="707"/>
      <c r="AU4" s="707"/>
      <c r="AV4" s="707"/>
      <c r="AW4" s="707"/>
      <c r="AX4" s="707"/>
      <c r="AY4" s="707"/>
      <c r="AZ4" s="707"/>
      <c r="BA4" s="707"/>
      <c r="BB4" s="707"/>
      <c r="BC4" s="707"/>
      <c r="BD4" s="707"/>
      <c r="BE4" s="707"/>
      <c r="BF4" s="707"/>
      <c r="BG4" s="707"/>
      <c r="BH4" s="707"/>
      <c r="BI4" s="707"/>
      <c r="BJ4" s="707"/>
      <c r="BK4" s="710"/>
      <c r="BL4" s="710"/>
      <c r="BM4" s="710"/>
      <c r="BN4" s="710"/>
      <c r="BO4" s="710"/>
      <c r="BP4" s="710"/>
    </row>
    <row r="5" spans="1:68">
      <c r="A5" s="987" t="s">
        <v>92</v>
      </c>
      <c r="B5" s="987"/>
      <c r="C5" s="987"/>
      <c r="D5" s="987"/>
      <c r="E5" s="987"/>
      <c r="F5" s="987"/>
      <c r="G5" s="987"/>
      <c r="H5" s="987"/>
      <c r="I5" s="987"/>
      <c r="J5" s="987"/>
      <c r="K5" s="987"/>
      <c r="L5" s="987"/>
      <c r="M5" s="988"/>
      <c r="N5" s="707" t="s">
        <v>152</v>
      </c>
      <c r="O5" s="695"/>
      <c r="P5" s="695"/>
      <c r="Q5" s="695"/>
      <c r="R5" s="738"/>
      <c r="S5" s="702" t="s">
        <v>87</v>
      </c>
      <c r="T5" s="703"/>
      <c r="U5" s="703"/>
      <c r="V5" s="703"/>
      <c r="W5" s="703"/>
      <c r="X5" s="703"/>
      <c r="Y5" s="703"/>
      <c r="Z5" s="695"/>
      <c r="AA5" s="695"/>
      <c r="AB5" s="695"/>
      <c r="AC5" s="695"/>
      <c r="AD5" s="695"/>
      <c r="AE5" s="989"/>
      <c r="AF5" s="989"/>
      <c r="AG5" s="990" t="s">
        <v>6</v>
      </c>
      <c r="AH5" s="990"/>
      <c r="AI5" s="990"/>
      <c r="AJ5" s="990"/>
      <c r="AK5" s="990"/>
      <c r="AL5" s="990"/>
      <c r="AM5" s="700"/>
      <c r="AN5" s="700"/>
      <c r="AO5" s="700"/>
      <c r="AP5" s="699" t="s">
        <v>5</v>
      </c>
      <c r="AQ5" s="700"/>
      <c r="AR5" s="699" t="s">
        <v>5</v>
      </c>
      <c r="AS5" s="699"/>
      <c r="AT5" s="699"/>
      <c r="AU5" s="699"/>
      <c r="AV5" s="699"/>
      <c r="AW5" s="699"/>
      <c r="AX5" s="699"/>
      <c r="AY5" s="699"/>
      <c r="AZ5" s="699"/>
      <c r="BA5" s="699"/>
      <c r="BB5" s="699"/>
      <c r="BC5" s="699"/>
      <c r="BD5" s="699"/>
      <c r="BE5" s="699"/>
      <c r="BF5" s="699"/>
      <c r="BG5" s="699"/>
      <c r="BH5" s="699"/>
      <c r="BI5" s="699"/>
      <c r="BJ5" s="701"/>
      <c r="BK5" s="704" t="s">
        <v>8</v>
      </c>
      <c r="BL5" s="704"/>
      <c r="BM5" s="705" t="s">
        <v>9</v>
      </c>
      <c r="BN5" s="705"/>
      <c r="BO5" s="706" t="s">
        <v>10</v>
      </c>
      <c r="BP5" s="706"/>
    </row>
    <row r="6" spans="1:68" ht="15.75" customHeight="1">
      <c r="A6" s="707" t="s">
        <v>55</v>
      </c>
      <c r="B6" s="708" t="s">
        <v>484</v>
      </c>
      <c r="C6" s="708"/>
      <c r="D6" s="709" t="s">
        <v>99</v>
      </c>
      <c r="E6" s="709" t="s">
        <v>56</v>
      </c>
      <c r="F6" s="710" t="s">
        <v>10</v>
      </c>
      <c r="G6" s="710" t="s">
        <v>10</v>
      </c>
      <c r="H6" s="711" t="s">
        <v>8</v>
      </c>
      <c r="I6" s="712" t="s">
        <v>8</v>
      </c>
      <c r="J6" s="712" t="s">
        <v>154</v>
      </c>
      <c r="K6" s="713" t="s">
        <v>205</v>
      </c>
      <c r="L6" s="714" t="s">
        <v>9</v>
      </c>
      <c r="M6" s="714" t="s">
        <v>155</v>
      </c>
      <c r="N6" s="707" t="s">
        <v>152</v>
      </c>
      <c r="O6" s="983" t="s">
        <v>57</v>
      </c>
      <c r="P6" s="983"/>
      <c r="Q6" s="738" t="s">
        <v>58</v>
      </c>
      <c r="R6" s="717" t="s">
        <v>59</v>
      </c>
      <c r="S6" s="731" t="s">
        <v>88</v>
      </c>
      <c r="T6" s="731" t="s">
        <v>89</v>
      </c>
      <c r="U6" s="731" t="s">
        <v>90</v>
      </c>
      <c r="V6" s="731" t="s">
        <v>91</v>
      </c>
      <c r="W6" s="732" t="s">
        <v>55</v>
      </c>
      <c r="X6" s="733" t="s">
        <v>93</v>
      </c>
      <c r="Y6" s="733" t="s">
        <v>94</v>
      </c>
      <c r="Z6" s="716" t="s">
        <v>60</v>
      </c>
      <c r="AA6" s="717" t="s">
        <v>61</v>
      </c>
      <c r="AB6" s="717" t="s">
        <v>61</v>
      </c>
      <c r="AC6" s="717" t="s">
        <v>62</v>
      </c>
      <c r="AD6" s="717" t="s">
        <v>15</v>
      </c>
      <c r="AE6" s="991"/>
      <c r="AF6" s="991"/>
      <c r="AG6" s="718" t="s">
        <v>484</v>
      </c>
      <c r="AH6" s="709" t="s">
        <v>7</v>
      </c>
      <c r="AI6" s="712" t="s">
        <v>8</v>
      </c>
      <c r="AJ6" s="714" t="s">
        <v>9</v>
      </c>
      <c r="AK6" s="710" t="s">
        <v>10</v>
      </c>
      <c r="AL6" s="719" t="s">
        <v>70</v>
      </c>
      <c r="AM6" s="992" t="s">
        <v>97</v>
      </c>
      <c r="AN6" s="719" t="s">
        <v>97</v>
      </c>
      <c r="AO6" s="708" t="s">
        <v>484</v>
      </c>
      <c r="AP6" s="993"/>
      <c r="AQ6" s="721" t="s">
        <v>7</v>
      </c>
      <c r="AR6" s="994"/>
      <c r="AS6" s="995" t="s">
        <v>8</v>
      </c>
      <c r="AT6" s="724"/>
      <c r="AU6" s="724"/>
      <c r="AV6" s="724"/>
      <c r="AW6" s="724"/>
      <c r="AX6" s="724"/>
      <c r="AY6" s="996" t="s">
        <v>9</v>
      </c>
      <c r="AZ6" s="727"/>
      <c r="BA6" s="727"/>
      <c r="BB6" s="727"/>
      <c r="BC6" s="727"/>
      <c r="BD6" s="727"/>
      <c r="BE6" s="727"/>
      <c r="BF6" s="997" t="s">
        <v>10</v>
      </c>
      <c r="BG6" s="730"/>
      <c r="BH6" s="730"/>
      <c r="BI6" s="730"/>
      <c r="BJ6" s="730"/>
      <c r="BK6" s="734" t="s">
        <v>179</v>
      </c>
      <c r="BL6" s="712" t="s">
        <v>18</v>
      </c>
      <c r="BM6" s="713" t="s">
        <v>179</v>
      </c>
      <c r="BN6" s="714" t="s">
        <v>18</v>
      </c>
      <c r="BO6" s="735" t="s">
        <v>179</v>
      </c>
      <c r="BP6" s="736" t="s">
        <v>18</v>
      </c>
    </row>
    <row r="7" spans="1:68" ht="16.2" thickBot="1">
      <c r="A7" s="707"/>
      <c r="B7" s="718" t="s">
        <v>70</v>
      </c>
      <c r="C7" s="718" t="s">
        <v>63</v>
      </c>
      <c r="D7" s="719" t="s">
        <v>70</v>
      </c>
      <c r="E7" s="709" t="s">
        <v>63</v>
      </c>
      <c r="F7" s="710" t="s">
        <v>63</v>
      </c>
      <c r="G7" s="710" t="s">
        <v>153</v>
      </c>
      <c r="H7" s="711" t="s">
        <v>204</v>
      </c>
      <c r="I7" s="712" t="s">
        <v>64</v>
      </c>
      <c r="J7" s="712" t="s">
        <v>153</v>
      </c>
      <c r="K7" s="713" t="s">
        <v>15</v>
      </c>
      <c r="L7" s="714" t="s">
        <v>63</v>
      </c>
      <c r="M7" s="714" t="s">
        <v>153</v>
      </c>
      <c r="N7" s="707" t="s">
        <v>152</v>
      </c>
      <c r="O7" s="998" t="s">
        <v>16</v>
      </c>
      <c r="P7" s="998"/>
      <c r="Q7" s="738"/>
      <c r="R7" s="738"/>
      <c r="S7" s="681"/>
      <c r="T7" s="681"/>
      <c r="U7" s="681"/>
      <c r="V7" s="681"/>
      <c r="W7" s="748"/>
      <c r="X7" s="749"/>
      <c r="Y7" s="749"/>
      <c r="Z7" s="738"/>
      <c r="AA7" s="717" t="s">
        <v>63</v>
      </c>
      <c r="AB7" s="717" t="s">
        <v>15</v>
      </c>
      <c r="AC7" s="717" t="s">
        <v>65</v>
      </c>
      <c r="AD7" s="717" t="s">
        <v>65</v>
      </c>
      <c r="AE7" s="991" t="s">
        <v>10</v>
      </c>
      <c r="AF7" s="991" t="s">
        <v>198</v>
      </c>
      <c r="AG7" s="739" t="s">
        <v>15</v>
      </c>
      <c r="AH7" s="740" t="s">
        <v>15</v>
      </c>
      <c r="AI7" s="712" t="s">
        <v>15</v>
      </c>
      <c r="AJ7" s="714" t="s">
        <v>15</v>
      </c>
      <c r="AK7" s="736" t="s">
        <v>15</v>
      </c>
      <c r="AL7" s="741" t="s">
        <v>15</v>
      </c>
      <c r="AM7" s="999" t="s">
        <v>106</v>
      </c>
      <c r="AN7" s="741" t="s">
        <v>98</v>
      </c>
      <c r="AO7" s="742" t="s">
        <v>63</v>
      </c>
      <c r="AP7" s="739" t="s">
        <v>15</v>
      </c>
      <c r="AQ7" s="743" t="s">
        <v>63</v>
      </c>
      <c r="AR7" s="740" t="s">
        <v>15</v>
      </c>
      <c r="AS7" s="712" t="s">
        <v>125</v>
      </c>
      <c r="AT7" s="744" t="s">
        <v>123</v>
      </c>
      <c r="AU7" s="744" t="s">
        <v>116</v>
      </c>
      <c r="AV7" s="744" t="s">
        <v>107</v>
      </c>
      <c r="AW7" s="744" t="s">
        <v>108</v>
      </c>
      <c r="AX7" s="744" t="s">
        <v>124</v>
      </c>
      <c r="AY7" s="714" t="s">
        <v>94</v>
      </c>
      <c r="AZ7" s="745" t="s">
        <v>72</v>
      </c>
      <c r="BA7" s="745" t="s">
        <v>74</v>
      </c>
      <c r="BB7" s="745" t="s">
        <v>107</v>
      </c>
      <c r="BC7" s="745" t="s">
        <v>108</v>
      </c>
      <c r="BD7" s="746" t="s">
        <v>73</v>
      </c>
      <c r="BE7" s="746" t="s">
        <v>75</v>
      </c>
      <c r="BF7" s="736" t="s">
        <v>94</v>
      </c>
      <c r="BG7" s="747" t="s">
        <v>168</v>
      </c>
      <c r="BH7" s="747" t="s">
        <v>109</v>
      </c>
      <c r="BI7" s="746" t="s">
        <v>169</v>
      </c>
      <c r="BJ7" s="746" t="s">
        <v>70</v>
      </c>
      <c r="BK7" s="1000"/>
      <c r="BL7" s="1001">
        <f>BK75</f>
        <v>0</v>
      </c>
      <c r="BM7" s="1000"/>
      <c r="BN7" s="1002">
        <f>BM7</f>
        <v>0</v>
      </c>
      <c r="BO7" s="1000"/>
      <c r="BP7" s="1003">
        <f>BO7</f>
        <v>0</v>
      </c>
    </row>
    <row r="8" spans="1:68" ht="16.2" thickTop="1">
      <c r="A8" s="1004"/>
      <c r="B8" s="756"/>
      <c r="C8" s="756"/>
      <c r="D8" s="756"/>
      <c r="E8" s="756"/>
      <c r="F8" s="756"/>
      <c r="G8" s="756"/>
      <c r="H8" s="756"/>
      <c r="I8" s="756"/>
      <c r="J8" s="756"/>
      <c r="K8" s="756"/>
      <c r="L8" s="756"/>
      <c r="M8" s="756"/>
      <c r="N8" s="1004" t="s">
        <v>152</v>
      </c>
      <c r="O8" s="1005"/>
      <c r="P8" s="1005"/>
      <c r="Q8" s="1005"/>
      <c r="R8" s="1005"/>
      <c r="S8" s="761"/>
      <c r="T8" s="761"/>
      <c r="U8" s="761"/>
      <c r="V8" s="761"/>
      <c r="W8" s="761"/>
      <c r="X8" s="761"/>
      <c r="Y8" s="761"/>
      <c r="Z8" s="1005"/>
      <c r="AA8" s="1005"/>
      <c r="AB8" s="1005"/>
      <c r="AC8" s="1005"/>
      <c r="AD8" s="1005"/>
      <c r="AE8" s="1006"/>
      <c r="AF8" s="1006"/>
      <c r="AG8" s="756"/>
      <c r="AH8" s="756"/>
      <c r="AI8" s="756"/>
      <c r="AJ8" s="756"/>
      <c r="AK8" s="756"/>
      <c r="AL8" s="756"/>
      <c r="AM8" s="1007"/>
      <c r="AN8" s="756"/>
      <c r="AO8" s="761"/>
      <c r="AP8" s="756"/>
      <c r="AQ8" s="761"/>
      <c r="AR8" s="756"/>
      <c r="AS8" s="756"/>
      <c r="AT8" s="756"/>
      <c r="AU8" s="756"/>
      <c r="AV8" s="756"/>
      <c r="AW8" s="756"/>
      <c r="AX8" s="756"/>
      <c r="AY8" s="756"/>
      <c r="AZ8" s="756"/>
      <c r="BA8" s="756"/>
      <c r="BB8" s="756"/>
      <c r="BC8" s="756"/>
      <c r="BD8" s="756"/>
      <c r="BE8" s="756"/>
      <c r="BF8" s="756"/>
      <c r="BG8" s="756"/>
      <c r="BH8" s="756"/>
      <c r="BI8" s="756"/>
      <c r="BJ8" s="756"/>
      <c r="BK8" s="756"/>
      <c r="BL8" s="756"/>
      <c r="BM8" s="756"/>
      <c r="BN8" s="756"/>
      <c r="BO8" s="756"/>
      <c r="BP8" s="756"/>
    </row>
    <row r="9" spans="1:68">
      <c r="C9" s="1008"/>
      <c r="E9" s="1008"/>
      <c r="F9" s="1008"/>
      <c r="G9" s="1008"/>
      <c r="H9" s="1008"/>
      <c r="I9" s="1008"/>
      <c r="J9" s="1008"/>
      <c r="K9" s="1008"/>
      <c r="L9" s="1008"/>
      <c r="M9" s="1008"/>
      <c r="N9" s="976"/>
      <c r="O9" s="765"/>
      <c r="P9" s="765"/>
      <c r="Q9" s="1009" t="s">
        <v>101</v>
      </c>
      <c r="S9" s="806"/>
      <c r="T9" s="807"/>
      <c r="U9" s="807"/>
      <c r="V9" s="807"/>
      <c r="W9" s="807"/>
      <c r="X9" s="807"/>
      <c r="Y9" s="807"/>
      <c r="Z9" s="1010"/>
      <c r="AA9" s="812"/>
      <c r="AB9" s="772">
        <f>+AN10+AR10+AW10+AS10+BA10+BC10+BE10+AY10+BH10+BJ10+BF10</f>
        <v>0</v>
      </c>
      <c r="AC9" s="1011"/>
      <c r="AD9" s="1011"/>
      <c r="AE9" s="773"/>
      <c r="AF9" s="773"/>
      <c r="AL9" s="775"/>
      <c r="AM9" s="1012"/>
      <c r="AN9" s="1013"/>
      <c r="AO9" s="808"/>
      <c r="AP9" s="673"/>
      <c r="AQ9" s="808"/>
      <c r="AR9" s="673"/>
      <c r="AS9" s="673"/>
      <c r="AT9" s="673"/>
      <c r="AU9" s="673"/>
      <c r="AV9" s="673"/>
      <c r="AW9" s="673"/>
      <c r="AX9" s="673"/>
      <c r="AY9" s="661"/>
      <c r="AZ9" s="673"/>
      <c r="BA9" s="673"/>
      <c r="BB9" s="673"/>
      <c r="BC9" s="673"/>
      <c r="BD9" s="673"/>
      <c r="BE9" s="673"/>
      <c r="BF9" s="673"/>
      <c r="BG9" s="661"/>
      <c r="BH9" s="661"/>
      <c r="BI9" s="661"/>
      <c r="BJ9" s="812"/>
      <c r="BK9" s="673"/>
      <c r="BL9" s="673"/>
      <c r="BM9" s="673"/>
      <c r="BN9" s="673"/>
      <c r="BO9" s="673"/>
      <c r="BP9" s="673"/>
    </row>
    <row r="10" spans="1:68" s="765" customFormat="1">
      <c r="A10" s="776"/>
      <c r="B10" s="763">
        <v>0</v>
      </c>
      <c r="C10" s="763">
        <v>0</v>
      </c>
      <c r="D10" s="763">
        <v>0</v>
      </c>
      <c r="E10" s="763">
        <v>0</v>
      </c>
      <c r="F10" s="763">
        <v>0</v>
      </c>
      <c r="G10" s="689">
        <f>+G$4</f>
        <v>0.1</v>
      </c>
      <c r="H10" s="764">
        <f>AT10+AU10</f>
        <v>0</v>
      </c>
      <c r="I10" s="763">
        <v>0</v>
      </c>
      <c r="J10" s="689">
        <f>+J$4</f>
        <v>0.1</v>
      </c>
      <c r="K10" s="764">
        <f>AY10+BA10+BC10+BE10</f>
        <v>0</v>
      </c>
      <c r="L10" s="763">
        <v>0</v>
      </c>
      <c r="M10" s="689">
        <f>+M$4</f>
        <v>0.1</v>
      </c>
      <c r="N10" s="1014" t="s">
        <v>382</v>
      </c>
      <c r="Q10" s="1015" t="s">
        <v>135</v>
      </c>
      <c r="R10" s="776" t="s">
        <v>96</v>
      </c>
      <c r="S10" s="1016"/>
      <c r="T10" s="1017"/>
      <c r="U10" s="1017"/>
      <c r="V10" s="1017"/>
      <c r="W10" s="1018"/>
      <c r="X10" s="1019"/>
      <c r="Y10" s="1020">
        <f>_xlfn.IFNA(SUM(X11:X16),0)</f>
        <v>0</v>
      </c>
      <c r="Z10" s="1021">
        <f>ROUNDUP(Y10,1)</f>
        <v>0</v>
      </c>
      <c r="AA10" s="1022">
        <f>ROUNDUP(AM10+AQ10+AV10+AX10+_xlfn.IFNA(L10,0)+AZ10+BB10+BD10+_xlfn.IFNA(F10,0)+BG10+BI10,2)</f>
        <v>0</v>
      </c>
      <c r="AB10" s="764">
        <f>ROUND(AA10*ROUNDUP(Z10,1),2)</f>
        <v>0</v>
      </c>
      <c r="AC10" s="1023">
        <v>0</v>
      </c>
      <c r="AD10" s="764">
        <f>ROUND(+AB10*AC10,2)</f>
        <v>0</v>
      </c>
      <c r="AE10" s="1024"/>
      <c r="AF10" s="1024"/>
      <c r="AG10" s="764">
        <f>ROUNDUP(AQ10*AB10,2)</f>
        <v>0</v>
      </c>
      <c r="AH10" s="764">
        <f>ROUNDUP(AR10*AC10,2)</f>
        <v>0</v>
      </c>
      <c r="AI10" s="764">
        <f>ROUNDUP((AW10+AS10)*AC10,2)</f>
        <v>0</v>
      </c>
      <c r="AJ10" s="764">
        <f>ROUNDUP((BA10+BC10+AY10)*AC10,2)</f>
        <v>0</v>
      </c>
      <c r="AK10" s="764">
        <f>ROUNDUP((BH10+BF10)*AC10,2)</f>
        <v>0</v>
      </c>
      <c r="AL10" s="764">
        <f>(BJ10+BE10+AN10)*AC10</f>
        <v>0</v>
      </c>
      <c r="AM10" s="1025">
        <f>+_xlfn.IFNA(D10,0)</f>
        <v>0</v>
      </c>
      <c r="AN10" s="764">
        <f>ROUNDUP(_xlfn.IFNA(D10,0)*Z10,2)</f>
        <v>0</v>
      </c>
      <c r="AO10" s="764">
        <f>_xlfn.IFNA(C10,0)</f>
        <v>0</v>
      </c>
      <c r="AP10" s="1022">
        <f>_xlfn.IFNA(C10,0)*Z10</f>
        <v>0</v>
      </c>
      <c r="AQ10" s="764">
        <f>+_xlfn.IFNA(E10,0)</f>
        <v>0</v>
      </c>
      <c r="AR10" s="1022">
        <f>_xlfn.IFNA(E10,0)*Z10</f>
        <v>0</v>
      </c>
      <c r="AS10" s="1022">
        <f>ROUNDUP(Z10*AX10,2)</f>
        <v>0</v>
      </c>
      <c r="AT10" s="1022">
        <f>ROUNDUP(+_xlfn.IFNA(I10,0)*Z10,2)</f>
        <v>0</v>
      </c>
      <c r="AU10" s="1022">
        <f>_xlfn.IFNA(J10,0)*_xlfn.IFNA(I10,0)*Z10</f>
        <v>0</v>
      </c>
      <c r="AV10" s="1022">
        <f>ROUNDUP(_xlfn.IFNA(I10,0)*I$4*J10,2)</f>
        <v>0</v>
      </c>
      <c r="AW10" s="1022">
        <f>AV10*Z10</f>
        <v>0</v>
      </c>
      <c r="AX10" s="1022">
        <f>_xlfn.IFNA(IF(I10=0,0,ROUNDUP(I$4*_xlfn.IFNA(I10,0),2)),0)</f>
        <v>0</v>
      </c>
      <c r="AY10" s="1022">
        <f>+ROUNDUP(_xlfn.IFNA(L10,0)*ROUNDUP(Z10,1),2)</f>
        <v>0</v>
      </c>
      <c r="AZ10" s="1022">
        <f>ROUNDUP(_xlfn.IFNA(L10,0)*L$2,2)</f>
        <v>0</v>
      </c>
      <c r="BA10" s="1022">
        <f>+ROUNDUP(AZ10*Z10,2)</f>
        <v>0</v>
      </c>
      <c r="BB10" s="1022">
        <f>ROUNDUP((_xlfn.IFNA(L10,0)+AZ10)*M10,2)</f>
        <v>0</v>
      </c>
      <c r="BC10" s="1022">
        <f>ROUNDUP(BB10*Z10,2)</f>
        <v>0</v>
      </c>
      <c r="BD10" s="1022">
        <f>ROUNDUP(((_xlfn.IFNA(L10,0)+AZ10+BB10)*(L$4))*L$3,2)</f>
        <v>0</v>
      </c>
      <c r="BE10" s="1022">
        <f>ROUNDUP(+BD10*ROUNDUP(Z10,1),2)</f>
        <v>0</v>
      </c>
      <c r="BF10" s="1022">
        <f>ROUNDUP(_xlfn.IFNA(F10,0)*Z10,2)</f>
        <v>0</v>
      </c>
      <c r="BG10" s="1022">
        <f>ROUNDUP(_xlfn.IFNA(F10,0)*_xlfn.IFNA(G10,0),2)</f>
        <v>0</v>
      </c>
      <c r="BH10" s="1022">
        <f>ROUNDUP(BG10*Z10,2)</f>
        <v>0</v>
      </c>
      <c r="BI10" s="1022">
        <f>ROUNDUP(((ROUNDUP(_xlfn.IFNA(F10,0)+BG10,2)*F$4)*F$3),2)</f>
        <v>0</v>
      </c>
      <c r="BJ10" s="1022">
        <f>BI10*Z10</f>
        <v>0</v>
      </c>
      <c r="BK10" s="1022">
        <f>IF(BK$7=$AF10,(+$AS10+$AW10),(0))</f>
        <v>0</v>
      </c>
      <c r="BL10" s="1022">
        <f>IF(BL$7=$AF10,(+BK10*$AC10),(0))</f>
        <v>0</v>
      </c>
      <c r="BM10" s="1022">
        <f>IF(BM$7=$AF10,(+$BC10+$BA10+$AY10),(0))</f>
        <v>0</v>
      </c>
      <c r="BN10" s="1022">
        <f>IF(BN$7=$AF10,(+BM10*$AC10),(0))</f>
        <v>0</v>
      </c>
      <c r="BO10" s="1022">
        <f>IF(BO$7=$AE10,($BH10+$BF10),(0))</f>
        <v>0</v>
      </c>
      <c r="BP10" s="1022">
        <f>IF(BP$7=$AE10,(+BO10*$AC10),(0))</f>
        <v>0</v>
      </c>
    </row>
    <row r="11" spans="1:68">
      <c r="C11" s="1008"/>
      <c r="E11" s="1008"/>
      <c r="F11" s="1008"/>
      <c r="G11" s="1008"/>
      <c r="H11" s="1008"/>
      <c r="I11" s="1008"/>
      <c r="J11" s="1008"/>
      <c r="K11" s="1008"/>
      <c r="L11" s="1008"/>
      <c r="M11" s="1008"/>
      <c r="N11" s="1014" t="s">
        <v>381</v>
      </c>
      <c r="O11" s="765"/>
      <c r="P11" s="765"/>
      <c r="Q11" s="1026"/>
      <c r="S11" s="1027"/>
      <c r="T11" s="1017"/>
      <c r="U11" s="1017"/>
      <c r="V11" s="1017"/>
      <c r="W11" s="1028"/>
      <c r="X11" s="1029"/>
      <c r="Y11" s="1030" t="s">
        <v>105</v>
      </c>
      <c r="Z11" s="1010"/>
      <c r="AA11" s="812"/>
      <c r="AB11" s="808"/>
      <c r="AC11" s="1011"/>
      <c r="AD11" s="1011"/>
      <c r="AE11" s="773"/>
      <c r="AF11" s="773"/>
      <c r="AG11" s="808"/>
      <c r="AH11" s="808"/>
      <c r="AI11" s="808"/>
      <c r="AJ11" s="808"/>
      <c r="AK11" s="808"/>
      <c r="AL11" s="808"/>
      <c r="AM11" s="1012"/>
      <c r="AO11" s="808"/>
      <c r="AP11" s="673"/>
      <c r="AQ11" s="808"/>
      <c r="AR11" s="673"/>
      <c r="AS11" s="673"/>
      <c r="AT11" s="673"/>
      <c r="AU11" s="673"/>
      <c r="AV11" s="673"/>
      <c r="AW11" s="673"/>
      <c r="AX11" s="673"/>
      <c r="AY11" s="661"/>
      <c r="AZ11" s="673"/>
      <c r="BA11" s="673"/>
      <c r="BB11" s="673"/>
      <c r="BC11" s="673"/>
      <c r="BD11" s="673"/>
      <c r="BE11" s="673"/>
      <c r="BF11" s="673"/>
      <c r="BG11" s="661"/>
      <c r="BH11" s="661"/>
      <c r="BI11" s="661"/>
      <c r="BJ11" s="673"/>
      <c r="BK11" s="673"/>
      <c r="BL11" s="673"/>
      <c r="BM11" s="673"/>
      <c r="BN11" s="673"/>
      <c r="BO11" s="673"/>
      <c r="BP11" s="673"/>
    </row>
    <row r="12" spans="1:68" s="1039" customFormat="1">
      <c r="A12" s="1008"/>
      <c r="B12" s="1008"/>
      <c r="C12" s="1008"/>
      <c r="D12" s="1008"/>
      <c r="E12" s="1008"/>
      <c r="F12" s="1008"/>
      <c r="G12" s="1008"/>
      <c r="H12" s="1008"/>
      <c r="I12" s="1008"/>
      <c r="J12" s="1008"/>
      <c r="K12" s="1008"/>
      <c r="L12" s="1008"/>
      <c r="M12" s="1008"/>
      <c r="N12" s="1014" t="s">
        <v>381</v>
      </c>
      <c r="O12" s="765"/>
      <c r="P12" s="765"/>
      <c r="Q12" s="1026"/>
      <c r="R12" s="1010"/>
      <c r="S12" s="768">
        <v>0</v>
      </c>
      <c r="T12" s="1031"/>
      <c r="U12" s="1031"/>
      <c r="V12" s="1031"/>
      <c r="W12" s="1032"/>
      <c r="X12" s="1033">
        <f>_xlfn.IFNA(PRODUCT(S12:V12,(1+Y12)),0)</f>
        <v>0</v>
      </c>
      <c r="Y12" s="1028">
        <v>0</v>
      </c>
      <c r="Z12" s="1034"/>
      <c r="AA12" s="1035"/>
      <c r="AB12" s="1036"/>
      <c r="AC12" s="1037"/>
      <c r="AD12" s="1037"/>
      <c r="AE12" s="773"/>
      <c r="AF12" s="773"/>
      <c r="AG12" s="1036"/>
      <c r="AH12" s="1036"/>
      <c r="AI12" s="1036"/>
      <c r="AJ12" s="1036"/>
      <c r="AK12" s="1036"/>
      <c r="AL12" s="1036"/>
      <c r="AM12" s="1038"/>
      <c r="AO12" s="1036"/>
      <c r="AP12" s="1040"/>
      <c r="AQ12" s="1036"/>
      <c r="AR12" s="1040"/>
      <c r="AS12" s="1040"/>
      <c r="AT12" s="1040"/>
      <c r="AU12" s="1040"/>
      <c r="AV12" s="1040"/>
      <c r="AW12" s="1040"/>
      <c r="AX12" s="1040"/>
      <c r="AY12" s="1041"/>
      <c r="AZ12" s="1040"/>
      <c r="BA12" s="1040"/>
      <c r="BB12" s="1040"/>
      <c r="BC12" s="1040"/>
      <c r="BD12" s="1040"/>
      <c r="BE12" s="1040"/>
      <c r="BF12" s="1040"/>
      <c r="BG12" s="1041"/>
      <c r="BH12" s="1041"/>
      <c r="BI12" s="1041"/>
      <c r="BJ12" s="1040"/>
      <c r="BK12" s="673"/>
      <c r="BL12" s="673"/>
      <c r="BM12" s="673"/>
      <c r="BN12" s="673"/>
      <c r="BO12" s="673"/>
      <c r="BP12" s="673"/>
    </row>
    <row r="13" spans="1:68" s="1039" customFormat="1">
      <c r="A13" s="1042"/>
      <c r="B13" s="1042"/>
      <c r="C13" s="1042"/>
      <c r="D13" s="1042"/>
      <c r="E13" s="1042"/>
      <c r="F13" s="1042"/>
      <c r="G13" s="1042"/>
      <c r="H13" s="1042"/>
      <c r="I13" s="1042"/>
      <c r="J13" s="1042"/>
      <c r="K13" s="1042"/>
      <c r="L13" s="1042"/>
      <c r="M13" s="1042"/>
      <c r="N13" s="1014" t="s">
        <v>381</v>
      </c>
      <c r="O13" s="765"/>
      <c r="P13" s="765"/>
      <c r="Q13" s="1043"/>
      <c r="R13" s="1034"/>
      <c r="S13" s="768">
        <v>0</v>
      </c>
      <c r="T13" s="1031"/>
      <c r="U13" s="1031"/>
      <c r="V13" s="1031"/>
      <c r="W13" s="1032"/>
      <c r="X13" s="1033">
        <f t="shared" ref="X13:X15" si="0">_xlfn.IFNA(PRODUCT(S13:V13,(1+Y13)),0)</f>
        <v>0</v>
      </c>
      <c r="Y13" s="1028">
        <v>0</v>
      </c>
      <c r="Z13" s="1034"/>
      <c r="AA13" s="1035"/>
      <c r="AB13" s="1036"/>
      <c r="AC13" s="1037"/>
      <c r="AD13" s="1037"/>
      <c r="AE13" s="773"/>
      <c r="AF13" s="773"/>
      <c r="AG13" s="1036"/>
      <c r="AH13" s="1036"/>
      <c r="AI13" s="1036"/>
      <c r="AJ13" s="1036"/>
      <c r="AK13" s="1036"/>
      <c r="AL13" s="1036"/>
      <c r="AM13" s="1038"/>
      <c r="AO13" s="1036"/>
      <c r="AP13" s="1040"/>
      <c r="AQ13" s="1036"/>
      <c r="AR13" s="1040"/>
      <c r="AS13" s="1040"/>
      <c r="AT13" s="1040"/>
      <c r="AU13" s="1040"/>
      <c r="AV13" s="1040"/>
      <c r="AW13" s="1040"/>
      <c r="AX13" s="1040"/>
      <c r="AY13" s="1041"/>
      <c r="AZ13" s="1040"/>
      <c r="BA13" s="1040"/>
      <c r="BB13" s="1040"/>
      <c r="BC13" s="1040"/>
      <c r="BD13" s="1040"/>
      <c r="BE13" s="1040"/>
      <c r="BF13" s="1040"/>
      <c r="BG13" s="1041"/>
      <c r="BH13" s="1041"/>
      <c r="BI13" s="1041"/>
      <c r="BJ13" s="1040"/>
      <c r="BK13" s="673"/>
      <c r="BL13" s="673"/>
      <c r="BM13" s="673"/>
      <c r="BN13" s="673"/>
      <c r="BO13" s="673"/>
      <c r="BP13" s="673"/>
    </row>
    <row r="14" spans="1:68" s="1039" customFormat="1">
      <c r="A14" s="1042"/>
      <c r="B14" s="1042"/>
      <c r="C14" s="1042"/>
      <c r="D14" s="1042"/>
      <c r="E14" s="1042"/>
      <c r="F14" s="1042"/>
      <c r="G14" s="1042"/>
      <c r="H14" s="1042"/>
      <c r="I14" s="1042"/>
      <c r="J14" s="1042"/>
      <c r="K14" s="1042"/>
      <c r="L14" s="1042"/>
      <c r="M14" s="1042"/>
      <c r="N14" s="1014" t="s">
        <v>381</v>
      </c>
      <c r="O14" s="765"/>
      <c r="P14" s="765"/>
      <c r="Q14" s="1043"/>
      <c r="R14" s="1034"/>
      <c r="S14" s="768">
        <v>0</v>
      </c>
      <c r="T14" s="1031"/>
      <c r="U14" s="1031"/>
      <c r="V14" s="1031"/>
      <c r="W14" s="1032"/>
      <c r="X14" s="1033">
        <f t="shared" si="0"/>
        <v>0</v>
      </c>
      <c r="Y14" s="1028">
        <v>0</v>
      </c>
      <c r="Z14" s="1034"/>
      <c r="AA14" s="1035"/>
      <c r="AB14" s="1036"/>
      <c r="AC14" s="1037"/>
      <c r="AD14" s="1037"/>
      <c r="AE14" s="773"/>
      <c r="AF14" s="773"/>
      <c r="AG14" s="1036"/>
      <c r="AH14" s="1036"/>
      <c r="AI14" s="1036"/>
      <c r="AJ14" s="1036"/>
      <c r="AK14" s="1036"/>
      <c r="AL14" s="1036"/>
      <c r="AM14" s="1038"/>
      <c r="AO14" s="1036"/>
      <c r="AP14" s="1040"/>
      <c r="AQ14" s="1036"/>
      <c r="AR14" s="1040"/>
      <c r="AS14" s="1040"/>
      <c r="AT14" s="1040"/>
      <c r="AU14" s="1040"/>
      <c r="AV14" s="1040"/>
      <c r="AW14" s="1040"/>
      <c r="AX14" s="1040"/>
      <c r="AY14" s="1041"/>
      <c r="AZ14" s="1040"/>
      <c r="BA14" s="1040"/>
      <c r="BB14" s="1040"/>
      <c r="BC14" s="1040"/>
      <c r="BD14" s="1040"/>
      <c r="BE14" s="1040"/>
      <c r="BF14" s="1040"/>
      <c r="BG14" s="1041"/>
      <c r="BH14" s="1041"/>
      <c r="BI14" s="1041"/>
      <c r="BJ14" s="1040"/>
      <c r="BK14" s="673"/>
      <c r="BL14" s="673"/>
      <c r="BM14" s="673"/>
      <c r="BN14" s="673"/>
      <c r="BO14" s="673"/>
      <c r="BP14" s="673"/>
    </row>
    <row r="15" spans="1:68" s="1039" customFormat="1">
      <c r="A15" s="1042"/>
      <c r="B15" s="1042"/>
      <c r="C15" s="1042"/>
      <c r="D15" s="1042"/>
      <c r="E15" s="1042"/>
      <c r="F15" s="1042"/>
      <c r="G15" s="1042"/>
      <c r="H15" s="1042"/>
      <c r="I15" s="1042"/>
      <c r="J15" s="1042"/>
      <c r="K15" s="1042"/>
      <c r="L15" s="1042"/>
      <c r="M15" s="1042"/>
      <c r="N15" s="1014" t="s">
        <v>381</v>
      </c>
      <c r="O15" s="765"/>
      <c r="P15" s="765"/>
      <c r="Q15" s="1043"/>
      <c r="R15" s="1034"/>
      <c r="S15" s="768">
        <v>0</v>
      </c>
      <c r="T15" s="1031"/>
      <c r="U15" s="1031"/>
      <c r="V15" s="1031"/>
      <c r="W15" s="1032"/>
      <c r="X15" s="1033">
        <f t="shared" si="0"/>
        <v>0</v>
      </c>
      <c r="Y15" s="1028">
        <v>0</v>
      </c>
      <c r="Z15" s="1034"/>
      <c r="AA15" s="1035"/>
      <c r="AB15" s="1036"/>
      <c r="AC15" s="1037"/>
      <c r="AD15" s="1037"/>
      <c r="AE15" s="773"/>
      <c r="AF15" s="773"/>
      <c r="AG15" s="1036"/>
      <c r="AH15" s="1036"/>
      <c r="AI15" s="1036"/>
      <c r="AJ15" s="1036"/>
      <c r="AK15" s="1036"/>
      <c r="AL15" s="1036"/>
      <c r="AM15" s="1038"/>
      <c r="AO15" s="1036"/>
      <c r="AP15" s="1040"/>
      <c r="AQ15" s="1036"/>
      <c r="AR15" s="1040"/>
      <c r="AS15" s="1040"/>
      <c r="AT15" s="1040"/>
      <c r="AU15" s="1040"/>
      <c r="AV15" s="1040"/>
      <c r="AW15" s="1040"/>
      <c r="AX15" s="1040"/>
      <c r="AY15" s="1041"/>
      <c r="AZ15" s="1040"/>
      <c r="BA15" s="1040"/>
      <c r="BB15" s="1040"/>
      <c r="BC15" s="1040"/>
      <c r="BD15" s="1040"/>
      <c r="BE15" s="1040"/>
      <c r="BF15" s="1040"/>
      <c r="BG15" s="1041"/>
      <c r="BH15" s="1041"/>
      <c r="BI15" s="1041"/>
      <c r="BJ15" s="1040"/>
      <c r="BK15" s="673"/>
      <c r="BL15" s="673"/>
      <c r="BM15" s="673"/>
      <c r="BN15" s="673"/>
      <c r="BO15" s="673"/>
      <c r="BP15" s="673"/>
    </row>
    <row r="16" spans="1:68" s="1039" customFormat="1">
      <c r="A16" s="1042"/>
      <c r="B16" s="1042"/>
      <c r="C16" s="1042"/>
      <c r="D16" s="1042"/>
      <c r="E16" s="1042"/>
      <c r="F16" s="1042"/>
      <c r="G16" s="1042"/>
      <c r="H16" s="1042"/>
      <c r="I16" s="1042"/>
      <c r="J16" s="1042"/>
      <c r="K16" s="1042"/>
      <c r="L16" s="1042"/>
      <c r="M16" s="1042"/>
      <c r="N16" s="1014" t="s">
        <v>381</v>
      </c>
      <c r="O16" s="765"/>
      <c r="P16" s="765"/>
      <c r="Q16" s="1043"/>
      <c r="R16" s="1034"/>
      <c r="S16" s="1044"/>
      <c r="T16" s="1044"/>
      <c r="U16" s="1044"/>
      <c r="V16" s="1044"/>
      <c r="W16" s="1044"/>
      <c r="X16" s="1044"/>
      <c r="Y16" s="1044"/>
      <c r="Z16" s="1034"/>
      <c r="AA16" s="1035"/>
      <c r="AB16" s="1036"/>
      <c r="AC16" s="1037"/>
      <c r="AD16" s="1037"/>
      <c r="AE16" s="773"/>
      <c r="AF16" s="773"/>
      <c r="AG16" s="1036"/>
      <c r="AH16" s="1036"/>
      <c r="AI16" s="1036"/>
      <c r="AJ16" s="1036"/>
      <c r="AK16" s="1036"/>
      <c r="AL16" s="1036"/>
      <c r="AM16" s="1038"/>
      <c r="AO16" s="1036"/>
      <c r="AP16" s="1040"/>
      <c r="AQ16" s="1036"/>
      <c r="AR16" s="1040"/>
      <c r="AS16" s="1040"/>
      <c r="AT16" s="1040"/>
      <c r="AU16" s="1040"/>
      <c r="AV16" s="1040"/>
      <c r="AW16" s="1040"/>
      <c r="AX16" s="1040"/>
      <c r="AY16" s="1041"/>
      <c r="AZ16" s="1040"/>
      <c r="BA16" s="1040"/>
      <c r="BB16" s="1040"/>
      <c r="BC16" s="1040"/>
      <c r="BD16" s="1040"/>
      <c r="BE16" s="1040"/>
      <c r="BF16" s="1040"/>
      <c r="BG16" s="1041"/>
      <c r="BH16" s="1041"/>
      <c r="BI16" s="1041"/>
      <c r="BJ16" s="1040"/>
      <c r="BK16" s="673"/>
      <c r="BL16" s="673"/>
      <c r="BM16" s="673"/>
      <c r="BN16" s="673"/>
      <c r="BO16" s="673"/>
      <c r="BP16" s="673"/>
    </row>
    <row r="17" spans="1:68">
      <c r="A17" s="1045"/>
      <c r="B17" s="1045">
        <f>SUM(AL9:AL17)</f>
        <v>0</v>
      </c>
      <c r="C17" s="1046">
        <f>SUM(AP9:AP17)</f>
        <v>0</v>
      </c>
      <c r="D17" s="1045">
        <f>SUM(AN9:AN17)</f>
        <v>0</v>
      </c>
      <c r="E17" s="1046">
        <f>SUM(AR9:AR17)</f>
        <v>0</v>
      </c>
      <c r="F17" s="1046">
        <f>SUM(BH9:BH17,BJ9:BJ17,BF9:BF17)</f>
        <v>0</v>
      </c>
      <c r="G17" s="1046"/>
      <c r="H17" s="1046">
        <f>SUM(AT9:AT17)+SUM(AU9:AU17)</f>
        <v>0</v>
      </c>
      <c r="I17" s="1046">
        <f>SUM(AW9:AW17)+SUM(AS9:AS17)</f>
        <v>0</v>
      </c>
      <c r="J17" s="1046"/>
      <c r="K17" s="1046">
        <f>SUM(BA9:BA17)+SUM(BC9:BC17)+SUM(BE9:BE17)+SUM(AY9:AY17)</f>
        <v>0</v>
      </c>
      <c r="M17" s="1046"/>
      <c r="N17" s="707" t="s">
        <v>152</v>
      </c>
      <c r="O17" s="765"/>
      <c r="P17" s="765"/>
      <c r="Q17" s="1047" t="str">
        <f>"Subtotal of Costs for "&amp;Q9</f>
        <v>Subtotal of Costs for Element</v>
      </c>
      <c r="S17" s="808"/>
      <c r="T17" s="808"/>
      <c r="U17" s="808"/>
      <c r="V17" s="808"/>
      <c r="W17" s="808"/>
      <c r="X17" s="808"/>
      <c r="Y17" s="808"/>
      <c r="Z17" s="1048">
        <f>SUM(AB10:AB17)</f>
        <v>0</v>
      </c>
      <c r="AA17" s="1048"/>
      <c r="AB17" s="808"/>
      <c r="AC17" s="1049">
        <v>0</v>
      </c>
      <c r="AD17" s="1045">
        <f>+Z17*AC17</f>
        <v>0</v>
      </c>
      <c r="AE17" s="773"/>
      <c r="AF17" s="773"/>
      <c r="AG17" s="808"/>
      <c r="AH17" s="808"/>
      <c r="AI17" s="808"/>
      <c r="AJ17" s="808"/>
      <c r="AK17" s="808"/>
      <c r="AL17" s="808"/>
      <c r="AM17" s="1050"/>
      <c r="AO17" s="1051"/>
      <c r="AQ17" s="1051"/>
    </row>
    <row r="18" spans="1:68">
      <c r="C18" s="1008"/>
      <c r="E18" s="1008"/>
      <c r="F18" s="1008"/>
      <c r="G18" s="1008"/>
      <c r="H18" s="1008"/>
      <c r="I18" s="1008"/>
      <c r="J18" s="1008"/>
      <c r="K18" s="1008"/>
      <c r="L18" s="1008"/>
      <c r="M18" s="1008"/>
      <c r="N18" s="765"/>
      <c r="O18" s="765"/>
      <c r="P18" s="765"/>
      <c r="Q18" s="1009" t="s">
        <v>101</v>
      </c>
      <c r="S18" s="806"/>
      <c r="T18" s="807"/>
      <c r="U18" s="807"/>
      <c r="V18" s="807"/>
      <c r="W18" s="807"/>
      <c r="X18" s="807"/>
      <c r="Y18" s="807"/>
      <c r="Z18" s="1010"/>
      <c r="AA18" s="812"/>
      <c r="AB18" s="808"/>
      <c r="AC18" s="1011"/>
      <c r="AD18" s="808"/>
      <c r="AE18" s="773"/>
      <c r="AF18" s="773"/>
      <c r="AM18" s="1052"/>
      <c r="AN18" s="808"/>
      <c r="AO18" s="808"/>
      <c r="AP18" s="673"/>
      <c r="AQ18" s="808"/>
      <c r="AR18" s="673"/>
      <c r="AS18" s="673"/>
      <c r="AT18" s="673"/>
      <c r="AU18" s="673"/>
      <c r="AV18" s="673"/>
      <c r="AW18" s="673"/>
      <c r="AX18" s="673"/>
      <c r="AY18" s="661"/>
      <c r="AZ18" s="673"/>
      <c r="BA18" s="673"/>
      <c r="BB18" s="673"/>
      <c r="BC18" s="673"/>
      <c r="BD18" s="673"/>
      <c r="BE18" s="673"/>
      <c r="BF18" s="673"/>
      <c r="BG18" s="661"/>
      <c r="BH18" s="661"/>
      <c r="BI18" s="661"/>
      <c r="BJ18" s="673"/>
      <c r="BK18" s="673"/>
      <c r="BL18" s="673"/>
      <c r="BM18" s="673"/>
      <c r="BN18" s="673"/>
      <c r="BO18" s="673"/>
      <c r="BP18" s="673"/>
    </row>
    <row r="19" spans="1:68">
      <c r="A19" s="1045"/>
      <c r="B19" s="1045">
        <f>SUM(AL18:AL19)</f>
        <v>0</v>
      </c>
      <c r="C19" s="1046">
        <f>SUM(AP18:AP19)</f>
        <v>0</v>
      </c>
      <c r="D19" s="1045">
        <f>SUM(AN18:AN19)</f>
        <v>0</v>
      </c>
      <c r="E19" s="1046">
        <f>SUM(AR18:AR19)</f>
        <v>0</v>
      </c>
      <c r="F19" s="1046">
        <f>SUM(BH18:BH19, BJ18:BJ19,BF18:BF19)</f>
        <v>0</v>
      </c>
      <c r="G19" s="1046"/>
      <c r="H19" s="1046">
        <f>SUM(AT18:AT19)+SUM(AU18:AU19)</f>
        <v>0</v>
      </c>
      <c r="I19" s="1046">
        <f>SUM(AW18:AW19)+SUM(AS18:AS19)</f>
        <v>0</v>
      </c>
      <c r="J19" s="1046"/>
      <c r="K19" s="1046">
        <f>SUM(BA18:BA19)+SUM(BC18:BC19)+SUM(BE18:BE19)+SUM(AY18:AY19)</f>
        <v>0</v>
      </c>
      <c r="M19" s="1046"/>
      <c r="N19" s="765" t="s">
        <v>152</v>
      </c>
      <c r="O19" s="765"/>
      <c r="P19" s="765"/>
      <c r="Q19" s="1047" t="str">
        <f>"Subtotal of Costs for "&amp;Q18</f>
        <v>Subtotal of Costs for Element</v>
      </c>
      <c r="S19" s="808"/>
      <c r="T19" s="808"/>
      <c r="U19" s="808"/>
      <c r="V19" s="808"/>
      <c r="W19" s="808"/>
      <c r="X19" s="808"/>
      <c r="Y19" s="808"/>
      <c r="Z19" s="1048">
        <f>SUM(AB18:AB19)</f>
        <v>0</v>
      </c>
      <c r="AA19" s="1048"/>
      <c r="AB19" s="808"/>
      <c r="AC19" s="1049">
        <v>0</v>
      </c>
      <c r="AD19" s="1045">
        <f>+Z19*AC19</f>
        <v>0</v>
      </c>
      <c r="AE19" s="773"/>
      <c r="AF19" s="773"/>
      <c r="AM19" s="1053"/>
      <c r="AN19" s="1051"/>
      <c r="AO19" s="1051"/>
      <c r="AQ19" s="1051"/>
      <c r="BB19" s="673"/>
      <c r="BC19" s="673"/>
    </row>
    <row r="20" spans="1:68" ht="16.2" thickBot="1">
      <c r="C20" s="1008"/>
      <c r="E20" s="1008"/>
      <c r="F20" s="1008"/>
      <c r="G20" s="1008"/>
      <c r="H20" s="1008"/>
      <c r="I20" s="1008"/>
      <c r="J20" s="1008"/>
      <c r="K20" s="1008"/>
      <c r="L20" s="1008"/>
      <c r="M20" s="1008"/>
      <c r="N20" s="765" t="s">
        <v>152</v>
      </c>
      <c r="O20" s="765"/>
      <c r="P20" s="765"/>
      <c r="Q20" s="1009" t="s">
        <v>102</v>
      </c>
      <c r="S20" s="808"/>
      <c r="T20" s="808"/>
      <c r="U20" s="808"/>
      <c r="V20" s="808"/>
      <c r="W20" s="808"/>
      <c r="X20" s="808"/>
      <c r="Y20" s="808"/>
      <c r="Z20" s="808"/>
      <c r="AA20" s="808"/>
      <c r="AB20" s="808"/>
      <c r="AC20" s="1011"/>
      <c r="AD20" s="1011"/>
      <c r="AE20" s="773"/>
      <c r="AF20" s="773"/>
      <c r="AG20" s="808"/>
      <c r="AH20" s="808"/>
      <c r="AI20" s="808"/>
      <c r="AJ20" s="808"/>
      <c r="AK20" s="808"/>
      <c r="AL20" s="808"/>
      <c r="AM20" s="1012"/>
      <c r="AO20" s="808"/>
      <c r="AQ20" s="808"/>
    </row>
    <row r="21" spans="1:68" ht="16.2" thickTop="1">
      <c r="A21" s="1054"/>
      <c r="B21" s="1055"/>
      <c r="C21" s="1056"/>
      <c r="D21" s="1057"/>
      <c r="E21" s="1058"/>
      <c r="F21" s="1059"/>
      <c r="G21" s="1059"/>
      <c r="H21" s="1060"/>
      <c r="I21" s="1061"/>
      <c r="J21" s="1061"/>
      <c r="K21" s="1062"/>
      <c r="L21" s="1063"/>
      <c r="M21" s="1063"/>
      <c r="N21" s="1064" t="s">
        <v>152</v>
      </c>
      <c r="O21" s="1065"/>
      <c r="P21" s="1065"/>
      <c r="Q21" s="1065"/>
      <c r="R21" s="1065"/>
      <c r="S21" s="829"/>
      <c r="T21" s="829"/>
      <c r="U21" s="829"/>
      <c r="V21" s="829"/>
      <c r="W21" s="829"/>
      <c r="X21" s="829"/>
      <c r="Y21" s="829"/>
      <c r="Z21" s="1065"/>
      <c r="AA21" s="1065"/>
      <c r="AB21" s="1065"/>
      <c r="AC21" s="1065"/>
      <c r="AD21" s="1065"/>
      <c r="AE21" s="1066"/>
      <c r="AF21" s="1066"/>
      <c r="AG21" s="1067"/>
      <c r="AH21" s="1068"/>
      <c r="AI21" s="1069"/>
      <c r="AJ21" s="1070"/>
      <c r="AK21" s="1071"/>
      <c r="AL21" s="1072"/>
      <c r="AM21" s="1073"/>
      <c r="AN21" s="1074"/>
      <c r="AO21" s="1075"/>
      <c r="AP21" s="1076"/>
      <c r="AQ21" s="829"/>
      <c r="AR21" s="1077"/>
      <c r="AS21" s="831"/>
      <c r="AT21" s="831"/>
      <c r="AU21" s="831"/>
      <c r="AV21" s="831"/>
      <c r="AW21" s="831"/>
      <c r="AX21" s="831"/>
      <c r="AY21" s="833"/>
      <c r="AZ21" s="833"/>
      <c r="BA21" s="833"/>
      <c r="BB21" s="833"/>
      <c r="BC21" s="833"/>
      <c r="BD21" s="1078"/>
      <c r="BE21" s="1078"/>
      <c r="BF21" s="835"/>
      <c r="BG21" s="835"/>
      <c r="BH21" s="835"/>
      <c r="BI21" s="1078"/>
      <c r="BJ21" s="1078"/>
      <c r="BK21" s="830"/>
      <c r="BL21" s="831"/>
      <c r="BM21" s="832"/>
      <c r="BN21" s="833"/>
      <c r="BO21" s="834"/>
      <c r="BP21" s="835"/>
    </row>
    <row r="22" spans="1:68">
      <c r="A22" s="1079"/>
      <c r="B22" s="1080">
        <f>+AL22</f>
        <v>0</v>
      </c>
      <c r="C22" s="1080">
        <f>+AP22</f>
        <v>0</v>
      </c>
      <c r="D22" s="1081">
        <f>+AN22</f>
        <v>0</v>
      </c>
      <c r="E22" s="1082">
        <f>+AR22</f>
        <v>0</v>
      </c>
      <c r="F22" s="856">
        <f>+BH22+BJ22+BF22</f>
        <v>0</v>
      </c>
      <c r="G22" s="856"/>
      <c r="H22" s="851">
        <f>+AT22+AU22</f>
        <v>0</v>
      </c>
      <c r="I22" s="852">
        <f>+AW22+AS22</f>
        <v>0</v>
      </c>
      <c r="J22" s="852"/>
      <c r="K22" s="853">
        <f>+BA22+BC22+BE22+AY22</f>
        <v>0</v>
      </c>
      <c r="L22" s="979"/>
      <c r="M22" s="1083"/>
      <c r="N22" s="707" t="s">
        <v>152</v>
      </c>
      <c r="O22" s="983" t="s">
        <v>68</v>
      </c>
      <c r="P22" s="983"/>
      <c r="Q22" s="738"/>
      <c r="R22" s="738"/>
      <c r="S22" s="681"/>
      <c r="T22" s="681"/>
      <c r="U22" s="681"/>
      <c r="V22" s="681"/>
      <c r="W22" s="681"/>
      <c r="X22" s="681"/>
      <c r="Y22" s="681"/>
      <c r="Z22" s="738"/>
      <c r="AA22" s="738"/>
      <c r="AB22" s="1084">
        <f>SUM(AB8:AB21)</f>
        <v>0</v>
      </c>
      <c r="AC22" s="1085"/>
      <c r="AD22" s="1084">
        <f>SUM(AD8:AD21)</f>
        <v>0</v>
      </c>
      <c r="AE22" s="977"/>
      <c r="AF22" s="977"/>
      <c r="AG22" s="1080">
        <f t="shared" ref="AG22:AL22" si="1">SUM(AG8:AG21)</f>
        <v>0</v>
      </c>
      <c r="AH22" s="1082">
        <f t="shared" si="1"/>
        <v>0</v>
      </c>
      <c r="AI22" s="852">
        <f t="shared" si="1"/>
        <v>0</v>
      </c>
      <c r="AJ22" s="854">
        <f t="shared" si="1"/>
        <v>0</v>
      </c>
      <c r="AK22" s="856">
        <f t="shared" si="1"/>
        <v>0</v>
      </c>
      <c r="AL22" s="1081">
        <f t="shared" si="1"/>
        <v>0</v>
      </c>
      <c r="AM22" s="1086"/>
      <c r="AN22" s="1081">
        <f>SUM(AN8:AN21)</f>
        <v>0</v>
      </c>
      <c r="AO22" s="1087"/>
      <c r="AP22" s="1080">
        <f>SUM(AP8:AP21)</f>
        <v>0</v>
      </c>
      <c r="AQ22" s="1088"/>
      <c r="AR22" s="1082">
        <f>SUM(AR8:AR21)</f>
        <v>0</v>
      </c>
      <c r="AS22" s="852">
        <f>SUM(AS8:AS21)</f>
        <v>0</v>
      </c>
      <c r="AT22" s="852">
        <f>SUM(AT8:AT21)</f>
        <v>0</v>
      </c>
      <c r="AU22" s="852">
        <f>SUM(AU8:AU21)</f>
        <v>0</v>
      </c>
      <c r="AV22" s="852"/>
      <c r="AW22" s="852">
        <f>SUM(AW8:AW21)</f>
        <v>0</v>
      </c>
      <c r="AX22" s="852"/>
      <c r="AY22" s="854">
        <f>SUM(AY8:AY21)</f>
        <v>0</v>
      </c>
      <c r="AZ22" s="854"/>
      <c r="BA22" s="854">
        <f>SUM(BA8:BA21)</f>
        <v>0</v>
      </c>
      <c r="BB22" s="854"/>
      <c r="BC22" s="854">
        <f>SUM(BC8:BC21)</f>
        <v>0</v>
      </c>
      <c r="BD22" s="1081"/>
      <c r="BE22" s="1081">
        <f>SUM(BE8:BE21)</f>
        <v>0</v>
      </c>
      <c r="BF22" s="856">
        <f>SUM(BF8:BF21)</f>
        <v>0</v>
      </c>
      <c r="BG22" s="856"/>
      <c r="BH22" s="856">
        <f>SUM(BH8:BH21)</f>
        <v>0</v>
      </c>
      <c r="BI22" s="1081"/>
      <c r="BJ22" s="1081">
        <f>SUM(BJ8:BJ21)</f>
        <v>0</v>
      </c>
      <c r="BK22" s="851">
        <f t="shared" ref="BK22:BP22" si="2">SUM(BK8:BK21)</f>
        <v>0</v>
      </c>
      <c r="BL22" s="852">
        <f t="shared" si="2"/>
        <v>0</v>
      </c>
      <c r="BM22" s="853">
        <f t="shared" si="2"/>
        <v>0</v>
      </c>
      <c r="BN22" s="854">
        <f t="shared" si="2"/>
        <v>0</v>
      </c>
      <c r="BO22" s="855">
        <f t="shared" si="2"/>
        <v>0</v>
      </c>
      <c r="BP22" s="856">
        <f t="shared" si="2"/>
        <v>0</v>
      </c>
    </row>
    <row r="23" spans="1:68">
      <c r="A23" s="707"/>
      <c r="B23" s="1089"/>
      <c r="C23" s="1090"/>
      <c r="D23" s="1091"/>
      <c r="E23" s="1092"/>
      <c r="F23" s="1093"/>
      <c r="G23" s="1093"/>
      <c r="H23" s="1094"/>
      <c r="I23" s="1095"/>
      <c r="J23" s="1095"/>
      <c r="K23" s="1096"/>
      <c r="L23" s="1097"/>
      <c r="M23" s="1097"/>
      <c r="N23" s="707" t="s">
        <v>152</v>
      </c>
      <c r="O23" s="1098"/>
      <c r="P23" s="1098"/>
      <c r="Q23" s="1098"/>
      <c r="R23" s="1098"/>
      <c r="S23" s="874"/>
      <c r="T23" s="874"/>
      <c r="U23" s="874"/>
      <c r="V23" s="874"/>
      <c r="W23" s="874"/>
      <c r="X23" s="874"/>
      <c r="Y23" s="874"/>
      <c r="Z23" s="1098"/>
      <c r="AA23" s="1098"/>
      <c r="AB23" s="1098"/>
      <c r="AC23" s="1098"/>
      <c r="AD23" s="1098"/>
      <c r="AE23" s="989"/>
      <c r="AF23" s="989"/>
      <c r="AG23" s="1099"/>
      <c r="AH23" s="874"/>
      <c r="AI23" s="1100"/>
      <c r="AJ23" s="1101"/>
      <c r="AK23" s="1102"/>
      <c r="AL23" s="1103"/>
      <c r="AM23" s="1104"/>
      <c r="AN23" s="1103"/>
      <c r="AO23" s="1099"/>
      <c r="AP23" s="1105"/>
      <c r="AQ23" s="874"/>
      <c r="AR23" s="1106"/>
      <c r="AS23" s="876"/>
      <c r="AT23" s="876"/>
      <c r="AU23" s="876"/>
      <c r="AV23" s="876"/>
      <c r="AW23" s="876"/>
      <c r="AX23" s="876"/>
      <c r="AY23" s="878"/>
      <c r="AZ23" s="878"/>
      <c r="BA23" s="878"/>
      <c r="BB23" s="878"/>
      <c r="BC23" s="878"/>
      <c r="BD23" s="1107"/>
      <c r="BE23" s="1107"/>
      <c r="BF23" s="880"/>
      <c r="BG23" s="880"/>
      <c r="BH23" s="880"/>
      <c r="BI23" s="1107"/>
      <c r="BJ23" s="1107"/>
      <c r="BK23" s="1108"/>
      <c r="BL23" s="1109"/>
      <c r="BM23" s="666"/>
      <c r="BN23" s="979"/>
      <c r="BO23" s="1110"/>
      <c r="BP23" s="981"/>
    </row>
    <row r="24" spans="1:68">
      <c r="AD24" s="808"/>
      <c r="AG24" s="808"/>
      <c r="AH24" s="808"/>
      <c r="AK24" s="808"/>
      <c r="BB24" s="772"/>
    </row>
    <row r="25" spans="1:68">
      <c r="AD25" s="772"/>
      <c r="AG25" s="808"/>
      <c r="AH25" s="808"/>
      <c r="AI25" s="808"/>
      <c r="AK25" s="808"/>
      <c r="BG25" s="808"/>
      <c r="BK25" s="808"/>
      <c r="BL25" s="808"/>
    </row>
    <row r="26" spans="1:68">
      <c r="BB26" s="808"/>
      <c r="BE26" s="808"/>
    </row>
  </sheetData>
  <autoFilter ref="N1:N23" xr:uid="{00000000-0009-0000-0000-000009000000}"/>
  <mergeCells count="16">
    <mergeCell ref="Z19:AA19"/>
    <mergeCell ref="W6:W7"/>
    <mergeCell ref="X6:X7"/>
    <mergeCell ref="Y6:Y7"/>
    <mergeCell ref="BK5:BL5"/>
    <mergeCell ref="BF6:BJ6"/>
    <mergeCell ref="AQ6:AR6"/>
    <mergeCell ref="AY6:BE6"/>
    <mergeCell ref="AS6:AX6"/>
    <mergeCell ref="Z17:AA17"/>
    <mergeCell ref="AO6:AP6"/>
    <mergeCell ref="B6:C6"/>
    <mergeCell ref="BO5:BP5"/>
    <mergeCell ref="S5:Y5"/>
    <mergeCell ref="BM5:BN5"/>
    <mergeCell ref="AG5:AL5"/>
  </mergeCells>
  <phoneticPr fontId="3" type="noConversion"/>
  <dataValidations count="11">
    <dataValidation type="custom" allowBlank="1" showInputMessage="1" showErrorMessage="1" error="Data entry in this cell is denied." sqref="BF7:BI7 M22 I22:K22 AQ7 AS7:AY7 BG24:BJ25 BE25:BE27 AG1:AH1 AG24:AH25 AD24:AD26 AA2 AK24:AK25 AL6 BK5:BK6 BM5:BM6 BO5:BO6 F4 I4 BB24:BB27 L1 D6:D7 L4 H16:H17 BP5:BP9 AD17 G17 BO8:BO9 N1:N9 I17:K17 M17 N11:N23 Z17:AB17 M19 AD19 Z19:AB19 G19:K19 H20:H23 BK11:BP65538 A17 A19 D19:E19 A1:E1 D17:E17 D22:G22 A22 BK8:BK9 BL5:BL9 BM8:BM9 BN5:BN9 A4:A5 K15" xr:uid="{00000000-0002-0000-0900-000000000000}">
      <formula1>"&lt;&gt;ActiveCell"</formula1>
    </dataValidation>
    <dataValidation allowBlank="1" showInputMessage="1" showErrorMessage="1" sqref="AM6:AM7 BB7:BC7 AI24:AI25 Q4 BK1:BP4 BK7 BM7 BO7 J4:K4 M4 L3 G4:H4 F3 G6:M7 BJ9 AC17 AB9 AO1:AP9 AE1:AF9 A3 AE11:AF1048576 F17 AC19 F19 AO11:AP1048576 AG6 B6:B23 C7:C23 A10 D10:XFD10 X12:X15" xr:uid="{00000000-0002-0000-0900-000001000000}"/>
    <dataValidation type="custom" allowBlank="1" showInputMessage="1" showErrorMessage="1" error="Formula in cell. Access denied" sqref="AZ7:BA7 AQ1:AQ6 AM22 AW22 AU22 AR7 AY6 AR1:BJ5 AS6 BF6 BD7:BE7 AD22 AI1:AL4 AA3:AA7 AA1 AB8 Z20:AB22 AB1:AD7 Q5:Q7 Q1:Q3 R1:R7 Z1:Z7 I23:M23 S1:Y4 I20:M21 G5:M5 E5:F7 B4:E4 F1:K2 O1:P7 AL7:AL9 Z8:AA9 AG11:AL17 AQ11:BJ17 BJ7:BJ8 O17:Q17 X9:Y9 Z11:AB16 D20:G21 BD18:BJ19 X18:AB18 AD18 AU20:AW21 AX20:BJ22 AG20:AL22 X19:Y22 O19:Q23 AH6:AK9 X16:Y17 AG7:AG9 AG2:AG5 AH2:AH4 AQ20:AT22 AQ18:BA19 AM1:AN5 AM18:AN19 AN20:AN22 AN11:AN17 AQ8:BI9 D23:G23 A2:E2 X11 B5:D5 A23 A20:A21 A6:A7" xr:uid="{00000000-0002-0000-0900-000002000000}">
      <formula1>"&lt;&gt;A1:D2,A3:B4,A5:E7,G1:AM7,X8:AM20,Q8:V20,A17:I21"</formula1>
    </dataValidation>
    <dataValidation type="custom" allowBlank="1" showInputMessage="1" showErrorMessage="1" error="Formula in cell. Access denied." sqref="AN8:AN9" xr:uid="{00000000-0002-0000-0900-000003000000}">
      <formula1>"&lt;&gt;A1:D2,A3:B4,A5:E7,G1:AM7,X8:AM20,Q8:V20"</formula1>
    </dataValidation>
    <dataValidation type="custom" allowBlank="1" showInputMessage="1" showErrorMessage="1" error="Formula in cell. Data input denied." sqref="M3 G3:K3 B3:E3 AN6:AN7" xr:uid="{00000000-0002-0000-0900-000004000000}">
      <formula1>"&lt;&gt;=A1:D2,A3:B4,C4:E4,A5:E7,F2:AH8,R9:V222,X9:AH222"</formula1>
    </dataValidation>
    <dataValidation type="custom" allowBlank="1" showInputMessage="1" showErrorMessage="1" error="Data entry not permitted in this cell" sqref="S11:V11" xr:uid="{00000000-0002-0000-0900-000005000000}">
      <formula1>"&lt;&gt;K10:P11"</formula1>
    </dataValidation>
    <dataValidation allowBlank="1" showInputMessage="1" showErrorMessage="1" error="Data entry not permitted in this cell" sqref="Y12:Y15 W11" xr:uid="{00000000-0002-0000-0900-000006000000}"/>
    <dataValidation allowBlank="1" showInputMessage="1" showErrorMessage="1" error="Formula in cell. Access denied" sqref="Y11" xr:uid="{00000000-0002-0000-0900-000008000000}"/>
    <dataValidation type="custom" allowBlank="1" showInputMessage="1" showErrorMessage="1" error="Formula in cell. Access denied" sqref="W6:W7" xr:uid="{00000000-0002-0000-0900-000009000000}">
      <formula1>"&lt;&gt;O6"</formula1>
    </dataValidation>
    <dataValidation type="custom" allowBlank="1" showInputMessage="1" showErrorMessage="1" error="Data entry not permitted in this cell" sqref="R11:R16" xr:uid="{00000000-0002-0000-0900-00000A000000}">
      <formula1>"&lt;&gt;J11:J15"</formula1>
    </dataValidation>
    <dataValidation type="custom" allowBlank="1" showInputMessage="1" showErrorMessage="1" error="Data entry not permitted in this cell" sqref="O11:Q16 D11:G16 H11:H15 A11:A16 I11:J16 L11:M16 K11:K14 K16" xr:uid="{00000000-0002-0000-0900-00000B000000}">
      <formula1>"&lt;&gt;A11:I16"</formula1>
    </dataValidation>
  </dataValidations>
  <pageMargins left="0.75" right="0.75" top="1" bottom="1" header="0.5" footer="0.5"/>
  <pageSetup paperSize="9" scale="62" fitToHeight="14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3"/>
  <dimension ref="A1:BP21"/>
  <sheetViews>
    <sheetView zoomScale="75" workbookViewId="0">
      <pane ySplit="7" topLeftCell="A8" activePane="bottomLeft" state="frozen"/>
      <selection pane="bottomLeft"/>
    </sheetView>
  </sheetViews>
  <sheetFormatPr defaultColWidth="9.7265625" defaultRowHeight="15.6"/>
  <cols>
    <col min="1" max="6" width="10.7265625" style="775" customWidth="1"/>
    <col min="7" max="7" width="5.81640625" style="775" bestFit="1" customWidth="1"/>
    <col min="8" max="8" width="10.7265625" style="775" bestFit="1" customWidth="1"/>
    <col min="9" max="9" width="10.7265625" style="775" customWidth="1"/>
    <col min="10" max="10" width="5.81640625" style="775" bestFit="1" customWidth="1"/>
    <col min="11" max="11" width="10.1796875" style="775" bestFit="1" customWidth="1"/>
    <col min="12" max="12" width="10.7265625" style="775" customWidth="1"/>
    <col min="13" max="13" width="5.81640625" style="775" bestFit="1" customWidth="1"/>
    <col min="14" max="14" width="1.7265625" style="775" customWidth="1"/>
    <col min="15" max="16" width="5" style="775" customWidth="1"/>
    <col min="17" max="17" width="40.7265625" style="775" customWidth="1"/>
    <col min="18" max="18" width="5.7265625" style="775" customWidth="1"/>
    <col min="19" max="23" width="10.7265625" style="775" customWidth="1"/>
    <col min="24" max="24" width="6.54296875" style="1000" customWidth="1"/>
    <col min="25" max="25" width="7.26953125" style="1000" bestFit="1" customWidth="1"/>
    <col min="26" max="26" width="18.08984375" style="775" customWidth="1"/>
    <col min="27" max="30" width="10.7265625" style="775" customWidth="1"/>
    <col min="31" max="31" width="8.81640625" style="480" customWidth="1"/>
    <col min="32" max="33" width="12.7265625" style="775" customWidth="1"/>
    <col min="34" max="49" width="10.7265625" style="775" customWidth="1"/>
    <col min="50" max="50" width="11.54296875" style="775" customWidth="1"/>
    <col min="51" max="54" width="10.7265625" style="775" customWidth="1"/>
    <col min="55" max="55" width="7.453125" style="775" customWidth="1"/>
    <col min="56" max="61" width="12.7265625" style="775" customWidth="1"/>
    <col min="62" max="63" width="9.7265625" style="775" customWidth="1"/>
    <col min="64" max="68" width="8.81640625" style="480" customWidth="1"/>
    <col min="69" max="16384" width="9.7265625" style="775"/>
  </cols>
  <sheetData>
    <row r="1" spans="1:68">
      <c r="A1" s="976" t="str">
        <f>SUMRY!K$1</f>
        <v>QUOTE NO:</v>
      </c>
      <c r="B1" s="707"/>
      <c r="C1" s="707"/>
      <c r="D1" s="707"/>
      <c r="E1" s="707"/>
      <c r="F1" s="707"/>
      <c r="G1" s="707"/>
      <c r="H1" s="707"/>
      <c r="I1" s="707" t="s">
        <v>52</v>
      </c>
      <c r="J1" s="707"/>
      <c r="K1" s="707"/>
      <c r="L1" s="976" t="str">
        <f>SUMRY!I$1</f>
        <v>AMALGAMATED BUILDERS LTD</v>
      </c>
      <c r="M1" s="976"/>
      <c r="N1" s="707" t="s">
        <v>152</v>
      </c>
      <c r="O1" s="695"/>
      <c r="P1" s="695"/>
      <c r="Q1" s="695"/>
      <c r="R1" s="695"/>
      <c r="S1" s="695"/>
      <c r="T1" s="695"/>
      <c r="U1" s="695"/>
      <c r="V1" s="738"/>
      <c r="W1" s="738"/>
      <c r="X1" s="977"/>
      <c r="Y1" s="977"/>
      <c r="Z1" s="978" t="s">
        <v>117</v>
      </c>
      <c r="AA1" s="978"/>
      <c r="AB1" s="979"/>
      <c r="AC1" s="979"/>
      <c r="AD1" s="979"/>
      <c r="AE1" s="979"/>
      <c r="AF1" s="1111"/>
      <c r="AG1" s="1111"/>
      <c r="AH1" s="1111"/>
      <c r="AI1" s="1112"/>
      <c r="AJ1" s="1111"/>
      <c r="AK1" s="1112"/>
      <c r="AL1" s="1113"/>
      <c r="AM1" s="1112"/>
      <c r="AN1" s="1112"/>
      <c r="AO1" s="1112"/>
      <c r="AP1" s="1112"/>
      <c r="AQ1" s="1112"/>
      <c r="AR1" s="1113"/>
      <c r="AS1" s="1113"/>
      <c r="AT1" s="1113"/>
      <c r="AU1" s="1113"/>
      <c r="AV1" s="1113"/>
      <c r="AW1" s="1113"/>
      <c r="AX1" s="1113"/>
      <c r="AY1" s="1113"/>
      <c r="AZ1" s="1113"/>
      <c r="BA1" s="1113"/>
      <c r="BB1" s="1113"/>
      <c r="BC1" s="1113"/>
      <c r="BD1" s="980" t="s">
        <v>149</v>
      </c>
      <c r="BE1" s="981"/>
      <c r="BF1" s="981"/>
      <c r="BG1" s="981"/>
      <c r="BH1" s="981"/>
      <c r="BI1" s="981"/>
      <c r="BJ1" s="1114"/>
      <c r="BK1" s="1114"/>
      <c r="BL1" s="1115"/>
      <c r="BM1" s="1115"/>
      <c r="BN1" s="1115"/>
      <c r="BO1" s="1115"/>
      <c r="BP1" s="1115"/>
    </row>
    <row r="2" spans="1:68">
      <c r="A2" s="662" t="s">
        <v>53</v>
      </c>
      <c r="B2" s="674"/>
      <c r="C2" s="674"/>
      <c r="D2" s="674"/>
      <c r="E2" s="674"/>
      <c r="F2" s="674"/>
      <c r="G2" s="674"/>
      <c r="H2" s="674"/>
      <c r="I2" s="674"/>
      <c r="J2" s="674"/>
      <c r="K2" s="674"/>
      <c r="L2" s="982">
        <v>2.5000000000000001E-2</v>
      </c>
      <c r="M2" s="982"/>
      <c r="N2" s="707" t="s">
        <v>152</v>
      </c>
      <c r="O2" s="983" t="str">
        <f>SUMRY!I1</f>
        <v>AMALGAMATED BUILDERS LTD</v>
      </c>
      <c r="P2" s="983"/>
      <c r="Q2" s="738"/>
      <c r="R2" s="1116"/>
      <c r="S2" s="984"/>
      <c r="T2" s="678">
        <f>+SUMRY!B1</f>
        <v>0</v>
      </c>
      <c r="U2" s="984" t="str">
        <f>SUMRY!L1</f>
        <v>XXXX</v>
      </c>
      <c r="V2" s="738"/>
      <c r="W2" s="738"/>
      <c r="X2" s="977"/>
      <c r="Y2" s="977"/>
      <c r="Z2" s="979"/>
      <c r="AA2" s="979"/>
      <c r="AB2" s="979"/>
      <c r="AC2" s="979"/>
      <c r="AD2" s="979"/>
      <c r="AE2" s="979"/>
      <c r="AF2" s="1111"/>
      <c r="AG2" s="1111"/>
      <c r="AH2" s="1111"/>
      <c r="AI2" s="1113"/>
      <c r="AJ2" s="1111"/>
      <c r="AK2" s="1113"/>
      <c r="AL2" s="1113"/>
      <c r="AM2" s="1113"/>
      <c r="AN2" s="1113"/>
      <c r="AO2" s="1113"/>
      <c r="AP2" s="1113"/>
      <c r="AQ2" s="1113"/>
      <c r="AR2" s="1113"/>
      <c r="AS2" s="1113"/>
      <c r="AT2" s="1113"/>
      <c r="AU2" s="1113"/>
      <c r="AV2" s="1113"/>
      <c r="AW2" s="1113"/>
      <c r="AX2" s="1113"/>
      <c r="AY2" s="1113"/>
      <c r="AZ2" s="1113"/>
      <c r="BA2" s="1113"/>
      <c r="BB2" s="1113"/>
      <c r="BC2" s="1113"/>
      <c r="BD2" s="981"/>
      <c r="BE2" s="981"/>
      <c r="BF2" s="981"/>
      <c r="BG2" s="981"/>
      <c r="BH2" s="981"/>
      <c r="BI2" s="981"/>
      <c r="BJ2" s="1114"/>
      <c r="BK2" s="1114"/>
      <c r="BL2" s="1115"/>
      <c r="BM2" s="1115"/>
      <c r="BN2" s="1115"/>
      <c r="BO2" s="1115"/>
      <c r="BP2" s="1115"/>
    </row>
    <row r="3" spans="1:68">
      <c r="A3" s="674" t="s">
        <v>172</v>
      </c>
      <c r="B3" s="674"/>
      <c r="C3" s="674"/>
      <c r="D3" s="674"/>
      <c r="E3" s="674"/>
      <c r="F3" s="985">
        <v>1</v>
      </c>
      <c r="G3" s="674"/>
      <c r="H3" s="674"/>
      <c r="I3" s="674"/>
      <c r="J3" s="674"/>
      <c r="K3" s="674"/>
      <c r="L3" s="985">
        <v>1</v>
      </c>
      <c r="M3" s="674"/>
      <c r="N3" s="707" t="s">
        <v>152</v>
      </c>
      <c r="O3" s="983" t="str">
        <f>SUMRY!I2</f>
        <v>JOB NAME:</v>
      </c>
      <c r="P3" s="983"/>
      <c r="Q3" s="738" t="str">
        <f>SUMRY!J2</f>
        <v>Job Name</v>
      </c>
      <c r="R3" s="1116"/>
      <c r="S3" s="984"/>
      <c r="T3" s="984"/>
      <c r="U3" s="984"/>
      <c r="V3" s="738"/>
      <c r="W3" s="738"/>
      <c r="X3" s="977"/>
      <c r="Y3" s="977"/>
      <c r="Z3" s="979"/>
      <c r="AA3" s="979"/>
      <c r="AB3" s="979"/>
      <c r="AC3" s="979"/>
      <c r="AD3" s="979"/>
      <c r="AE3" s="979"/>
      <c r="AF3" s="1111"/>
      <c r="AG3" s="1111"/>
      <c r="AH3" s="1111"/>
      <c r="AI3" s="1113"/>
      <c r="AJ3" s="1111"/>
      <c r="AK3" s="1113"/>
      <c r="AL3" s="1113"/>
      <c r="AM3" s="1113"/>
      <c r="AN3" s="1113"/>
      <c r="AO3" s="1113"/>
      <c r="AP3" s="1113"/>
      <c r="AQ3" s="1113"/>
      <c r="AR3" s="1113"/>
      <c r="AS3" s="1113"/>
      <c r="AT3" s="1113"/>
      <c r="AU3" s="1113"/>
      <c r="AV3" s="1113"/>
      <c r="AW3" s="1113"/>
      <c r="AX3" s="1113"/>
      <c r="AY3" s="1113"/>
      <c r="AZ3" s="1113"/>
      <c r="BA3" s="1113"/>
      <c r="BB3" s="1113"/>
      <c r="BC3" s="1113"/>
      <c r="BD3" s="981"/>
      <c r="BE3" s="981"/>
      <c r="BF3" s="981"/>
      <c r="BG3" s="981"/>
      <c r="BH3" s="981"/>
      <c r="BI3" s="981"/>
      <c r="BJ3" s="1114"/>
      <c r="BK3" s="1114"/>
      <c r="BL3" s="1115"/>
      <c r="BM3" s="1115"/>
      <c r="BN3" s="1115"/>
      <c r="BO3" s="1115"/>
      <c r="BP3" s="1115"/>
    </row>
    <row r="4" spans="1:68">
      <c r="A4" s="687" t="s">
        <v>173</v>
      </c>
      <c r="B4" s="674"/>
      <c r="C4" s="674"/>
      <c r="D4" s="674"/>
      <c r="E4" s="674"/>
      <c r="F4" s="688">
        <f>SUMRY!F3</f>
        <v>0.1</v>
      </c>
      <c r="G4" s="689">
        <v>0.1</v>
      </c>
      <c r="H4" s="689"/>
      <c r="I4" s="687">
        <f>SUMRY!E3</f>
        <v>60</v>
      </c>
      <c r="J4" s="689">
        <v>0.1</v>
      </c>
      <c r="K4" s="689"/>
      <c r="L4" s="688">
        <f>SUMRY!F3</f>
        <v>0.1</v>
      </c>
      <c r="M4" s="689">
        <v>0.1</v>
      </c>
      <c r="N4" s="707" t="s">
        <v>152</v>
      </c>
      <c r="O4" s="983" t="s">
        <v>54</v>
      </c>
      <c r="P4" s="983"/>
      <c r="Q4" s="983">
        <f>SUMRY!J$1</f>
        <v>0</v>
      </c>
      <c r="R4" s="1116"/>
      <c r="S4" s="984"/>
      <c r="T4" s="986" t="s">
        <v>4</v>
      </c>
      <c r="U4" s="984" t="str">
        <f>SUMRY!L3</f>
        <v>00/00/0000</v>
      </c>
      <c r="V4" s="738"/>
      <c r="W4" s="738"/>
      <c r="X4" s="977"/>
      <c r="Y4" s="977"/>
      <c r="Z4" s="979"/>
      <c r="AA4" s="979"/>
      <c r="AB4" s="979"/>
      <c r="AC4" s="979"/>
      <c r="AD4" s="979"/>
      <c r="AE4" s="979"/>
      <c r="AF4" s="1111"/>
      <c r="AG4" s="1111"/>
      <c r="AH4" s="1111"/>
      <c r="AI4" s="1113"/>
      <c r="AJ4" s="1111"/>
      <c r="AK4" s="1113"/>
      <c r="AL4" s="1113"/>
      <c r="AM4" s="1113"/>
      <c r="AN4" s="1113"/>
      <c r="AO4" s="1113"/>
      <c r="AP4" s="1113"/>
      <c r="AQ4" s="1113"/>
      <c r="AR4" s="1113"/>
      <c r="AS4" s="1113"/>
      <c r="AT4" s="1113"/>
      <c r="AU4" s="1113"/>
      <c r="AV4" s="1113"/>
      <c r="AW4" s="1113"/>
      <c r="AX4" s="1113"/>
      <c r="AY4" s="1113"/>
      <c r="AZ4" s="1113"/>
      <c r="BA4" s="1113"/>
      <c r="BB4" s="1113"/>
      <c r="BC4" s="1113"/>
      <c r="BD4" s="710"/>
      <c r="BE4" s="710"/>
      <c r="BF4" s="710"/>
      <c r="BG4" s="710"/>
      <c r="BH4" s="710"/>
      <c r="BI4" s="710"/>
      <c r="BJ4" s="1114"/>
      <c r="BK4" s="1114"/>
      <c r="BL4" s="1115"/>
      <c r="BM4" s="1115"/>
      <c r="BN4" s="1115"/>
      <c r="BO4" s="1115"/>
      <c r="BP4" s="1115"/>
    </row>
    <row r="5" spans="1:68">
      <c r="A5" s="987" t="s">
        <v>92</v>
      </c>
      <c r="B5" s="987"/>
      <c r="C5" s="987"/>
      <c r="D5" s="987"/>
      <c r="E5" s="987"/>
      <c r="F5" s="987"/>
      <c r="G5" s="987"/>
      <c r="H5" s="987"/>
      <c r="I5" s="987"/>
      <c r="J5" s="987"/>
      <c r="K5" s="987"/>
      <c r="L5" s="987"/>
      <c r="M5" s="988"/>
      <c r="N5" s="976" t="s">
        <v>152</v>
      </c>
      <c r="O5" s="695"/>
      <c r="P5" s="695"/>
      <c r="Q5" s="695"/>
      <c r="R5" s="695"/>
      <c r="S5" s="695"/>
      <c r="T5" s="695"/>
      <c r="U5" s="695"/>
      <c r="V5" s="695"/>
      <c r="W5" s="695"/>
      <c r="X5" s="989"/>
      <c r="Y5" s="989"/>
      <c r="Z5" s="990" t="s">
        <v>6</v>
      </c>
      <c r="AA5" s="990"/>
      <c r="AB5" s="990"/>
      <c r="AC5" s="990"/>
      <c r="AD5" s="990"/>
      <c r="AE5" s="990"/>
      <c r="AF5" s="700"/>
      <c r="AG5" s="700"/>
      <c r="AH5" s="700"/>
      <c r="AI5" s="699" t="s">
        <v>5</v>
      </c>
      <c r="AJ5" s="700"/>
      <c r="AK5" s="699" t="s">
        <v>5</v>
      </c>
      <c r="AL5" s="699"/>
      <c r="AM5" s="699"/>
      <c r="AN5" s="699"/>
      <c r="AO5" s="699"/>
      <c r="AP5" s="699"/>
      <c r="AQ5" s="699"/>
      <c r="AR5" s="699"/>
      <c r="AS5" s="699"/>
      <c r="AT5" s="699"/>
      <c r="AU5" s="699"/>
      <c r="AV5" s="699"/>
      <c r="AW5" s="699"/>
      <c r="AX5" s="699"/>
      <c r="AY5" s="699"/>
      <c r="AZ5" s="699"/>
      <c r="BA5" s="699"/>
      <c r="BB5" s="699"/>
      <c r="BC5" s="701"/>
      <c r="BD5" s="1117" t="s">
        <v>8</v>
      </c>
      <c r="BE5" s="1117"/>
      <c r="BF5" s="1118" t="s">
        <v>9</v>
      </c>
      <c r="BG5" s="1118"/>
      <c r="BH5" s="1119" t="s">
        <v>10</v>
      </c>
      <c r="BI5" s="1119"/>
      <c r="BJ5" s="1114"/>
      <c r="BK5" s="1114"/>
      <c r="BL5" s="1115"/>
      <c r="BM5" s="1115"/>
      <c r="BN5" s="1115"/>
      <c r="BO5" s="1115"/>
      <c r="BP5" s="1115"/>
    </row>
    <row r="6" spans="1:68" ht="15.75" customHeight="1">
      <c r="A6" s="707" t="s">
        <v>55</v>
      </c>
      <c r="B6" s="708" t="s">
        <v>484</v>
      </c>
      <c r="C6" s="708"/>
      <c r="D6" s="709" t="s">
        <v>99</v>
      </c>
      <c r="E6" s="709" t="s">
        <v>56</v>
      </c>
      <c r="F6" s="710" t="s">
        <v>10</v>
      </c>
      <c r="G6" s="710" t="s">
        <v>10</v>
      </c>
      <c r="H6" s="711" t="s">
        <v>8</v>
      </c>
      <c r="I6" s="712" t="s">
        <v>8</v>
      </c>
      <c r="J6" s="712" t="s">
        <v>154</v>
      </c>
      <c r="K6" s="713" t="s">
        <v>205</v>
      </c>
      <c r="L6" s="714" t="s">
        <v>9</v>
      </c>
      <c r="M6" s="714" t="s">
        <v>155</v>
      </c>
      <c r="N6" s="707" t="s">
        <v>152</v>
      </c>
      <c r="O6" s="983" t="s">
        <v>57</v>
      </c>
      <c r="P6" s="983"/>
      <c r="Q6" s="738" t="s">
        <v>58</v>
      </c>
      <c r="R6" s="717" t="s">
        <v>59</v>
      </c>
      <c r="S6" s="716" t="s">
        <v>60</v>
      </c>
      <c r="T6" s="717" t="s">
        <v>61</v>
      </c>
      <c r="U6" s="717" t="s">
        <v>61</v>
      </c>
      <c r="V6" s="717" t="s">
        <v>62</v>
      </c>
      <c r="W6" s="717" t="s">
        <v>15</v>
      </c>
      <c r="X6" s="991"/>
      <c r="Y6" s="991"/>
      <c r="Z6" s="718" t="s">
        <v>484</v>
      </c>
      <c r="AA6" s="709" t="s">
        <v>7</v>
      </c>
      <c r="AB6" s="712" t="s">
        <v>8</v>
      </c>
      <c r="AC6" s="714" t="s">
        <v>9</v>
      </c>
      <c r="AD6" s="710" t="s">
        <v>10</v>
      </c>
      <c r="AE6" s="719" t="s">
        <v>70</v>
      </c>
      <c r="AF6" s="992" t="s">
        <v>97</v>
      </c>
      <c r="AG6" s="719" t="s">
        <v>97</v>
      </c>
      <c r="AH6" s="708" t="s">
        <v>484</v>
      </c>
      <c r="AI6" s="993"/>
      <c r="AJ6" s="721" t="s">
        <v>7</v>
      </c>
      <c r="AK6" s="722"/>
      <c r="AL6" s="723" t="s">
        <v>8</v>
      </c>
      <c r="AM6" s="724"/>
      <c r="AN6" s="724"/>
      <c r="AO6" s="724"/>
      <c r="AP6" s="724"/>
      <c r="AQ6" s="725"/>
      <c r="AR6" s="726" t="s">
        <v>9</v>
      </c>
      <c r="AS6" s="727"/>
      <c r="AT6" s="727"/>
      <c r="AU6" s="727"/>
      <c r="AV6" s="727"/>
      <c r="AW6" s="727"/>
      <c r="AX6" s="728"/>
      <c r="AY6" s="729" t="s">
        <v>10</v>
      </c>
      <c r="AZ6" s="730"/>
      <c r="BA6" s="730"/>
      <c r="BB6" s="730"/>
      <c r="BC6" s="730"/>
      <c r="BD6" s="734" t="s">
        <v>179</v>
      </c>
      <c r="BE6" s="712" t="s">
        <v>18</v>
      </c>
      <c r="BF6" s="713" t="s">
        <v>179</v>
      </c>
      <c r="BG6" s="714" t="s">
        <v>18</v>
      </c>
      <c r="BH6" s="735" t="s">
        <v>179</v>
      </c>
      <c r="BI6" s="736" t="s">
        <v>18</v>
      </c>
      <c r="BJ6" s="1114"/>
      <c r="BK6" s="1114"/>
      <c r="BL6" s="1115"/>
      <c r="BM6" s="1115"/>
      <c r="BN6" s="1115"/>
      <c r="BO6" s="1115"/>
      <c r="BP6" s="1115"/>
    </row>
    <row r="7" spans="1:68" ht="16.2" thickBot="1">
      <c r="A7" s="707"/>
      <c r="B7" s="718" t="s">
        <v>70</v>
      </c>
      <c r="C7" s="718" t="s">
        <v>63</v>
      </c>
      <c r="D7" s="719" t="s">
        <v>70</v>
      </c>
      <c r="E7" s="709" t="s">
        <v>63</v>
      </c>
      <c r="F7" s="710" t="s">
        <v>63</v>
      </c>
      <c r="G7" s="710" t="s">
        <v>153</v>
      </c>
      <c r="H7" s="711" t="s">
        <v>204</v>
      </c>
      <c r="I7" s="712" t="s">
        <v>64</v>
      </c>
      <c r="J7" s="712" t="s">
        <v>153</v>
      </c>
      <c r="K7" s="713" t="s">
        <v>15</v>
      </c>
      <c r="L7" s="714" t="s">
        <v>63</v>
      </c>
      <c r="M7" s="714" t="s">
        <v>153</v>
      </c>
      <c r="N7" s="707" t="s">
        <v>152</v>
      </c>
      <c r="O7" s="998" t="s">
        <v>16</v>
      </c>
      <c r="P7" s="998"/>
      <c r="Q7" s="738"/>
      <c r="R7" s="738"/>
      <c r="S7" s="738"/>
      <c r="T7" s="717" t="s">
        <v>63</v>
      </c>
      <c r="U7" s="717" t="s">
        <v>15</v>
      </c>
      <c r="V7" s="717" t="s">
        <v>65</v>
      </c>
      <c r="W7" s="717" t="s">
        <v>65</v>
      </c>
      <c r="X7" s="991" t="s">
        <v>10</v>
      </c>
      <c r="Y7" s="991" t="s">
        <v>198</v>
      </c>
      <c r="Z7" s="739" t="s">
        <v>15</v>
      </c>
      <c r="AA7" s="740" t="s">
        <v>15</v>
      </c>
      <c r="AB7" s="712" t="s">
        <v>15</v>
      </c>
      <c r="AC7" s="714" t="s">
        <v>15</v>
      </c>
      <c r="AD7" s="736" t="s">
        <v>15</v>
      </c>
      <c r="AE7" s="741" t="s">
        <v>15</v>
      </c>
      <c r="AF7" s="999" t="s">
        <v>106</v>
      </c>
      <c r="AG7" s="741" t="s">
        <v>98</v>
      </c>
      <c r="AH7" s="742" t="s">
        <v>63</v>
      </c>
      <c r="AI7" s="739" t="s">
        <v>15</v>
      </c>
      <c r="AJ7" s="743" t="s">
        <v>63</v>
      </c>
      <c r="AK7" s="740" t="s">
        <v>15</v>
      </c>
      <c r="AL7" s="712" t="s">
        <v>125</v>
      </c>
      <c r="AM7" s="744" t="s">
        <v>123</v>
      </c>
      <c r="AN7" s="744" t="s">
        <v>116</v>
      </c>
      <c r="AO7" s="744" t="s">
        <v>107</v>
      </c>
      <c r="AP7" s="744" t="s">
        <v>108</v>
      </c>
      <c r="AQ7" s="744" t="s">
        <v>124</v>
      </c>
      <c r="AR7" s="714" t="s">
        <v>94</v>
      </c>
      <c r="AS7" s="745" t="s">
        <v>72</v>
      </c>
      <c r="AT7" s="745" t="s">
        <v>74</v>
      </c>
      <c r="AU7" s="745" t="s">
        <v>107</v>
      </c>
      <c r="AV7" s="745" t="s">
        <v>108</v>
      </c>
      <c r="AW7" s="746" t="s">
        <v>73</v>
      </c>
      <c r="AX7" s="746" t="s">
        <v>75</v>
      </c>
      <c r="AY7" s="736" t="s">
        <v>15</v>
      </c>
      <c r="AZ7" s="747" t="s">
        <v>168</v>
      </c>
      <c r="BA7" s="747" t="s">
        <v>109</v>
      </c>
      <c r="BB7" s="746" t="s">
        <v>169</v>
      </c>
      <c r="BC7" s="746" t="s">
        <v>70</v>
      </c>
      <c r="BD7" s="1000"/>
      <c r="BE7" s="1001"/>
      <c r="BF7" s="1000"/>
      <c r="BG7" s="1002"/>
      <c r="BH7" s="1000"/>
      <c r="BI7" s="1003"/>
      <c r="BJ7" s="1114"/>
      <c r="BK7" s="1114"/>
      <c r="BL7" s="1115"/>
      <c r="BM7" s="1115"/>
      <c r="BN7" s="1115"/>
      <c r="BO7" s="1115"/>
      <c r="BP7" s="1115"/>
    </row>
    <row r="8" spans="1:68" ht="16.2" thickTop="1">
      <c r="A8" s="1004"/>
      <c r="B8" s="756"/>
      <c r="C8" s="756"/>
      <c r="D8" s="756"/>
      <c r="E8" s="756"/>
      <c r="F8" s="756"/>
      <c r="G8" s="756"/>
      <c r="H8" s="756"/>
      <c r="I8" s="756"/>
      <c r="J8" s="756"/>
      <c r="K8" s="756"/>
      <c r="L8" s="756"/>
      <c r="M8" s="756"/>
      <c r="N8" s="1004" t="s">
        <v>152</v>
      </c>
      <c r="O8" s="1005"/>
      <c r="P8" s="1005"/>
      <c r="Q8" s="1005"/>
      <c r="R8" s="1005"/>
      <c r="S8" s="1005"/>
      <c r="T8" s="1005"/>
      <c r="U8" s="1005"/>
      <c r="V8" s="1005"/>
      <c r="W8" s="1005"/>
      <c r="X8" s="1006"/>
      <c r="Y8" s="1006"/>
      <c r="Z8" s="756"/>
      <c r="AA8" s="756"/>
      <c r="AB8" s="756"/>
      <c r="AC8" s="756"/>
      <c r="AD8" s="756"/>
      <c r="AE8" s="756"/>
      <c r="AF8" s="1007"/>
      <c r="AG8" s="756"/>
      <c r="AH8" s="761"/>
      <c r="AI8" s="756"/>
      <c r="AJ8" s="761"/>
      <c r="AK8" s="756"/>
      <c r="AL8" s="756"/>
      <c r="AM8" s="756"/>
      <c r="AN8" s="756"/>
      <c r="AO8" s="756"/>
      <c r="AP8" s="756"/>
      <c r="AQ8" s="756"/>
      <c r="AR8" s="756"/>
      <c r="AS8" s="756"/>
      <c r="AT8" s="756"/>
      <c r="AU8" s="756"/>
      <c r="AV8" s="756"/>
      <c r="AW8" s="756"/>
      <c r="AX8" s="756"/>
      <c r="AY8" s="756"/>
      <c r="AZ8" s="756"/>
      <c r="BA8" s="756"/>
      <c r="BB8" s="756"/>
      <c r="BC8" s="756"/>
      <c r="BD8" s="1120"/>
      <c r="BE8" s="1120"/>
      <c r="BF8" s="1120"/>
      <c r="BG8" s="1120"/>
      <c r="BH8" s="1120"/>
      <c r="BI8" s="1120"/>
    </row>
    <row r="9" spans="1:68" ht="15" customHeight="1">
      <c r="C9" s="1008"/>
      <c r="E9" s="1008"/>
      <c r="F9" s="1008"/>
      <c r="G9" s="1008"/>
      <c r="H9" s="1008"/>
      <c r="I9" s="1008"/>
      <c r="J9" s="1008"/>
      <c r="K9" s="1008"/>
      <c r="L9" s="1008"/>
      <c r="M9" s="1008"/>
      <c r="N9" s="765"/>
      <c r="O9" s="765"/>
      <c r="P9" s="765"/>
      <c r="Q9" s="1009" t="s">
        <v>101</v>
      </c>
      <c r="S9" s="1010"/>
      <c r="T9" s="812"/>
      <c r="U9" s="808"/>
      <c r="V9" s="1011"/>
      <c r="W9" s="1011"/>
      <c r="X9" s="773"/>
      <c r="Y9" s="773"/>
      <c r="AF9" s="1012"/>
      <c r="AG9" s="1011"/>
      <c r="AH9" s="808"/>
      <c r="AI9" s="673"/>
      <c r="AJ9" s="808"/>
      <c r="AK9" s="673"/>
      <c r="AL9" s="673"/>
      <c r="AM9" s="673"/>
      <c r="AN9" s="673"/>
      <c r="AO9" s="673"/>
      <c r="AP9" s="673"/>
      <c r="AQ9" s="673"/>
      <c r="AR9" s="661"/>
      <c r="AS9" s="673"/>
      <c r="AT9" s="673"/>
      <c r="AU9" s="673"/>
      <c r="AV9" s="673"/>
      <c r="AW9" s="673"/>
      <c r="AX9" s="673"/>
      <c r="AY9" s="673"/>
      <c r="AZ9" s="661"/>
      <c r="BA9" s="661"/>
      <c r="BB9" s="661"/>
      <c r="BC9" s="673"/>
      <c r="BD9" s="673"/>
      <c r="BE9" s="673"/>
      <c r="BF9" s="673"/>
      <c r="BG9" s="673"/>
      <c r="BH9" s="673"/>
      <c r="BI9" s="673"/>
    </row>
    <row r="10" spans="1:68" s="765" customFormat="1">
      <c r="A10" s="776"/>
      <c r="B10" s="763">
        <v>0</v>
      </c>
      <c r="C10" s="763">
        <v>0</v>
      </c>
      <c r="D10" s="763">
        <v>0</v>
      </c>
      <c r="E10" s="763">
        <v>0</v>
      </c>
      <c r="F10" s="763">
        <v>0</v>
      </c>
      <c r="G10" s="689">
        <f>+G$4</f>
        <v>0.1</v>
      </c>
      <c r="H10" s="764">
        <f>AM10+AN10</f>
        <v>0</v>
      </c>
      <c r="I10" s="763">
        <v>0</v>
      </c>
      <c r="J10" s="689">
        <f>+J$4</f>
        <v>0.1</v>
      </c>
      <c r="K10" s="764">
        <f>AR10+AT10+AV10+AX10</f>
        <v>0</v>
      </c>
      <c r="L10" s="763">
        <v>0</v>
      </c>
      <c r="M10" s="689">
        <f>+M$4</f>
        <v>0.1</v>
      </c>
      <c r="N10" s="1014" t="s">
        <v>382</v>
      </c>
      <c r="Q10" s="1121" t="s">
        <v>206</v>
      </c>
      <c r="R10" s="776" t="s">
        <v>96</v>
      </c>
      <c r="S10" s="763">
        <v>0</v>
      </c>
      <c r="T10" s="1022">
        <f>_xlfn.IFNA(ROUNDUP(AF10+AJ10+AO10+AQ10+L10+AS10+AU10+AW10+F10+AZ10+BB10,2),0)</f>
        <v>0</v>
      </c>
      <c r="U10" s="764">
        <f>_xlfn.IFNA(ROUND(T10*ROUNDUP(S10,1),2),0)</f>
        <v>0</v>
      </c>
      <c r="V10" s="1023">
        <v>0</v>
      </c>
      <c r="W10" s="764">
        <f>ROUND(+U10*V10,2)</f>
        <v>0</v>
      </c>
      <c r="X10" s="1024"/>
      <c r="Y10" s="1024"/>
      <c r="Z10" s="764">
        <f>ROUNDUP(AJ10*U10,2)</f>
        <v>0</v>
      </c>
      <c r="AA10" s="764">
        <f>_xlfn.IFNA(ROUNDUP(AK10*V10,2),0)</f>
        <v>0</v>
      </c>
      <c r="AB10" s="764">
        <f>ROUNDUP((AP10+_xlfn.IFNA(L10,0))*V10,2)</f>
        <v>0</v>
      </c>
      <c r="AC10" s="764">
        <f>_xlfn.IFNA(ROUNDUP((AT10+AV10+AR10)*V10,2),0)</f>
        <v>0</v>
      </c>
      <c r="AD10" s="764">
        <f>ROUNDUP((BA10+AY10)*V10,2)</f>
        <v>0</v>
      </c>
      <c r="AE10" s="764">
        <f>(BC10+AX10+AG10)*V10</f>
        <v>0</v>
      </c>
      <c r="AF10" s="1025">
        <f>_xlfn.IFNA(D10,0)</f>
        <v>0</v>
      </c>
      <c r="AG10" s="764">
        <f>_xlfn.IFNA(ROUNDUP(D10*S10,2),0)</f>
        <v>0</v>
      </c>
      <c r="AH10" s="764">
        <f>+_xlfn.IFNA(C10,0)</f>
        <v>0</v>
      </c>
      <c r="AI10" s="1022">
        <f>_xlfn.IFNA(C10*S10,0)</f>
        <v>0</v>
      </c>
      <c r="AJ10" s="764">
        <f>+_xlfn.IFNA(E10,0)</f>
        <v>0</v>
      </c>
      <c r="AK10" s="1022">
        <f>_xlfn.IFNA(E10*S10,0)</f>
        <v>0</v>
      </c>
      <c r="AL10" s="1022">
        <f>_xlfn.IFNA(ROUNDUP(ROUNDUP(S10,1)*AQ10,2),0)</f>
        <v>0</v>
      </c>
      <c r="AM10" s="1022">
        <f>ROUNDUP(+_xlfn.IFNA(I10*S10,0),2)</f>
        <v>0</v>
      </c>
      <c r="AN10" s="1022">
        <f>_xlfn.IFNA(J10*I10*S10,0)</f>
        <v>0</v>
      </c>
      <c r="AO10" s="1022">
        <f>ROUNDUP(_xlfn.IFNA(I10,0)*I$4*_xlfn.IFNA(J10,0),2)</f>
        <v>0</v>
      </c>
      <c r="AP10" s="1022">
        <f>_xlfn.IFNA(AO10*S10,0)</f>
        <v>0</v>
      </c>
      <c r="AQ10" s="1022">
        <f>_xlfn.IFNA(IF(I10=0,0,ROUNDUP(I$4*I10,2)),0)</f>
        <v>0</v>
      </c>
      <c r="AR10" s="1022">
        <f>_xlfn.IFNA(+ROUNDUP(_xlfn.IFNA(L10,0)*ROUNDUP(S10,1),2),0)</f>
        <v>0</v>
      </c>
      <c r="AS10" s="1022">
        <f>ROUNDUP(_xlfn.IFNA(L10,0)*L$2,2)</f>
        <v>0</v>
      </c>
      <c r="AT10" s="1022">
        <f>+_xlfn.IFNA(ROUNDUP(AS10*S10,2),0)</f>
        <v>0</v>
      </c>
      <c r="AU10" s="1022">
        <f>ROUNDUP((_xlfn.IFNA(L10,0)+AS10)*M10,2)</f>
        <v>0</v>
      </c>
      <c r="AV10" s="1022">
        <f>_xlfn.IFNA(ROUNDUP(AU10*S10,2),0)</f>
        <v>0</v>
      </c>
      <c r="AW10" s="1022">
        <f>ROUNDUP((_xlfn.IFNA(L10,0)+AS10+AU10)*(L$4)*L$3,2)</f>
        <v>0</v>
      </c>
      <c r="AX10" s="1022">
        <f>_xlfn.IFNA(ROUNDUP(+AW10*ROUNDUP(S10,1),2),0)</f>
        <v>0</v>
      </c>
      <c r="AY10" s="1022">
        <f>_xlfn.IFNA(ROUNDUP(F10*ROUNDUP(S10,1),2),0)</f>
        <v>0</v>
      </c>
      <c r="AZ10" s="1022">
        <f>_xlfn.IFNA(ROUNDUP(F10*G10,2),0)</f>
        <v>0</v>
      </c>
      <c r="BA10" s="1022">
        <f>_xlfn.IFNA(ROUNDUP(AZ10*S10,2),0)</f>
        <v>0</v>
      </c>
      <c r="BB10" s="1022">
        <f>_xlfn.IFNA(ROUNDUP((ROUNDUP(F10+AZ10,2)*F$4)*F$3,2),0)</f>
        <v>0</v>
      </c>
      <c r="BC10" s="1022">
        <f>_xlfn.IFNA(BB10*S10,0)</f>
        <v>0</v>
      </c>
      <c r="BD10" s="1022">
        <f>IF(BD$7=$Y10,(+$AL10+$AP10),(0))</f>
        <v>0</v>
      </c>
      <c r="BE10" s="1022">
        <f>IF(BE$7=$Y10,(+BD10*$V10),(0))</f>
        <v>0</v>
      </c>
      <c r="BF10" s="1022">
        <f>IF(BF$7=$Y10,(+$AR10+$AT10+$AV10),(0))</f>
        <v>0</v>
      </c>
      <c r="BG10" s="1022">
        <f>IF(BG$7=$Y10,(+BF10*$V10),(0))</f>
        <v>0</v>
      </c>
      <c r="BH10" s="1022">
        <f>IF(BH$7=$X10,($AY10+$BA10),(0))</f>
        <v>0</v>
      </c>
      <c r="BI10" s="1022">
        <f>IF(BI$7=$X10,(+BH10*$V10),(0))</f>
        <v>0</v>
      </c>
      <c r="BJ10" s="1122"/>
      <c r="BL10" s="483"/>
      <c r="BM10" s="483"/>
      <c r="BN10" s="483"/>
      <c r="BO10" s="483"/>
      <c r="BP10" s="483"/>
    </row>
    <row r="11" spans="1:68">
      <c r="A11" s="1045"/>
      <c r="B11" s="1045">
        <f>SUM(AE9:AE11)</f>
        <v>0</v>
      </c>
      <c r="C11" s="1046">
        <f>SUM(AI9:AI11)</f>
        <v>0</v>
      </c>
      <c r="D11" s="1045">
        <f>SUM(AG9:AG11)</f>
        <v>0</v>
      </c>
      <c r="E11" s="1046">
        <f>SUM(AK9:AK11)</f>
        <v>0</v>
      </c>
      <c r="F11" s="1046">
        <f>SUM(BC9:BC11,BA9:BA11,AY9:AY11)</f>
        <v>0</v>
      </c>
      <c r="G11" s="1046"/>
      <c r="H11" s="1046">
        <f>SUM(AM9:AM11)+SUM(AN9:AN11)</f>
        <v>0</v>
      </c>
      <c r="I11" s="1046">
        <f>SUM(AP9:AP11)+SUM(AL9:AL11)</f>
        <v>0</v>
      </c>
      <c r="J11" s="1046"/>
      <c r="K11" s="1046">
        <f>SUM(AT9:AT11)+SUM(AV9:AV11)+SUM(AX9:AX11)+SUM(AR9:AR11)</f>
        <v>0</v>
      </c>
      <c r="M11" s="1046"/>
      <c r="N11" s="765" t="s">
        <v>152</v>
      </c>
      <c r="O11" s="765"/>
      <c r="P11" s="765"/>
      <c r="Q11" s="1047" t="str">
        <f>"Subtotal of Costs for "&amp;Q9</f>
        <v>Subtotal of Costs for Element</v>
      </c>
      <c r="R11" s="1123"/>
      <c r="S11" s="1048">
        <f>SUM(U10:U11)</f>
        <v>0</v>
      </c>
      <c r="T11" s="1048"/>
      <c r="U11" s="808"/>
      <c r="V11" s="1049">
        <v>0</v>
      </c>
      <c r="W11" s="1045">
        <f>+S11*V11</f>
        <v>0</v>
      </c>
      <c r="X11" s="773"/>
      <c r="Y11" s="773"/>
      <c r="Z11" s="808"/>
      <c r="AA11" s="808"/>
      <c r="AB11" s="808"/>
      <c r="AC11" s="808"/>
      <c r="AD11" s="808"/>
      <c r="AE11" s="1124"/>
      <c r="AF11" s="1050"/>
      <c r="AH11" s="1051"/>
      <c r="AJ11" s="1051"/>
    </row>
    <row r="12" spans="1:68" ht="15" customHeight="1">
      <c r="C12" s="1008"/>
      <c r="E12" s="1008"/>
      <c r="F12" s="1008"/>
      <c r="G12" s="1008"/>
      <c r="H12" s="1008"/>
      <c r="I12" s="1008"/>
      <c r="J12" s="1008"/>
      <c r="K12" s="1008"/>
      <c r="L12" s="1008"/>
      <c r="M12" s="1008"/>
      <c r="N12" s="765"/>
      <c r="O12" s="765"/>
      <c r="P12" s="765"/>
      <c r="Q12" s="1009" t="s">
        <v>101</v>
      </c>
      <c r="S12" s="1010"/>
      <c r="T12" s="812"/>
      <c r="U12" s="808"/>
      <c r="V12" s="1011"/>
      <c r="W12" s="1011"/>
      <c r="X12" s="773"/>
      <c r="Y12" s="773"/>
      <c r="AF12" s="1012"/>
      <c r="AG12" s="1011"/>
      <c r="AH12" s="808"/>
      <c r="AI12" s="673"/>
      <c r="AJ12" s="808"/>
      <c r="AK12" s="673"/>
      <c r="AL12" s="673"/>
      <c r="AM12" s="673"/>
      <c r="AN12" s="673"/>
      <c r="AO12" s="673"/>
      <c r="AP12" s="673"/>
      <c r="AQ12" s="673"/>
      <c r="AR12" s="661"/>
      <c r="AS12" s="673"/>
      <c r="AT12" s="673"/>
      <c r="AU12" s="673"/>
      <c r="AV12" s="673"/>
      <c r="AW12" s="673"/>
      <c r="AX12" s="673"/>
      <c r="AY12" s="673"/>
      <c r="AZ12" s="661"/>
      <c r="BA12" s="661"/>
      <c r="BB12" s="661"/>
      <c r="BC12" s="673"/>
      <c r="BD12" s="673"/>
      <c r="BE12" s="673"/>
      <c r="BF12" s="673"/>
      <c r="BG12" s="673"/>
      <c r="BH12" s="673"/>
      <c r="BI12" s="673"/>
    </row>
    <row r="13" spans="1:68">
      <c r="A13" s="1045"/>
      <c r="B13" s="1045">
        <f>SUM(AE12:AE13)</f>
        <v>0</v>
      </c>
      <c r="C13" s="1046">
        <f>SUM(AI12:AI13)</f>
        <v>0</v>
      </c>
      <c r="D13" s="1045">
        <f>SUM(AG12:AG13)</f>
        <v>0</v>
      </c>
      <c r="E13" s="1046">
        <f>SUM(AK12:AK13)</f>
        <v>0</v>
      </c>
      <c r="F13" s="1046">
        <f>SUM(BC12:BC13,BA12:BA13,AY12:AY13)</f>
        <v>0</v>
      </c>
      <c r="G13" s="1046"/>
      <c r="H13" s="1046">
        <f>SUM(AM12:AM13)+SUM(AN12:AN13)</f>
        <v>0</v>
      </c>
      <c r="I13" s="1046">
        <f>SUM(AP12:AP13)+SUM(AL12:AL13)</f>
        <v>0</v>
      </c>
      <c r="J13" s="1046"/>
      <c r="K13" s="1046">
        <f>SUM(AT12:AT13)+SUM(AV12:AV13)+SUM(AX12:AX13)+SUM(AR12:AR13)</f>
        <v>0</v>
      </c>
      <c r="M13" s="1046"/>
      <c r="N13" s="765" t="s">
        <v>152</v>
      </c>
      <c r="O13" s="765"/>
      <c r="P13" s="765"/>
      <c r="Q13" s="1047" t="str">
        <f>"Subtotal of Costs for "&amp;Q12</f>
        <v>Subtotal of Costs for Element</v>
      </c>
      <c r="R13" s="1123"/>
      <c r="S13" s="1048">
        <f>SUM(U12:U13)</f>
        <v>0</v>
      </c>
      <c r="T13" s="1048"/>
      <c r="U13" s="808"/>
      <c r="V13" s="1049">
        <v>0</v>
      </c>
      <c r="W13" s="1045">
        <f>+S13*V13</f>
        <v>0</v>
      </c>
      <c r="X13" s="773"/>
      <c r="Y13" s="773"/>
      <c r="Z13" s="808"/>
      <c r="AA13" s="808"/>
      <c r="AB13" s="808"/>
      <c r="AC13" s="808"/>
      <c r="AD13" s="808"/>
      <c r="AE13" s="1124"/>
      <c r="AF13" s="1050"/>
      <c r="AH13" s="1051"/>
      <c r="AJ13" s="1051"/>
    </row>
    <row r="14" spans="1:68" ht="16.2" thickBot="1">
      <c r="C14" s="1008"/>
      <c r="E14" s="1008"/>
      <c r="F14" s="1008"/>
      <c r="G14" s="1008"/>
      <c r="H14" s="1008"/>
      <c r="I14" s="1008"/>
      <c r="J14" s="1008"/>
      <c r="K14" s="1008"/>
      <c r="L14" s="1008"/>
      <c r="M14" s="1008"/>
      <c r="N14" s="707" t="s">
        <v>152</v>
      </c>
      <c r="O14" s="765"/>
      <c r="P14" s="765"/>
      <c r="Q14" s="1009" t="s">
        <v>102</v>
      </c>
      <c r="S14" s="808"/>
      <c r="T14" s="808"/>
      <c r="U14" s="808"/>
      <c r="V14" s="1011"/>
      <c r="W14" s="1011"/>
      <c r="X14" s="773"/>
      <c r="Y14" s="773"/>
      <c r="Z14" s="808"/>
      <c r="AA14" s="808"/>
      <c r="AB14" s="808"/>
      <c r="AC14" s="808"/>
      <c r="AD14" s="808"/>
      <c r="AE14" s="1124"/>
      <c r="AF14" s="1012"/>
      <c r="AH14" s="808"/>
      <c r="AJ14" s="808"/>
    </row>
    <row r="15" spans="1:68" ht="16.2" thickTop="1">
      <c r="A15" s="1054"/>
      <c r="B15" s="1057"/>
      <c r="C15" s="1056"/>
      <c r="D15" s="1057"/>
      <c r="E15" s="1058"/>
      <c r="F15" s="1059"/>
      <c r="G15" s="1059"/>
      <c r="H15" s="1060"/>
      <c r="I15" s="1061"/>
      <c r="J15" s="1061"/>
      <c r="K15" s="1062"/>
      <c r="L15" s="1063"/>
      <c r="M15" s="1063"/>
      <c r="N15" s="1004" t="s">
        <v>152</v>
      </c>
      <c r="O15" s="1065"/>
      <c r="P15" s="1065"/>
      <c r="Q15" s="1065"/>
      <c r="R15" s="1065"/>
      <c r="S15" s="1065"/>
      <c r="T15" s="1065"/>
      <c r="U15" s="1065"/>
      <c r="V15" s="1065"/>
      <c r="W15" s="1065"/>
      <c r="X15" s="1066"/>
      <c r="Y15" s="1066"/>
      <c r="Z15" s="1067"/>
      <c r="AA15" s="1068"/>
      <c r="AB15" s="1069"/>
      <c r="AC15" s="1070"/>
      <c r="AD15" s="1071"/>
      <c r="AE15" s="1072"/>
      <c r="AF15" s="1073"/>
      <c r="AG15" s="1074"/>
      <c r="AH15" s="1075"/>
      <c r="AI15" s="1076"/>
      <c r="AJ15" s="829"/>
      <c r="AK15" s="1077"/>
      <c r="AL15" s="831"/>
      <c r="AM15" s="831"/>
      <c r="AN15" s="831"/>
      <c r="AO15" s="831"/>
      <c r="AP15" s="831"/>
      <c r="AQ15" s="831"/>
      <c r="AR15" s="833"/>
      <c r="AS15" s="833"/>
      <c r="AT15" s="833"/>
      <c r="AU15" s="833"/>
      <c r="AV15" s="833"/>
      <c r="AW15" s="1078"/>
      <c r="AX15" s="1078"/>
      <c r="AY15" s="835"/>
      <c r="AZ15" s="835"/>
      <c r="BA15" s="835"/>
      <c r="BB15" s="1078"/>
      <c r="BC15" s="1078"/>
      <c r="BD15" s="830"/>
      <c r="BE15" s="831"/>
      <c r="BF15" s="832"/>
      <c r="BG15" s="833"/>
      <c r="BH15" s="834"/>
      <c r="BI15" s="835"/>
      <c r="BJ15" s="1114"/>
      <c r="BK15" s="1114"/>
      <c r="BL15" s="1115"/>
      <c r="BM15" s="1115"/>
      <c r="BN15" s="1115"/>
      <c r="BO15" s="1115"/>
      <c r="BP15" s="1115"/>
    </row>
    <row r="16" spans="1:68">
      <c r="A16" s="1079"/>
      <c r="B16" s="1081">
        <f>+AO16</f>
        <v>0</v>
      </c>
      <c r="C16" s="1080">
        <f>+AQ16</f>
        <v>0</v>
      </c>
      <c r="D16" s="1081">
        <f>+AQ16</f>
        <v>0</v>
      </c>
      <c r="E16" s="1082">
        <f>+AS16</f>
        <v>0</v>
      </c>
      <c r="F16" s="856">
        <f>+AY16+BA16+BC16</f>
        <v>0</v>
      </c>
      <c r="G16" s="856"/>
      <c r="H16" s="851">
        <f>+AM16+AN16</f>
        <v>0</v>
      </c>
      <c r="I16" s="852">
        <f>+AW16+AR16</f>
        <v>0</v>
      </c>
      <c r="J16" s="852"/>
      <c r="K16" s="853">
        <f>+AR16+AT16+AV16+AX16</f>
        <v>0</v>
      </c>
      <c r="L16" s="979"/>
      <c r="M16" s="1083"/>
      <c r="N16" s="707" t="s">
        <v>152</v>
      </c>
      <c r="O16" s="983" t="s">
        <v>68</v>
      </c>
      <c r="P16" s="983"/>
      <c r="Q16" s="738"/>
      <c r="R16" s="738"/>
      <c r="S16" s="738"/>
      <c r="T16" s="738"/>
      <c r="U16" s="1084">
        <f>SUM(U8:U15)</f>
        <v>0</v>
      </c>
      <c r="V16" s="1085"/>
      <c r="W16" s="1084">
        <f>SUM(W8:W15)</f>
        <v>0</v>
      </c>
      <c r="X16" s="977"/>
      <c r="Y16" s="977"/>
      <c r="Z16" s="1080">
        <f t="shared" ref="Z16:AE16" si="0">SUM(Z8:Z15)</f>
        <v>0</v>
      </c>
      <c r="AA16" s="1082">
        <f t="shared" si="0"/>
        <v>0</v>
      </c>
      <c r="AB16" s="852">
        <f t="shared" si="0"/>
        <v>0</v>
      </c>
      <c r="AC16" s="854">
        <f t="shared" si="0"/>
        <v>0</v>
      </c>
      <c r="AD16" s="856">
        <f t="shared" si="0"/>
        <v>0</v>
      </c>
      <c r="AE16" s="1081">
        <f t="shared" si="0"/>
        <v>0</v>
      </c>
      <c r="AF16" s="1086"/>
      <c r="AG16" s="1081">
        <f>SUM(AG8:AG15)</f>
        <v>0</v>
      </c>
      <c r="AH16" s="1087"/>
      <c r="AI16" s="1080">
        <f>SUM(AI8:AI15)</f>
        <v>0</v>
      </c>
      <c r="AJ16" s="1088"/>
      <c r="AK16" s="1082">
        <f>SUM(AK8:AK15)</f>
        <v>0</v>
      </c>
      <c r="AL16" s="852">
        <f>SUM(AL8:AL15)</f>
        <v>0</v>
      </c>
      <c r="AM16" s="852">
        <f>SUM(AM8:AM15)</f>
        <v>0</v>
      </c>
      <c r="AN16" s="852">
        <f>SUM(AN9:AN15)</f>
        <v>0</v>
      </c>
      <c r="AO16" s="852"/>
      <c r="AP16" s="852">
        <f>SUM(AP9:AP15)</f>
        <v>0</v>
      </c>
      <c r="AQ16" s="852"/>
      <c r="AR16" s="854">
        <f>SUM(AR8:AR15)</f>
        <v>0</v>
      </c>
      <c r="AS16" s="854"/>
      <c r="AT16" s="854">
        <f>SUM(AT8:AT15)</f>
        <v>0</v>
      </c>
      <c r="AU16" s="854"/>
      <c r="AV16" s="854">
        <f>SUM(AV8:AV15)</f>
        <v>0</v>
      </c>
      <c r="AW16" s="1081"/>
      <c r="AX16" s="1081">
        <f>SUM(AX8:AX15)</f>
        <v>0</v>
      </c>
      <c r="AY16" s="856">
        <f>SUM(AY8:AY15)</f>
        <v>0</v>
      </c>
      <c r="AZ16" s="856"/>
      <c r="BA16" s="856">
        <f>SUM(BA8:BA15)</f>
        <v>0</v>
      </c>
      <c r="BB16" s="1081"/>
      <c r="BC16" s="1081">
        <f>SUM(BC8:BC15)</f>
        <v>0</v>
      </c>
      <c r="BD16" s="851">
        <f t="shared" ref="BD16:BI16" si="1">SUM(BD8:BD15)</f>
        <v>0</v>
      </c>
      <c r="BE16" s="852">
        <f t="shared" si="1"/>
        <v>0</v>
      </c>
      <c r="BF16" s="853">
        <f t="shared" si="1"/>
        <v>0</v>
      </c>
      <c r="BG16" s="854">
        <f t="shared" si="1"/>
        <v>0</v>
      </c>
      <c r="BH16" s="855">
        <f t="shared" si="1"/>
        <v>0</v>
      </c>
      <c r="BI16" s="856">
        <f t="shared" si="1"/>
        <v>0</v>
      </c>
      <c r="BJ16" s="1114"/>
      <c r="BK16" s="1114"/>
      <c r="BL16" s="1115"/>
      <c r="BM16" s="1115"/>
      <c r="BN16" s="1115"/>
      <c r="BO16" s="1115"/>
      <c r="BP16" s="1115"/>
    </row>
    <row r="17" spans="1:68">
      <c r="A17" s="707"/>
      <c r="B17" s="1091"/>
      <c r="C17" s="1090"/>
      <c r="D17" s="1091"/>
      <c r="E17" s="1092"/>
      <c r="F17" s="1093"/>
      <c r="G17" s="1093"/>
      <c r="H17" s="1094"/>
      <c r="I17" s="1095"/>
      <c r="J17" s="1095"/>
      <c r="K17" s="1096"/>
      <c r="L17" s="1097"/>
      <c r="M17" s="1097"/>
      <c r="N17" s="1125" t="s">
        <v>152</v>
      </c>
      <c r="O17" s="1098"/>
      <c r="P17" s="1098"/>
      <c r="Q17" s="1098"/>
      <c r="R17" s="1098"/>
      <c r="S17" s="1098"/>
      <c r="T17" s="1098"/>
      <c r="U17" s="1098"/>
      <c r="V17" s="1098"/>
      <c r="W17" s="1098"/>
      <c r="X17" s="989"/>
      <c r="Y17" s="989"/>
      <c r="Z17" s="1099"/>
      <c r="AA17" s="874"/>
      <c r="AB17" s="1100"/>
      <c r="AC17" s="1101"/>
      <c r="AD17" s="1102"/>
      <c r="AE17" s="1103"/>
      <c r="AF17" s="1104"/>
      <c r="AG17" s="1103"/>
      <c r="AH17" s="1099"/>
      <c r="AI17" s="1105"/>
      <c r="AJ17" s="874"/>
      <c r="AK17" s="1106"/>
      <c r="AL17" s="876"/>
      <c r="AM17" s="876"/>
      <c r="AN17" s="876"/>
      <c r="AO17" s="876"/>
      <c r="AP17" s="876"/>
      <c r="AQ17" s="876"/>
      <c r="AR17" s="878"/>
      <c r="AS17" s="878"/>
      <c r="AT17" s="878"/>
      <c r="AU17" s="878"/>
      <c r="AV17" s="878"/>
      <c r="AW17" s="1107"/>
      <c r="AX17" s="1107"/>
      <c r="AY17" s="880"/>
      <c r="AZ17" s="880"/>
      <c r="BA17" s="880"/>
      <c r="BB17" s="1107"/>
      <c r="BC17" s="1107"/>
      <c r="BD17" s="1108"/>
      <c r="BE17" s="1109"/>
      <c r="BF17" s="666"/>
      <c r="BG17" s="979"/>
      <c r="BH17" s="1110"/>
      <c r="BI17" s="981"/>
      <c r="BJ17" s="1114"/>
      <c r="BK17" s="1114"/>
      <c r="BL17" s="1115"/>
      <c r="BM17" s="1115"/>
      <c r="BN17" s="1115"/>
      <c r="BO17" s="1115"/>
      <c r="BP17" s="1115"/>
    </row>
    <row r="18" spans="1:68">
      <c r="Z18" s="1126"/>
      <c r="AA18" s="1127"/>
      <c r="AB18" s="1109"/>
      <c r="AC18" s="979"/>
      <c r="AD18" s="981"/>
      <c r="AE18" s="1128"/>
      <c r="AF18" s="1129"/>
      <c r="AG18" s="1091"/>
      <c r="AH18" s="1089"/>
      <c r="AI18" s="1089"/>
      <c r="AJ18" s="1114"/>
      <c r="AK18" s="1114"/>
      <c r="AL18" s="1109"/>
      <c r="AM18" s="1109"/>
      <c r="AN18" s="1109"/>
      <c r="AO18" s="1109"/>
      <c r="AP18" s="1109"/>
      <c r="AQ18" s="1109"/>
      <c r="AR18" s="979"/>
      <c r="AS18" s="979"/>
      <c r="AT18" s="979"/>
      <c r="AU18" s="854"/>
      <c r="AV18" s="979"/>
      <c r="AW18" s="1091"/>
      <c r="AX18" s="1091"/>
      <c r="AY18" s="981"/>
      <c r="AZ18" s="981"/>
      <c r="BA18" s="981"/>
      <c r="BB18" s="1091"/>
      <c r="BC18" s="1091"/>
      <c r="BD18" s="1108"/>
      <c r="BE18" s="1109"/>
      <c r="BF18" s="666"/>
      <c r="BG18" s="979"/>
      <c r="BH18" s="1110"/>
      <c r="BI18" s="981"/>
      <c r="BJ18" s="1114"/>
      <c r="BK18" s="1114"/>
      <c r="BL18" s="1115"/>
      <c r="BM18" s="1115"/>
      <c r="BN18" s="1115"/>
      <c r="BO18" s="1115"/>
      <c r="BP18" s="1115"/>
    </row>
    <row r="19" spans="1:68">
      <c r="W19" s="808"/>
      <c r="Z19" s="808"/>
      <c r="AA19" s="808"/>
      <c r="AS19" s="772"/>
      <c r="AU19" s="772"/>
      <c r="AV19" s="772"/>
    </row>
    <row r="20" spans="1:68">
      <c r="AW20" s="772"/>
    </row>
    <row r="21" spans="1:68">
      <c r="AV21" s="772"/>
    </row>
  </sheetData>
  <autoFilter ref="N1:N17" xr:uid="{00000000-0009-0000-0000-00000A000000}"/>
  <mergeCells count="9">
    <mergeCell ref="Z5:AE5"/>
    <mergeCell ref="AH6:AI6"/>
    <mergeCell ref="B6:C6"/>
    <mergeCell ref="S13:T13"/>
    <mergeCell ref="AY6:BC6"/>
    <mergeCell ref="S11:T11"/>
    <mergeCell ref="AR6:AX6"/>
    <mergeCell ref="AL6:AQ6"/>
    <mergeCell ref="AJ6:AK6"/>
  </mergeCells>
  <phoneticPr fontId="3" type="noConversion"/>
  <dataValidations count="5">
    <dataValidation allowBlank="1" showInputMessage="1" showErrorMessage="1" sqref="Z6 V11 AU7:AV7 AV19:AV21 AF6:AF7 F10:F11 C1:C5 BD1:BI4 S13:T13 BD7 BF7 BH7 J6:K7 N17 M6:M7 G6:H7 G4:H4 J4:K4 AH6:AI7 F3 L3 M4 A3 B1:B1048576 F16 X1:Y9 X11:Y1048576 F13 V13 BD19:BI65538 C7:C1048576 A10 D10:E10 G10:XFD10" xr:uid="{00000000-0002-0000-0A00-000000000000}"/>
    <dataValidation type="custom" allowBlank="1" showInputMessage="1" showErrorMessage="1" error="Data entry in this cell is denied." sqref="BA18:BC19 M16 BG5:BG9 AY7:BC7 AU18 AY18:AY19 AL7:AR7 AJ7 R11:U11 AE6 Q4 BF8:BF9 U19 Z18:AA19 T2 Z1:AA1 AE16 W19 D6:D7 L4 F4 I4 L1 BD5:BD6 BF5:BF6 BH5:BH6 G16 AX19:AX21 M11:N11 I16:K16 U13 BE5:BE9 G11:K11 W11 BD8:BD9 BH8:BH9 G13 I13:K13 M13:N13 W13 BD11:BI18 H13:H17 A13 D13:E13 R13 D16:E16 D11:E11 D1:E1 A4 A1 A11 A16 BI5:BI9" xr:uid="{00000000-0002-0000-0A00-000001000000}">
      <formula1>"&lt;&gt;ActiveCell"</formula1>
    </dataValidation>
    <dataValidation type="custom" allowBlank="1" showInputMessage="1" showErrorMessage="1" error="Formula in cell. Access denied" sqref="AS1:BC5 AL6 AH8:BC9 AK5:AQ5 AJ5:AJ6 AK7 AF16 AQ13:BC16 AS7:AT7 AW7:AX7 AY6 AR1:AR6 U1:W7 Q5:Q7 Q1:Q3 R1:S7 AE7:AE8 R14:U16 T1 R8:U9 Z8:AD9 T3:T7 W16 O13:Q17 AE15 R12:U12 D17:G17 A5:A7 D5 M5 I14:M15 O1:P7 I17:M17 E5:F7 G5:H5 I5:I7 J5:K5 L5:L7 F1:K2 AF5:AI5 O11:Q11 Z11:AD16 AA6:AD7 AN13:AP15 AH12:BC12 Z7 Z2:Z5 AA2:AA4 AG11:BC11 AB1:AQ4 AG13:AM16 D14:G15 D2:E2 A2 A14:A15 A17 D4:E4" xr:uid="{00000000-0002-0000-0A00-000002000000}">
      <formula1>"&lt;&gt;A1:D2,A3:B4,A5:E7,G1:AM7,X8:AM20,Q8:V20,A17:I21"</formula1>
    </dataValidation>
    <dataValidation type="custom" allowBlank="1" showInputMessage="1" showErrorMessage="1" error="Formula in cell. Access denied." sqref="AG8" xr:uid="{00000000-0002-0000-0A00-000003000000}">
      <formula1>"&lt;&gt;A1:D2,A3:B4,A5:E7,G1:AM7,X8:AM20,Q8:V20"</formula1>
    </dataValidation>
    <dataValidation type="custom" allowBlank="1" showInputMessage="1" showErrorMessage="1" error="Formula in cell. Data input denied." sqref="G3:K3 AG6:AG7 M3 D3:E3" xr:uid="{00000000-0002-0000-0A00-000004000000}">
      <formula1>"&lt;&gt;=A1:D2,A3:B4,C4:E4,A5:E7,F2:AH8,R9:V222,X9:AH222"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A02B4-58AD-4C05-8AE7-9F4BB21CD2BF}">
  <sheetPr codeName="Sheet9">
    <pageSetUpPr fitToPage="1"/>
  </sheetPr>
  <dimension ref="A1:S920"/>
  <sheetViews>
    <sheetView showGridLines="0" showZeros="0" topLeftCell="C1" zoomScaleNormal="100" workbookViewId="0">
      <pane ySplit="7" topLeftCell="A8" activePane="bottomLeft" state="frozen"/>
      <selection pane="bottomLeft" activeCell="D7" sqref="D7"/>
    </sheetView>
  </sheetViews>
  <sheetFormatPr defaultColWidth="7.26953125" defaultRowHeight="20.100000000000001" customHeight="1"/>
  <cols>
    <col min="1" max="1" width="2.6328125" style="1171" hidden="1" customWidth="1"/>
    <col min="2" max="2" width="1.54296875" style="1171" hidden="1" customWidth="1"/>
    <col min="3" max="3" width="20.54296875" style="1174" customWidth="1"/>
    <col min="4" max="4" width="20.54296875" style="1171" customWidth="1"/>
    <col min="5" max="5" width="11.453125" style="1172" customWidth="1"/>
    <col min="6" max="6" width="20.54296875" style="1171" customWidth="1"/>
    <col min="7" max="7" width="11.453125" style="1172" customWidth="1"/>
    <col min="8" max="8" width="20.54296875" style="1171" customWidth="1"/>
    <col min="9" max="9" width="11.453125" style="1172" customWidth="1"/>
    <col min="10" max="10" width="20.54296875" style="1171" customWidth="1"/>
    <col min="11" max="11" width="11.453125" style="1172" customWidth="1"/>
    <col min="12" max="12" width="20.54296875" style="1171" customWidth="1"/>
    <col min="13" max="13" width="11.453125" style="1172" customWidth="1"/>
    <col min="14" max="14" width="11.453125" style="1173" customWidth="1"/>
    <col min="15" max="15" width="20.54296875" style="1174" customWidth="1"/>
    <col min="16" max="16" width="14.26953125" style="1174" customWidth="1"/>
    <col min="17" max="17" width="18.7265625" style="1174" customWidth="1"/>
    <col min="18" max="19" width="8.6328125" style="1174" customWidth="1"/>
    <col min="20" max="16384" width="7.26953125" style="1174"/>
  </cols>
  <sheetData>
    <row r="1" spans="1:19" s="1135" customFormat="1" ht="13.2">
      <c r="A1" s="1130" t="e">
        <f>IF(#REF! &lt;&gt;" ","1",LARGE(B8:B845,1)+1)</f>
        <v>#REF!</v>
      </c>
      <c r="B1" s="1131"/>
      <c r="C1" s="1131"/>
      <c r="D1" s="1131"/>
      <c r="E1" s="1132"/>
      <c r="F1" s="1131"/>
      <c r="G1" s="1132"/>
      <c r="H1" s="1133"/>
      <c r="I1" s="1132"/>
      <c r="J1" s="1133"/>
      <c r="K1" s="1132"/>
      <c r="L1" s="1131"/>
      <c r="M1" s="1132"/>
      <c r="N1" s="1132"/>
      <c r="O1" s="1132"/>
      <c r="P1" s="1134"/>
      <c r="Q1" s="1134"/>
      <c r="R1" s="1134"/>
      <c r="S1" s="1134"/>
    </row>
    <row r="2" spans="1:19" s="1135" customFormat="1" ht="13.2">
      <c r="A2" s="1130" t="s">
        <v>486</v>
      </c>
      <c r="B2" s="1131"/>
      <c r="C2" s="1136" t="s">
        <v>487</v>
      </c>
      <c r="D2" s="1137" t="s">
        <v>471</v>
      </c>
      <c r="E2" s="1137"/>
      <c r="F2" s="1137"/>
      <c r="G2" s="1137"/>
      <c r="H2" s="1137"/>
      <c r="I2" s="1138"/>
      <c r="J2" s="1133"/>
      <c r="K2" s="1132"/>
      <c r="L2" s="1131"/>
      <c r="M2" s="1132"/>
      <c r="N2" s="1132"/>
      <c r="O2" s="1132"/>
      <c r="P2" s="1139"/>
      <c r="Q2" s="1140"/>
      <c r="R2" s="1141"/>
      <c r="S2" s="1142"/>
    </row>
    <row r="3" spans="1:19" s="1135" customFormat="1" ht="13.2">
      <c r="B3" s="1131"/>
      <c r="C3" s="1136" t="s">
        <v>472</v>
      </c>
      <c r="D3" s="1143" t="s">
        <v>515</v>
      </c>
      <c r="E3" s="1143"/>
      <c r="F3" s="1143"/>
      <c r="G3" s="1143"/>
      <c r="H3" s="1143"/>
      <c r="I3" s="1138"/>
      <c r="J3" s="1133"/>
      <c r="K3" s="1132"/>
      <c r="L3" s="1131"/>
      <c r="M3" s="1132"/>
      <c r="N3" s="1132"/>
      <c r="O3" s="1132"/>
      <c r="P3" s="1139"/>
      <c r="Q3" s="1140"/>
      <c r="R3" s="1141"/>
      <c r="S3" s="1142"/>
    </row>
    <row r="4" spans="1:19" s="1135" customFormat="1" ht="13.2">
      <c r="A4" s="1135">
        <f>SUM(P3:P5)</f>
        <v>0</v>
      </c>
      <c r="B4" s="1131"/>
      <c r="C4" s="1136" t="s">
        <v>488</v>
      </c>
      <c r="D4" s="1144" t="s">
        <v>436</v>
      </c>
      <c r="E4" s="1144"/>
      <c r="F4" s="1144"/>
      <c r="G4" s="1144"/>
      <c r="H4" s="1144"/>
      <c r="I4" s="1138"/>
      <c r="J4" s="1133"/>
      <c r="K4" s="1132"/>
      <c r="L4" s="1131"/>
      <c r="M4" s="1132"/>
      <c r="N4" s="1132"/>
      <c r="O4" s="1132"/>
      <c r="P4" s="1145"/>
      <c r="Q4" s="1140"/>
      <c r="R4" s="1141"/>
      <c r="S4" s="1142"/>
    </row>
    <row r="5" spans="1:19" s="1135" customFormat="1" ht="13.2">
      <c r="B5" s="1131"/>
      <c r="C5" s="1131"/>
      <c r="D5" s="1131"/>
      <c r="E5" s="1132"/>
      <c r="F5" s="1131"/>
      <c r="G5" s="1132"/>
      <c r="H5" s="1133"/>
      <c r="I5" s="1132"/>
      <c r="J5" s="1133"/>
      <c r="K5" s="1132"/>
      <c r="L5" s="1131"/>
      <c r="M5" s="1132"/>
      <c r="N5" s="1132"/>
      <c r="O5" s="1132"/>
      <c r="P5" s="1139"/>
      <c r="Q5" s="1140"/>
      <c r="R5" s="1141"/>
      <c r="S5" s="1142"/>
    </row>
    <row r="6" spans="1:19" s="1135" customFormat="1" ht="13.8" thickBot="1">
      <c r="A6" s="1130"/>
      <c r="B6" s="1146"/>
      <c r="C6" s="1147"/>
      <c r="D6" s="1148" t="s">
        <v>489</v>
      </c>
      <c r="E6" s="1149"/>
      <c r="F6" s="1150" t="s">
        <v>490</v>
      </c>
      <c r="G6" s="1151"/>
      <c r="H6" s="1152" t="s">
        <v>491</v>
      </c>
      <c r="I6" s="1153"/>
      <c r="J6" s="1154" t="s">
        <v>492</v>
      </c>
      <c r="K6" s="1155"/>
      <c r="L6" s="1148" t="s">
        <v>493</v>
      </c>
      <c r="M6" s="1156"/>
      <c r="N6" s="1157" t="s">
        <v>494</v>
      </c>
      <c r="O6" s="1158"/>
      <c r="P6" s="1134"/>
      <c r="Q6" s="1134"/>
      <c r="R6" s="1134"/>
      <c r="S6" s="1134"/>
    </row>
    <row r="7" spans="1:19" s="1170" customFormat="1" ht="21.75" customHeight="1">
      <c r="A7" s="1159"/>
      <c r="B7" s="1160" t="s">
        <v>495</v>
      </c>
      <c r="C7" s="1161" t="s">
        <v>202</v>
      </c>
      <c r="D7" s="1162" t="s">
        <v>496</v>
      </c>
      <c r="E7" s="1163" t="s">
        <v>497</v>
      </c>
      <c r="F7" s="1164" t="s">
        <v>496</v>
      </c>
      <c r="G7" s="1165" t="s">
        <v>497</v>
      </c>
      <c r="H7" s="1166" t="s">
        <v>496</v>
      </c>
      <c r="I7" s="1163" t="s">
        <v>497</v>
      </c>
      <c r="J7" s="1164" t="s">
        <v>496</v>
      </c>
      <c r="K7" s="1165" t="s">
        <v>497</v>
      </c>
      <c r="L7" s="1166" t="s">
        <v>496</v>
      </c>
      <c r="M7" s="1163" t="s">
        <v>497</v>
      </c>
      <c r="N7" s="1167" t="s">
        <v>497</v>
      </c>
      <c r="O7" s="1168" t="s">
        <v>496</v>
      </c>
      <c r="P7" s="1169"/>
      <c r="Q7" s="1169"/>
      <c r="R7" s="1169"/>
    </row>
    <row r="8" spans="1:19" s="1171" customFormat="1" ht="20.100000000000001" customHeight="1">
      <c r="C8" s="1175"/>
      <c r="E8" s="1172"/>
      <c r="G8" s="1172"/>
      <c r="I8" s="1172"/>
      <c r="K8" s="1172"/>
      <c r="M8" s="1172"/>
      <c r="N8" s="1173"/>
      <c r="O8" s="1174"/>
      <c r="P8" s="1174"/>
      <c r="Q8" s="1174"/>
      <c r="R8" s="1174"/>
      <c r="S8" s="1174"/>
    </row>
    <row r="9" spans="1:19" s="1171" customFormat="1" ht="20.100000000000001" customHeight="1">
      <c r="C9" s="1175"/>
      <c r="E9" s="1172"/>
      <c r="G9" s="1172"/>
      <c r="I9" s="1172"/>
      <c r="K9" s="1172"/>
      <c r="M9" s="1172"/>
      <c r="N9" s="1173"/>
      <c r="O9" s="1174"/>
      <c r="P9" s="1174"/>
      <c r="Q9" s="1174"/>
      <c r="R9" s="1174"/>
      <c r="S9" s="1174"/>
    </row>
    <row r="10" spans="1:19" s="1171" customFormat="1" ht="20.100000000000001" customHeight="1">
      <c r="C10" s="1175"/>
      <c r="E10" s="1172"/>
      <c r="G10" s="1172"/>
      <c r="I10" s="1172"/>
      <c r="K10" s="1172"/>
      <c r="M10" s="1172"/>
      <c r="N10" s="1173"/>
      <c r="O10" s="1174"/>
      <c r="P10" s="1174"/>
      <c r="Q10" s="1174"/>
      <c r="R10" s="1174"/>
      <c r="S10" s="1174"/>
    </row>
    <row r="11" spans="1:19" s="1171" customFormat="1" ht="20.100000000000001" customHeight="1">
      <c r="C11" s="1175"/>
      <c r="E11" s="1172"/>
      <c r="G11" s="1172"/>
      <c r="I11" s="1172"/>
      <c r="K11" s="1172"/>
      <c r="M11" s="1172"/>
      <c r="N11" s="1173"/>
      <c r="O11" s="1174"/>
      <c r="P11" s="1174"/>
      <c r="Q11" s="1174"/>
      <c r="R11" s="1174"/>
      <c r="S11" s="1174"/>
    </row>
    <row r="12" spans="1:19" s="1171" customFormat="1" ht="20.100000000000001" customHeight="1">
      <c r="C12" s="1175"/>
      <c r="E12" s="1172"/>
      <c r="G12" s="1172"/>
      <c r="I12" s="1172"/>
      <c r="K12" s="1172"/>
      <c r="M12" s="1172"/>
      <c r="N12" s="1173"/>
      <c r="O12" s="1174"/>
      <c r="P12" s="1174"/>
      <c r="Q12" s="1174"/>
      <c r="R12" s="1174"/>
      <c r="S12" s="1174"/>
    </row>
    <row r="13" spans="1:19" s="1171" customFormat="1" ht="20.100000000000001" customHeight="1">
      <c r="C13" s="1175"/>
      <c r="E13" s="1172"/>
      <c r="G13" s="1172"/>
      <c r="I13" s="1172"/>
      <c r="K13" s="1172"/>
      <c r="M13" s="1172"/>
      <c r="N13" s="1173"/>
      <c r="O13" s="1174"/>
      <c r="P13" s="1174"/>
      <c r="Q13" s="1174"/>
      <c r="R13" s="1174"/>
      <c r="S13" s="1174"/>
    </row>
    <row r="14" spans="1:19" s="1171" customFormat="1" ht="20.100000000000001" customHeight="1">
      <c r="C14" s="1175"/>
      <c r="E14" s="1172"/>
      <c r="G14" s="1172"/>
      <c r="I14" s="1172"/>
      <c r="K14" s="1172"/>
      <c r="M14" s="1172"/>
      <c r="N14" s="1173"/>
      <c r="O14" s="1174"/>
      <c r="P14" s="1174"/>
      <c r="Q14" s="1174"/>
      <c r="R14" s="1174"/>
      <c r="S14" s="1174"/>
    </row>
    <row r="15" spans="1:19" s="1171" customFormat="1" ht="20.100000000000001" customHeight="1">
      <c r="C15" s="1175"/>
      <c r="E15" s="1172"/>
      <c r="G15" s="1172"/>
      <c r="I15" s="1172"/>
      <c r="K15" s="1172"/>
      <c r="M15" s="1172"/>
      <c r="N15" s="1173"/>
      <c r="O15" s="1174"/>
      <c r="P15" s="1174"/>
      <c r="Q15" s="1174"/>
      <c r="R15" s="1174"/>
      <c r="S15" s="1174"/>
    </row>
    <row r="16" spans="1:19" s="1171" customFormat="1" ht="20.100000000000001" customHeight="1">
      <c r="C16" s="1175"/>
      <c r="E16" s="1172"/>
      <c r="G16" s="1172"/>
      <c r="I16" s="1172"/>
      <c r="K16" s="1172"/>
      <c r="M16" s="1172"/>
      <c r="N16" s="1173"/>
      <c r="O16" s="1174"/>
      <c r="P16" s="1174"/>
      <c r="Q16" s="1174"/>
      <c r="R16" s="1174"/>
      <c r="S16" s="1174"/>
    </row>
    <row r="17" spans="3:19" s="1171" customFormat="1" ht="20.100000000000001" customHeight="1">
      <c r="C17" s="1175"/>
      <c r="E17" s="1172"/>
      <c r="G17" s="1172"/>
      <c r="I17" s="1172"/>
      <c r="K17" s="1172"/>
      <c r="M17" s="1172"/>
      <c r="N17" s="1173"/>
      <c r="O17" s="1174"/>
      <c r="P17" s="1174"/>
      <c r="Q17" s="1174"/>
      <c r="R17" s="1174"/>
      <c r="S17" s="1174"/>
    </row>
    <row r="18" spans="3:19" s="1171" customFormat="1" ht="20.100000000000001" customHeight="1">
      <c r="C18" s="1175"/>
      <c r="E18" s="1172"/>
      <c r="G18" s="1172"/>
      <c r="I18" s="1172"/>
      <c r="K18" s="1172"/>
      <c r="M18" s="1172"/>
      <c r="N18" s="1173"/>
      <c r="O18" s="1174"/>
      <c r="P18" s="1174"/>
      <c r="Q18" s="1174"/>
      <c r="R18" s="1174"/>
      <c r="S18" s="1174"/>
    </row>
    <row r="19" spans="3:19" s="1171" customFormat="1" ht="20.100000000000001" customHeight="1">
      <c r="C19" s="1175"/>
      <c r="E19" s="1172"/>
      <c r="G19" s="1172"/>
      <c r="I19" s="1172"/>
      <c r="K19" s="1172"/>
      <c r="M19" s="1172"/>
      <c r="N19" s="1173"/>
      <c r="O19" s="1174"/>
      <c r="P19" s="1174"/>
      <c r="Q19" s="1174"/>
      <c r="R19" s="1174"/>
      <c r="S19" s="1174"/>
    </row>
    <row r="20" spans="3:19" s="1171" customFormat="1" ht="20.100000000000001" customHeight="1">
      <c r="C20" s="1175"/>
      <c r="E20" s="1172"/>
      <c r="G20" s="1172"/>
      <c r="I20" s="1172"/>
      <c r="K20" s="1172"/>
      <c r="M20" s="1172"/>
      <c r="N20" s="1173"/>
      <c r="O20" s="1174"/>
      <c r="P20" s="1174"/>
      <c r="Q20" s="1174"/>
      <c r="R20" s="1174"/>
      <c r="S20" s="1174"/>
    </row>
    <row r="21" spans="3:19" s="1171" customFormat="1" ht="20.100000000000001" customHeight="1">
      <c r="C21" s="1175"/>
      <c r="E21" s="1172"/>
      <c r="G21" s="1172"/>
      <c r="I21" s="1172"/>
      <c r="K21" s="1172"/>
      <c r="M21" s="1172"/>
      <c r="N21" s="1173"/>
      <c r="O21" s="1174"/>
      <c r="P21" s="1174"/>
      <c r="Q21" s="1174"/>
      <c r="R21" s="1174"/>
      <c r="S21" s="1174"/>
    </row>
    <row r="22" spans="3:19" s="1171" customFormat="1" ht="20.100000000000001" customHeight="1">
      <c r="C22" s="1175"/>
      <c r="E22" s="1172"/>
      <c r="G22" s="1172"/>
      <c r="I22" s="1172"/>
      <c r="K22" s="1172"/>
      <c r="M22" s="1172"/>
      <c r="N22" s="1173"/>
      <c r="O22" s="1174"/>
      <c r="P22" s="1174"/>
      <c r="Q22" s="1174"/>
      <c r="R22" s="1174"/>
      <c r="S22" s="1174"/>
    </row>
    <row r="23" spans="3:19" s="1171" customFormat="1" ht="20.100000000000001" customHeight="1">
      <c r="C23" s="1175"/>
      <c r="E23" s="1172"/>
      <c r="G23" s="1172"/>
      <c r="I23" s="1172"/>
      <c r="K23" s="1172"/>
      <c r="M23" s="1172"/>
      <c r="N23" s="1173"/>
      <c r="O23" s="1174"/>
      <c r="P23" s="1174"/>
      <c r="Q23" s="1174"/>
      <c r="R23" s="1174"/>
      <c r="S23" s="1174"/>
    </row>
    <row r="24" spans="3:19" s="1171" customFormat="1" ht="20.100000000000001" customHeight="1">
      <c r="C24" s="1175"/>
      <c r="E24" s="1172"/>
      <c r="G24" s="1172"/>
      <c r="I24" s="1172"/>
      <c r="K24" s="1172"/>
      <c r="M24" s="1172"/>
      <c r="N24" s="1173"/>
      <c r="O24" s="1174"/>
      <c r="P24" s="1174"/>
      <c r="Q24" s="1174"/>
      <c r="R24" s="1174"/>
      <c r="S24" s="1174"/>
    </row>
    <row r="25" spans="3:19" s="1171" customFormat="1" ht="20.100000000000001" customHeight="1">
      <c r="C25" s="1175"/>
      <c r="E25" s="1172"/>
      <c r="G25" s="1172"/>
      <c r="I25" s="1172"/>
      <c r="K25" s="1172"/>
      <c r="M25" s="1172"/>
      <c r="N25" s="1173"/>
      <c r="O25" s="1174"/>
      <c r="P25" s="1174"/>
      <c r="Q25" s="1174"/>
      <c r="R25" s="1174"/>
      <c r="S25" s="1174"/>
    </row>
    <row r="26" spans="3:19" s="1171" customFormat="1" ht="20.100000000000001" customHeight="1">
      <c r="C26" s="1175"/>
      <c r="E26" s="1172"/>
      <c r="G26" s="1172"/>
      <c r="I26" s="1172"/>
      <c r="K26" s="1172"/>
      <c r="M26" s="1172"/>
      <c r="N26" s="1173"/>
      <c r="O26" s="1174"/>
      <c r="P26" s="1174"/>
      <c r="Q26" s="1174"/>
      <c r="R26" s="1174"/>
      <c r="S26" s="1174"/>
    </row>
    <row r="27" spans="3:19" s="1171" customFormat="1" ht="20.100000000000001" customHeight="1">
      <c r="C27" s="1175"/>
      <c r="E27" s="1172"/>
      <c r="G27" s="1172"/>
      <c r="I27" s="1172"/>
      <c r="K27" s="1172"/>
      <c r="M27" s="1172"/>
      <c r="N27" s="1173"/>
      <c r="O27" s="1174"/>
      <c r="P27" s="1174"/>
      <c r="Q27" s="1174"/>
      <c r="R27" s="1174"/>
      <c r="S27" s="1174"/>
    </row>
    <row r="28" spans="3:19" s="1171" customFormat="1" ht="20.100000000000001" customHeight="1">
      <c r="C28" s="1175"/>
      <c r="E28" s="1172"/>
      <c r="G28" s="1172"/>
      <c r="I28" s="1172"/>
      <c r="K28" s="1172"/>
      <c r="M28" s="1172"/>
      <c r="N28" s="1173"/>
      <c r="O28" s="1174"/>
      <c r="P28" s="1174"/>
      <c r="Q28" s="1174"/>
      <c r="R28" s="1174"/>
      <c r="S28" s="1174"/>
    </row>
    <row r="29" spans="3:19" s="1171" customFormat="1" ht="20.100000000000001" customHeight="1">
      <c r="C29" s="1175"/>
      <c r="E29" s="1172"/>
      <c r="G29" s="1172"/>
      <c r="I29" s="1172"/>
      <c r="K29" s="1172"/>
      <c r="M29" s="1172"/>
      <c r="N29" s="1173"/>
      <c r="O29" s="1174"/>
      <c r="P29" s="1174"/>
      <c r="Q29" s="1174"/>
      <c r="R29" s="1174"/>
      <c r="S29" s="1174"/>
    </row>
    <row r="30" spans="3:19" s="1171" customFormat="1" ht="20.100000000000001" customHeight="1">
      <c r="C30" s="1175"/>
      <c r="E30" s="1172"/>
      <c r="G30" s="1172"/>
      <c r="I30" s="1172"/>
      <c r="K30" s="1172"/>
      <c r="M30" s="1172"/>
      <c r="N30" s="1173"/>
      <c r="O30" s="1174"/>
      <c r="P30" s="1174"/>
      <c r="Q30" s="1174"/>
      <c r="R30" s="1174"/>
      <c r="S30" s="1174"/>
    </row>
    <row r="31" spans="3:19" s="1171" customFormat="1" ht="20.100000000000001" customHeight="1">
      <c r="C31" s="1175"/>
      <c r="E31" s="1172"/>
      <c r="G31" s="1172"/>
      <c r="I31" s="1172"/>
      <c r="K31" s="1172"/>
      <c r="M31" s="1172"/>
      <c r="N31" s="1173"/>
      <c r="O31" s="1174"/>
      <c r="P31" s="1174"/>
      <c r="Q31" s="1174"/>
      <c r="R31" s="1174"/>
      <c r="S31" s="1174"/>
    </row>
    <row r="32" spans="3:19" s="1171" customFormat="1" ht="20.100000000000001" customHeight="1">
      <c r="C32" s="1175"/>
      <c r="E32" s="1172"/>
      <c r="G32" s="1172"/>
      <c r="I32" s="1172"/>
      <c r="K32" s="1172"/>
      <c r="M32" s="1172"/>
      <c r="N32" s="1173"/>
      <c r="O32" s="1174"/>
      <c r="P32" s="1174"/>
      <c r="Q32" s="1174"/>
      <c r="R32" s="1174"/>
      <c r="S32" s="1174"/>
    </row>
    <row r="33" spans="3:19" s="1171" customFormat="1" ht="20.100000000000001" customHeight="1">
      <c r="C33" s="1175"/>
      <c r="E33" s="1172"/>
      <c r="G33" s="1172"/>
      <c r="I33" s="1172"/>
      <c r="K33" s="1172"/>
      <c r="M33" s="1172"/>
      <c r="N33" s="1173"/>
      <c r="O33" s="1174"/>
      <c r="P33" s="1174"/>
      <c r="Q33" s="1174"/>
      <c r="R33" s="1174"/>
      <c r="S33" s="1174"/>
    </row>
    <row r="34" spans="3:19" s="1171" customFormat="1" ht="20.100000000000001" customHeight="1">
      <c r="C34" s="1175"/>
      <c r="E34" s="1172"/>
      <c r="G34" s="1172"/>
      <c r="I34" s="1172"/>
      <c r="K34" s="1172"/>
      <c r="M34" s="1172"/>
      <c r="N34" s="1173"/>
      <c r="O34" s="1174"/>
      <c r="P34" s="1174"/>
      <c r="Q34" s="1174"/>
      <c r="R34" s="1174"/>
      <c r="S34" s="1174"/>
    </row>
    <row r="35" spans="3:19" s="1171" customFormat="1" ht="20.100000000000001" customHeight="1">
      <c r="C35" s="1175"/>
      <c r="E35" s="1172"/>
      <c r="G35" s="1172"/>
      <c r="I35" s="1172"/>
      <c r="K35" s="1172"/>
      <c r="M35" s="1172"/>
      <c r="N35" s="1173"/>
      <c r="O35" s="1174"/>
      <c r="P35" s="1174"/>
      <c r="Q35" s="1174"/>
      <c r="R35" s="1174"/>
      <c r="S35" s="1174"/>
    </row>
    <row r="36" spans="3:19" s="1171" customFormat="1" ht="20.100000000000001" customHeight="1">
      <c r="C36" s="1175"/>
      <c r="E36" s="1172"/>
      <c r="G36" s="1172"/>
      <c r="I36" s="1172"/>
      <c r="K36" s="1172"/>
      <c r="M36" s="1172"/>
      <c r="N36" s="1173"/>
      <c r="O36" s="1174"/>
      <c r="P36" s="1174"/>
      <c r="Q36" s="1174"/>
      <c r="R36" s="1174"/>
      <c r="S36" s="1174"/>
    </row>
    <row r="37" spans="3:19" s="1171" customFormat="1" ht="20.100000000000001" customHeight="1">
      <c r="C37" s="1175"/>
      <c r="E37" s="1172"/>
      <c r="G37" s="1172"/>
      <c r="I37" s="1172"/>
      <c r="K37" s="1172"/>
      <c r="M37" s="1172"/>
      <c r="N37" s="1173"/>
      <c r="O37" s="1174"/>
      <c r="P37" s="1174"/>
      <c r="Q37" s="1174"/>
      <c r="R37" s="1174"/>
      <c r="S37" s="1174"/>
    </row>
    <row r="38" spans="3:19" s="1171" customFormat="1" ht="20.100000000000001" customHeight="1">
      <c r="C38" s="1175"/>
      <c r="E38" s="1172"/>
      <c r="G38" s="1172"/>
      <c r="I38" s="1172"/>
      <c r="K38" s="1172"/>
      <c r="M38" s="1172"/>
      <c r="N38" s="1173"/>
      <c r="O38" s="1174"/>
      <c r="P38" s="1174"/>
      <c r="Q38" s="1174"/>
      <c r="R38" s="1174"/>
      <c r="S38" s="1174"/>
    </row>
    <row r="39" spans="3:19" s="1171" customFormat="1" ht="20.100000000000001" customHeight="1">
      <c r="C39" s="1175"/>
      <c r="E39" s="1172"/>
      <c r="G39" s="1172"/>
      <c r="I39" s="1172"/>
      <c r="K39" s="1172"/>
      <c r="M39" s="1172"/>
      <c r="N39" s="1173"/>
      <c r="O39" s="1174"/>
      <c r="P39" s="1174"/>
      <c r="Q39" s="1174"/>
      <c r="R39" s="1174"/>
      <c r="S39" s="1174"/>
    </row>
    <row r="40" spans="3:19" s="1171" customFormat="1" ht="20.100000000000001" customHeight="1">
      <c r="C40" s="1175"/>
      <c r="E40" s="1172"/>
      <c r="G40" s="1172"/>
      <c r="I40" s="1172"/>
      <c r="K40" s="1172"/>
      <c r="M40" s="1172"/>
      <c r="N40" s="1173"/>
      <c r="O40" s="1174"/>
      <c r="P40" s="1174"/>
      <c r="Q40" s="1174"/>
      <c r="R40" s="1174"/>
      <c r="S40" s="1174"/>
    </row>
    <row r="41" spans="3:19" s="1171" customFormat="1" ht="20.100000000000001" customHeight="1">
      <c r="C41" s="1175"/>
      <c r="E41" s="1172"/>
      <c r="G41" s="1172"/>
      <c r="I41" s="1172"/>
      <c r="K41" s="1172"/>
      <c r="M41" s="1172"/>
      <c r="N41" s="1173"/>
      <c r="O41" s="1174"/>
      <c r="P41" s="1174"/>
      <c r="Q41" s="1174"/>
      <c r="R41" s="1174"/>
      <c r="S41" s="1174"/>
    </row>
    <row r="42" spans="3:19" s="1171" customFormat="1" ht="20.100000000000001" customHeight="1">
      <c r="C42" s="1175"/>
      <c r="E42" s="1172"/>
      <c r="G42" s="1172"/>
      <c r="I42" s="1172"/>
      <c r="K42" s="1172"/>
      <c r="M42" s="1172"/>
      <c r="N42" s="1173"/>
      <c r="O42" s="1174"/>
      <c r="P42" s="1174"/>
      <c r="Q42" s="1174"/>
      <c r="R42" s="1174"/>
      <c r="S42" s="1174"/>
    </row>
    <row r="43" spans="3:19" s="1171" customFormat="1" ht="20.100000000000001" customHeight="1">
      <c r="C43" s="1175"/>
      <c r="E43" s="1172"/>
      <c r="G43" s="1172"/>
      <c r="I43" s="1172"/>
      <c r="K43" s="1172"/>
      <c r="M43" s="1172"/>
      <c r="N43" s="1173"/>
      <c r="O43" s="1174"/>
      <c r="P43" s="1174"/>
      <c r="Q43" s="1174"/>
      <c r="R43" s="1174"/>
      <c r="S43" s="1174"/>
    </row>
    <row r="44" spans="3:19" s="1171" customFormat="1" ht="20.100000000000001" customHeight="1">
      <c r="C44" s="1175"/>
      <c r="E44" s="1172"/>
      <c r="G44" s="1172"/>
      <c r="I44" s="1172"/>
      <c r="K44" s="1172"/>
      <c r="M44" s="1172"/>
      <c r="N44" s="1173"/>
      <c r="O44" s="1174"/>
      <c r="P44" s="1174"/>
      <c r="Q44" s="1174"/>
      <c r="R44" s="1174"/>
      <c r="S44" s="1174"/>
    </row>
    <row r="45" spans="3:19" s="1171" customFormat="1" ht="20.100000000000001" customHeight="1">
      <c r="C45" s="1175"/>
      <c r="E45" s="1172"/>
      <c r="G45" s="1172"/>
      <c r="I45" s="1172"/>
      <c r="K45" s="1172"/>
      <c r="M45" s="1172"/>
      <c r="N45" s="1173"/>
      <c r="O45" s="1174"/>
      <c r="P45" s="1174"/>
      <c r="Q45" s="1174"/>
      <c r="R45" s="1174"/>
      <c r="S45" s="1174"/>
    </row>
    <row r="46" spans="3:19" s="1171" customFormat="1" ht="20.100000000000001" customHeight="1">
      <c r="C46" s="1175"/>
      <c r="E46" s="1172"/>
      <c r="G46" s="1172"/>
      <c r="I46" s="1172"/>
      <c r="K46" s="1172"/>
      <c r="M46" s="1172"/>
      <c r="N46" s="1173"/>
      <c r="O46" s="1174"/>
      <c r="P46" s="1174"/>
      <c r="Q46" s="1174"/>
      <c r="R46" s="1174"/>
      <c r="S46" s="1174"/>
    </row>
    <row r="47" spans="3:19" s="1171" customFormat="1" ht="20.100000000000001" customHeight="1">
      <c r="C47" s="1175"/>
      <c r="E47" s="1172"/>
      <c r="G47" s="1172"/>
      <c r="I47" s="1172"/>
      <c r="K47" s="1172"/>
      <c r="M47" s="1172"/>
      <c r="N47" s="1173"/>
      <c r="O47" s="1174"/>
      <c r="P47" s="1174"/>
      <c r="Q47" s="1174"/>
      <c r="R47" s="1174"/>
      <c r="S47" s="1174"/>
    </row>
    <row r="48" spans="3:19" s="1171" customFormat="1" ht="20.100000000000001" customHeight="1">
      <c r="C48" s="1175"/>
      <c r="E48" s="1172"/>
      <c r="G48" s="1172"/>
      <c r="I48" s="1172"/>
      <c r="K48" s="1172"/>
      <c r="M48" s="1172"/>
      <c r="N48" s="1173"/>
      <c r="O48" s="1174"/>
      <c r="P48" s="1174"/>
      <c r="Q48" s="1174"/>
      <c r="R48" s="1174"/>
      <c r="S48" s="1174"/>
    </row>
    <row r="49" spans="3:19" s="1171" customFormat="1" ht="20.100000000000001" customHeight="1">
      <c r="C49" s="1175"/>
      <c r="E49" s="1172"/>
      <c r="G49" s="1172"/>
      <c r="I49" s="1172"/>
      <c r="K49" s="1172"/>
      <c r="M49" s="1172"/>
      <c r="N49" s="1173"/>
      <c r="O49" s="1174"/>
      <c r="P49" s="1174"/>
      <c r="Q49" s="1174"/>
      <c r="R49" s="1174"/>
      <c r="S49" s="1174"/>
    </row>
    <row r="50" spans="3:19" s="1171" customFormat="1" ht="20.100000000000001" customHeight="1">
      <c r="C50" s="1175"/>
      <c r="E50" s="1172"/>
      <c r="G50" s="1172"/>
      <c r="I50" s="1172"/>
      <c r="K50" s="1172"/>
      <c r="M50" s="1172"/>
      <c r="N50" s="1173"/>
      <c r="O50" s="1174"/>
      <c r="P50" s="1174"/>
      <c r="Q50" s="1174"/>
      <c r="R50" s="1174"/>
      <c r="S50" s="1174"/>
    </row>
    <row r="51" spans="3:19" s="1171" customFormat="1" ht="20.100000000000001" customHeight="1">
      <c r="C51" s="1175"/>
      <c r="E51" s="1172"/>
      <c r="G51" s="1172"/>
      <c r="I51" s="1172"/>
      <c r="K51" s="1172"/>
      <c r="M51" s="1172"/>
      <c r="N51" s="1173"/>
      <c r="O51" s="1174"/>
      <c r="P51" s="1174"/>
      <c r="Q51" s="1174"/>
      <c r="R51" s="1174"/>
      <c r="S51" s="1174"/>
    </row>
    <row r="52" spans="3:19" s="1171" customFormat="1" ht="20.100000000000001" customHeight="1">
      <c r="C52" s="1175"/>
      <c r="E52" s="1172"/>
      <c r="G52" s="1172"/>
      <c r="I52" s="1172"/>
      <c r="K52" s="1172"/>
      <c r="M52" s="1172"/>
      <c r="N52" s="1173"/>
      <c r="O52" s="1174"/>
      <c r="P52" s="1174"/>
      <c r="Q52" s="1174"/>
      <c r="R52" s="1174"/>
      <c r="S52" s="1174"/>
    </row>
    <row r="53" spans="3:19" s="1171" customFormat="1" ht="20.100000000000001" customHeight="1">
      <c r="C53" s="1175"/>
      <c r="E53" s="1172"/>
      <c r="G53" s="1172"/>
      <c r="I53" s="1172"/>
      <c r="K53" s="1172"/>
      <c r="M53" s="1172"/>
      <c r="N53" s="1173"/>
      <c r="O53" s="1174"/>
      <c r="P53" s="1174"/>
      <c r="Q53" s="1174"/>
      <c r="R53" s="1174"/>
      <c r="S53" s="1174"/>
    </row>
    <row r="54" spans="3:19" s="1171" customFormat="1" ht="20.100000000000001" customHeight="1">
      <c r="C54" s="1175"/>
      <c r="E54" s="1172"/>
      <c r="G54" s="1172"/>
      <c r="I54" s="1172"/>
      <c r="K54" s="1172"/>
      <c r="M54" s="1172"/>
      <c r="N54" s="1173"/>
      <c r="O54" s="1174"/>
      <c r="P54" s="1174"/>
      <c r="Q54" s="1174"/>
      <c r="R54" s="1174"/>
      <c r="S54" s="1174"/>
    </row>
    <row r="55" spans="3:19" s="1171" customFormat="1" ht="20.100000000000001" customHeight="1">
      <c r="C55" s="1175"/>
      <c r="E55" s="1172"/>
      <c r="G55" s="1172"/>
      <c r="I55" s="1172"/>
      <c r="K55" s="1172"/>
      <c r="M55" s="1172"/>
      <c r="N55" s="1173"/>
      <c r="O55" s="1174"/>
      <c r="P55" s="1174"/>
      <c r="Q55" s="1174"/>
      <c r="R55" s="1174"/>
      <c r="S55" s="1174"/>
    </row>
    <row r="56" spans="3:19" s="1171" customFormat="1" ht="20.100000000000001" customHeight="1">
      <c r="C56" s="1175"/>
      <c r="E56" s="1172"/>
      <c r="G56" s="1172"/>
      <c r="I56" s="1172"/>
      <c r="K56" s="1172"/>
      <c r="M56" s="1172"/>
      <c r="N56" s="1173"/>
      <c r="O56" s="1174"/>
      <c r="P56" s="1174"/>
      <c r="Q56" s="1174"/>
      <c r="R56" s="1174"/>
      <c r="S56" s="1174"/>
    </row>
    <row r="57" spans="3:19" s="1171" customFormat="1" ht="20.100000000000001" customHeight="1">
      <c r="C57" s="1175"/>
      <c r="E57" s="1172"/>
      <c r="G57" s="1172"/>
      <c r="I57" s="1172"/>
      <c r="K57" s="1172"/>
      <c r="M57" s="1172"/>
      <c r="N57" s="1173"/>
      <c r="O57" s="1174"/>
      <c r="P57" s="1174"/>
      <c r="Q57" s="1174"/>
      <c r="R57" s="1174"/>
      <c r="S57" s="1174"/>
    </row>
    <row r="58" spans="3:19" s="1171" customFormat="1" ht="20.100000000000001" customHeight="1">
      <c r="C58" s="1175"/>
      <c r="E58" s="1172"/>
      <c r="G58" s="1172"/>
      <c r="I58" s="1172"/>
      <c r="K58" s="1172"/>
      <c r="M58" s="1172"/>
      <c r="N58" s="1173"/>
      <c r="O58" s="1174"/>
      <c r="P58" s="1174"/>
      <c r="Q58" s="1174"/>
      <c r="R58" s="1174"/>
      <c r="S58" s="1174"/>
    </row>
    <row r="59" spans="3:19" s="1171" customFormat="1" ht="20.100000000000001" customHeight="1">
      <c r="C59" s="1175"/>
      <c r="E59" s="1172"/>
      <c r="G59" s="1172"/>
      <c r="I59" s="1172"/>
      <c r="K59" s="1172"/>
      <c r="M59" s="1172"/>
      <c r="N59" s="1173"/>
      <c r="O59" s="1174"/>
      <c r="P59" s="1174"/>
      <c r="Q59" s="1174"/>
      <c r="R59" s="1174"/>
      <c r="S59" s="1174"/>
    </row>
    <row r="60" spans="3:19" s="1171" customFormat="1" ht="20.100000000000001" customHeight="1">
      <c r="C60" s="1175"/>
      <c r="E60" s="1172"/>
      <c r="G60" s="1172"/>
      <c r="I60" s="1172"/>
      <c r="K60" s="1172"/>
      <c r="M60" s="1172"/>
      <c r="N60" s="1173"/>
      <c r="O60" s="1174"/>
      <c r="P60" s="1174"/>
      <c r="Q60" s="1174"/>
      <c r="R60" s="1174"/>
      <c r="S60" s="1174"/>
    </row>
    <row r="61" spans="3:19" s="1171" customFormat="1" ht="20.100000000000001" customHeight="1">
      <c r="C61" s="1175"/>
      <c r="E61" s="1172"/>
      <c r="G61" s="1172"/>
      <c r="I61" s="1172"/>
      <c r="K61" s="1172"/>
      <c r="M61" s="1172"/>
      <c r="N61" s="1173"/>
      <c r="O61" s="1174"/>
      <c r="P61" s="1174"/>
      <c r="Q61" s="1174"/>
      <c r="R61" s="1174"/>
      <c r="S61" s="1174"/>
    </row>
    <row r="62" spans="3:19" s="1171" customFormat="1" ht="20.100000000000001" customHeight="1">
      <c r="C62" s="1175"/>
      <c r="E62" s="1172"/>
      <c r="G62" s="1172"/>
      <c r="I62" s="1172"/>
      <c r="K62" s="1172"/>
      <c r="M62" s="1172"/>
      <c r="N62" s="1173"/>
      <c r="O62" s="1174"/>
      <c r="P62" s="1174"/>
      <c r="Q62" s="1174"/>
      <c r="R62" s="1174"/>
      <c r="S62" s="1174"/>
    </row>
    <row r="63" spans="3:19" s="1171" customFormat="1" ht="20.100000000000001" customHeight="1">
      <c r="C63" s="1175"/>
      <c r="E63" s="1172"/>
      <c r="G63" s="1172"/>
      <c r="I63" s="1172"/>
      <c r="K63" s="1172"/>
      <c r="M63" s="1172"/>
      <c r="N63" s="1173"/>
      <c r="O63" s="1174"/>
      <c r="P63" s="1174"/>
      <c r="Q63" s="1174"/>
      <c r="R63" s="1174"/>
      <c r="S63" s="1174"/>
    </row>
    <row r="64" spans="3:19" s="1171" customFormat="1" ht="20.100000000000001" customHeight="1">
      <c r="C64" s="1175"/>
      <c r="E64" s="1172"/>
      <c r="G64" s="1172"/>
      <c r="I64" s="1172"/>
      <c r="K64" s="1172"/>
      <c r="M64" s="1172"/>
      <c r="N64" s="1173"/>
      <c r="O64" s="1174"/>
      <c r="P64" s="1174"/>
      <c r="Q64" s="1174"/>
      <c r="R64" s="1174"/>
      <c r="S64" s="1174"/>
    </row>
    <row r="65" spans="3:19" s="1171" customFormat="1" ht="20.100000000000001" customHeight="1">
      <c r="C65" s="1175"/>
      <c r="E65" s="1172"/>
      <c r="G65" s="1172"/>
      <c r="I65" s="1172"/>
      <c r="K65" s="1172"/>
      <c r="M65" s="1172"/>
      <c r="N65" s="1173"/>
      <c r="O65" s="1174"/>
      <c r="P65" s="1174"/>
      <c r="Q65" s="1174"/>
      <c r="R65" s="1174"/>
      <c r="S65" s="1174"/>
    </row>
    <row r="66" spans="3:19" s="1171" customFormat="1" ht="20.100000000000001" customHeight="1">
      <c r="C66" s="1175"/>
      <c r="E66" s="1172"/>
      <c r="G66" s="1172"/>
      <c r="I66" s="1172"/>
      <c r="K66" s="1172"/>
      <c r="M66" s="1172"/>
      <c r="N66" s="1173"/>
      <c r="O66" s="1174"/>
      <c r="P66" s="1174"/>
      <c r="Q66" s="1174"/>
      <c r="R66" s="1174"/>
      <c r="S66" s="1174"/>
    </row>
    <row r="67" spans="3:19" s="1171" customFormat="1" ht="20.100000000000001" customHeight="1">
      <c r="C67" s="1175"/>
      <c r="E67" s="1172"/>
      <c r="G67" s="1172"/>
      <c r="I67" s="1172"/>
      <c r="K67" s="1172"/>
      <c r="M67" s="1172"/>
      <c r="N67" s="1173"/>
      <c r="O67" s="1174"/>
      <c r="P67" s="1174"/>
      <c r="Q67" s="1174"/>
      <c r="R67" s="1174"/>
      <c r="S67" s="1174"/>
    </row>
    <row r="68" spans="3:19" s="1171" customFormat="1" ht="20.100000000000001" customHeight="1">
      <c r="C68" s="1175"/>
      <c r="E68" s="1172"/>
      <c r="G68" s="1172"/>
      <c r="I68" s="1172"/>
      <c r="K68" s="1172"/>
      <c r="M68" s="1172"/>
      <c r="N68" s="1173"/>
      <c r="O68" s="1174"/>
      <c r="P68" s="1174"/>
      <c r="Q68" s="1174"/>
      <c r="R68" s="1174"/>
      <c r="S68" s="1174"/>
    </row>
    <row r="69" spans="3:19" s="1171" customFormat="1" ht="20.100000000000001" customHeight="1">
      <c r="C69" s="1175"/>
      <c r="E69" s="1172"/>
      <c r="G69" s="1172"/>
      <c r="I69" s="1172"/>
      <c r="K69" s="1172"/>
      <c r="M69" s="1172"/>
      <c r="N69" s="1173"/>
      <c r="O69" s="1174"/>
      <c r="P69" s="1174"/>
      <c r="Q69" s="1174"/>
      <c r="R69" s="1174"/>
      <c r="S69" s="1174"/>
    </row>
    <row r="70" spans="3:19" s="1171" customFormat="1" ht="20.100000000000001" customHeight="1">
      <c r="C70" s="1175"/>
      <c r="E70" s="1172"/>
      <c r="G70" s="1172"/>
      <c r="I70" s="1172"/>
      <c r="K70" s="1172"/>
      <c r="M70" s="1172"/>
      <c r="N70" s="1173"/>
      <c r="O70" s="1174"/>
      <c r="P70" s="1174"/>
      <c r="Q70" s="1174"/>
      <c r="R70" s="1174"/>
      <c r="S70" s="1174"/>
    </row>
    <row r="71" spans="3:19" s="1171" customFormat="1" ht="20.100000000000001" customHeight="1">
      <c r="C71" s="1175"/>
      <c r="E71" s="1172"/>
      <c r="G71" s="1172"/>
      <c r="I71" s="1172"/>
      <c r="K71" s="1172"/>
      <c r="M71" s="1172"/>
      <c r="N71" s="1173"/>
      <c r="O71" s="1174"/>
      <c r="P71" s="1174"/>
      <c r="Q71" s="1174"/>
      <c r="R71" s="1174"/>
      <c r="S71" s="1174"/>
    </row>
    <row r="72" spans="3:19" s="1171" customFormat="1" ht="20.100000000000001" customHeight="1">
      <c r="C72" s="1175"/>
      <c r="E72" s="1172"/>
      <c r="G72" s="1172"/>
      <c r="I72" s="1172"/>
      <c r="K72" s="1172"/>
      <c r="M72" s="1172"/>
      <c r="N72" s="1173"/>
      <c r="O72" s="1174"/>
      <c r="P72" s="1174"/>
      <c r="Q72" s="1174"/>
      <c r="R72" s="1174"/>
      <c r="S72" s="1174"/>
    </row>
    <row r="73" spans="3:19" s="1171" customFormat="1" ht="20.100000000000001" customHeight="1">
      <c r="C73" s="1175"/>
      <c r="E73" s="1172"/>
      <c r="G73" s="1172"/>
      <c r="I73" s="1172"/>
      <c r="K73" s="1172"/>
      <c r="M73" s="1172"/>
      <c r="N73" s="1173"/>
      <c r="O73" s="1174"/>
      <c r="P73" s="1174"/>
      <c r="Q73" s="1174"/>
      <c r="R73" s="1174"/>
      <c r="S73" s="1174"/>
    </row>
    <row r="74" spans="3:19" s="1171" customFormat="1" ht="20.100000000000001" customHeight="1">
      <c r="C74" s="1175"/>
      <c r="E74" s="1172"/>
      <c r="G74" s="1172"/>
      <c r="I74" s="1172"/>
      <c r="K74" s="1172"/>
      <c r="M74" s="1172"/>
      <c r="N74" s="1173"/>
      <c r="O74" s="1174"/>
      <c r="P74" s="1174"/>
      <c r="Q74" s="1174"/>
      <c r="R74" s="1174"/>
      <c r="S74" s="1174"/>
    </row>
    <row r="75" spans="3:19" s="1171" customFormat="1" ht="20.100000000000001" customHeight="1">
      <c r="C75" s="1175"/>
      <c r="E75" s="1172"/>
      <c r="G75" s="1172"/>
      <c r="I75" s="1172"/>
      <c r="K75" s="1172"/>
      <c r="M75" s="1172"/>
      <c r="N75" s="1173"/>
      <c r="O75" s="1174"/>
      <c r="P75" s="1174"/>
      <c r="Q75" s="1174"/>
      <c r="R75" s="1174"/>
      <c r="S75" s="1174"/>
    </row>
    <row r="76" spans="3:19" s="1171" customFormat="1" ht="20.100000000000001" customHeight="1">
      <c r="C76" s="1175"/>
      <c r="E76" s="1172"/>
      <c r="G76" s="1172"/>
      <c r="I76" s="1172"/>
      <c r="K76" s="1172"/>
      <c r="M76" s="1172"/>
      <c r="N76" s="1173"/>
      <c r="O76" s="1174"/>
      <c r="P76" s="1174"/>
      <c r="Q76" s="1174"/>
      <c r="R76" s="1174"/>
      <c r="S76" s="1174"/>
    </row>
    <row r="77" spans="3:19" s="1171" customFormat="1" ht="20.100000000000001" customHeight="1">
      <c r="C77" s="1175"/>
      <c r="E77" s="1172"/>
      <c r="G77" s="1172"/>
      <c r="I77" s="1172"/>
      <c r="K77" s="1172"/>
      <c r="M77" s="1172"/>
      <c r="N77" s="1173"/>
      <c r="O77" s="1174"/>
      <c r="P77" s="1174"/>
      <c r="Q77" s="1174"/>
      <c r="R77" s="1174"/>
      <c r="S77" s="1174"/>
    </row>
    <row r="78" spans="3:19" s="1171" customFormat="1" ht="20.100000000000001" customHeight="1">
      <c r="C78" s="1175"/>
      <c r="E78" s="1172"/>
      <c r="G78" s="1172"/>
      <c r="I78" s="1172"/>
      <c r="K78" s="1172"/>
      <c r="M78" s="1172"/>
      <c r="N78" s="1173"/>
      <c r="O78" s="1174"/>
      <c r="P78" s="1174"/>
      <c r="Q78" s="1174"/>
      <c r="R78" s="1174"/>
      <c r="S78" s="1174"/>
    </row>
    <row r="79" spans="3:19" s="1171" customFormat="1" ht="20.100000000000001" customHeight="1">
      <c r="C79" s="1175"/>
      <c r="E79" s="1172"/>
      <c r="G79" s="1172"/>
      <c r="I79" s="1172"/>
      <c r="K79" s="1172"/>
      <c r="M79" s="1172"/>
      <c r="N79" s="1173"/>
      <c r="O79" s="1174"/>
      <c r="P79" s="1174"/>
      <c r="Q79" s="1174"/>
      <c r="R79" s="1174"/>
      <c r="S79" s="1174"/>
    </row>
    <row r="80" spans="3:19" s="1171" customFormat="1" ht="20.100000000000001" customHeight="1">
      <c r="C80" s="1175"/>
      <c r="E80" s="1172"/>
      <c r="G80" s="1172"/>
      <c r="I80" s="1172"/>
      <c r="K80" s="1172"/>
      <c r="M80" s="1172"/>
      <c r="N80" s="1173"/>
      <c r="O80" s="1174"/>
      <c r="P80" s="1174"/>
      <c r="Q80" s="1174"/>
      <c r="R80" s="1174"/>
      <c r="S80" s="1174"/>
    </row>
    <row r="81" spans="3:19" s="1171" customFormat="1" ht="20.100000000000001" customHeight="1">
      <c r="C81" s="1175"/>
      <c r="E81" s="1172"/>
      <c r="G81" s="1172"/>
      <c r="I81" s="1172"/>
      <c r="K81" s="1172"/>
      <c r="M81" s="1172"/>
      <c r="N81" s="1173"/>
      <c r="O81" s="1174"/>
      <c r="P81" s="1174"/>
      <c r="Q81" s="1174"/>
      <c r="R81" s="1174"/>
      <c r="S81" s="1174"/>
    </row>
    <row r="82" spans="3:19" s="1171" customFormat="1" ht="20.100000000000001" customHeight="1">
      <c r="C82" s="1175"/>
      <c r="E82" s="1172"/>
      <c r="G82" s="1172"/>
      <c r="I82" s="1172"/>
      <c r="K82" s="1172"/>
      <c r="M82" s="1172"/>
      <c r="N82" s="1173"/>
      <c r="O82" s="1174"/>
      <c r="P82" s="1174"/>
      <c r="Q82" s="1174"/>
      <c r="R82" s="1174"/>
      <c r="S82" s="1174"/>
    </row>
    <row r="83" spans="3:19" s="1171" customFormat="1" ht="20.100000000000001" customHeight="1">
      <c r="C83" s="1175"/>
      <c r="E83" s="1172"/>
      <c r="G83" s="1172"/>
      <c r="I83" s="1172"/>
      <c r="K83" s="1172"/>
      <c r="M83" s="1172"/>
      <c r="N83" s="1173"/>
      <c r="O83" s="1174"/>
      <c r="P83" s="1174"/>
      <c r="Q83" s="1174"/>
      <c r="R83" s="1174"/>
      <c r="S83" s="1174"/>
    </row>
    <row r="84" spans="3:19" s="1171" customFormat="1" ht="20.100000000000001" customHeight="1">
      <c r="C84" s="1175"/>
      <c r="E84" s="1172"/>
      <c r="G84" s="1172"/>
      <c r="I84" s="1172"/>
      <c r="K84" s="1172"/>
      <c r="M84" s="1172"/>
      <c r="N84" s="1173"/>
      <c r="O84" s="1174"/>
      <c r="P84" s="1174"/>
      <c r="Q84" s="1174"/>
      <c r="R84" s="1174"/>
      <c r="S84" s="1174"/>
    </row>
    <row r="85" spans="3:19" s="1171" customFormat="1" ht="20.100000000000001" customHeight="1">
      <c r="C85" s="1175"/>
      <c r="E85" s="1172"/>
      <c r="G85" s="1172"/>
      <c r="I85" s="1172"/>
      <c r="K85" s="1172"/>
      <c r="M85" s="1172"/>
      <c r="N85" s="1173"/>
      <c r="O85" s="1174"/>
      <c r="P85" s="1174"/>
      <c r="Q85" s="1174"/>
      <c r="R85" s="1174"/>
      <c r="S85" s="1174"/>
    </row>
    <row r="86" spans="3:19" s="1171" customFormat="1" ht="20.100000000000001" customHeight="1">
      <c r="C86" s="1175"/>
      <c r="E86" s="1172"/>
      <c r="G86" s="1172"/>
      <c r="I86" s="1172"/>
      <c r="K86" s="1172"/>
      <c r="M86" s="1172"/>
      <c r="N86" s="1173"/>
      <c r="O86" s="1174"/>
      <c r="P86" s="1174"/>
      <c r="Q86" s="1174"/>
      <c r="R86" s="1174"/>
      <c r="S86" s="1174"/>
    </row>
    <row r="87" spans="3:19" s="1171" customFormat="1" ht="20.100000000000001" customHeight="1">
      <c r="C87" s="1175"/>
      <c r="E87" s="1172"/>
      <c r="G87" s="1172"/>
      <c r="I87" s="1172"/>
      <c r="K87" s="1172"/>
      <c r="M87" s="1172"/>
      <c r="N87" s="1173"/>
      <c r="O87" s="1174"/>
      <c r="P87" s="1174"/>
      <c r="Q87" s="1174"/>
      <c r="R87" s="1174"/>
      <c r="S87" s="1174"/>
    </row>
    <row r="88" spans="3:19" s="1171" customFormat="1" ht="20.100000000000001" customHeight="1">
      <c r="C88" s="1175"/>
      <c r="E88" s="1172"/>
      <c r="G88" s="1172"/>
      <c r="I88" s="1172"/>
      <c r="K88" s="1172"/>
      <c r="M88" s="1172"/>
      <c r="N88" s="1173"/>
      <c r="O88" s="1174"/>
      <c r="P88" s="1174"/>
      <c r="Q88" s="1174"/>
      <c r="R88" s="1174"/>
      <c r="S88" s="1174"/>
    </row>
    <row r="89" spans="3:19" s="1171" customFormat="1" ht="20.100000000000001" customHeight="1">
      <c r="C89" s="1175"/>
      <c r="E89" s="1172"/>
      <c r="G89" s="1172"/>
      <c r="I89" s="1172"/>
      <c r="K89" s="1172"/>
      <c r="M89" s="1172"/>
      <c r="N89" s="1173"/>
      <c r="O89" s="1174"/>
      <c r="P89" s="1174"/>
      <c r="Q89" s="1174"/>
      <c r="R89" s="1174"/>
      <c r="S89" s="1174"/>
    </row>
    <row r="90" spans="3:19" s="1171" customFormat="1" ht="20.100000000000001" customHeight="1">
      <c r="C90" s="1175"/>
      <c r="E90" s="1172"/>
      <c r="G90" s="1172"/>
      <c r="I90" s="1172"/>
      <c r="K90" s="1172"/>
      <c r="M90" s="1172"/>
      <c r="N90" s="1173"/>
      <c r="O90" s="1174"/>
      <c r="P90" s="1174"/>
      <c r="Q90" s="1174"/>
      <c r="R90" s="1174"/>
      <c r="S90" s="1174"/>
    </row>
    <row r="91" spans="3:19" s="1171" customFormat="1" ht="20.100000000000001" customHeight="1">
      <c r="C91" s="1175"/>
      <c r="E91" s="1172"/>
      <c r="G91" s="1172"/>
      <c r="I91" s="1172"/>
      <c r="K91" s="1172"/>
      <c r="M91" s="1172"/>
      <c r="N91" s="1173"/>
      <c r="O91" s="1174"/>
      <c r="P91" s="1174"/>
      <c r="Q91" s="1174"/>
      <c r="R91" s="1174"/>
      <c r="S91" s="1174"/>
    </row>
    <row r="92" spans="3:19" s="1171" customFormat="1" ht="20.100000000000001" customHeight="1">
      <c r="C92" s="1175"/>
      <c r="E92" s="1172"/>
      <c r="G92" s="1172"/>
      <c r="I92" s="1172"/>
      <c r="K92" s="1172"/>
      <c r="M92" s="1172"/>
      <c r="N92" s="1173"/>
      <c r="O92" s="1174"/>
      <c r="P92" s="1174"/>
      <c r="Q92" s="1174"/>
      <c r="R92" s="1174"/>
      <c r="S92" s="1174"/>
    </row>
    <row r="93" spans="3:19" s="1171" customFormat="1" ht="20.100000000000001" customHeight="1">
      <c r="C93" s="1175"/>
      <c r="E93" s="1172"/>
      <c r="G93" s="1172"/>
      <c r="I93" s="1172"/>
      <c r="K93" s="1172"/>
      <c r="M93" s="1172"/>
      <c r="N93" s="1173"/>
      <c r="O93" s="1174"/>
      <c r="P93" s="1174"/>
      <c r="Q93" s="1174"/>
      <c r="R93" s="1174"/>
      <c r="S93" s="1174"/>
    </row>
    <row r="94" spans="3:19" s="1171" customFormat="1" ht="20.100000000000001" customHeight="1">
      <c r="C94" s="1175"/>
      <c r="E94" s="1172"/>
      <c r="G94" s="1172"/>
      <c r="I94" s="1172"/>
      <c r="K94" s="1172"/>
      <c r="M94" s="1172"/>
      <c r="N94" s="1173"/>
      <c r="O94" s="1174"/>
      <c r="P94" s="1174"/>
      <c r="Q94" s="1174"/>
      <c r="R94" s="1174"/>
      <c r="S94" s="1174"/>
    </row>
    <row r="95" spans="3:19" s="1171" customFormat="1" ht="20.100000000000001" customHeight="1">
      <c r="C95" s="1175"/>
      <c r="E95" s="1172"/>
      <c r="G95" s="1172"/>
      <c r="I95" s="1172"/>
      <c r="K95" s="1172"/>
      <c r="M95" s="1172"/>
      <c r="N95" s="1173"/>
      <c r="O95" s="1174"/>
      <c r="P95" s="1174"/>
      <c r="Q95" s="1174"/>
      <c r="R95" s="1174"/>
      <c r="S95" s="1174"/>
    </row>
    <row r="96" spans="3:19" s="1171" customFormat="1" ht="20.100000000000001" customHeight="1">
      <c r="C96" s="1175"/>
      <c r="E96" s="1172"/>
      <c r="G96" s="1172"/>
      <c r="I96" s="1172"/>
      <c r="K96" s="1172"/>
      <c r="M96" s="1172"/>
      <c r="N96" s="1173"/>
      <c r="O96" s="1174"/>
      <c r="P96" s="1174"/>
      <c r="Q96" s="1174"/>
      <c r="R96" s="1174"/>
      <c r="S96" s="1174"/>
    </row>
    <row r="97" spans="3:19" s="1171" customFormat="1" ht="20.100000000000001" customHeight="1">
      <c r="C97" s="1175"/>
      <c r="E97" s="1172"/>
      <c r="G97" s="1172"/>
      <c r="I97" s="1172"/>
      <c r="K97" s="1172"/>
      <c r="M97" s="1172"/>
      <c r="N97" s="1173"/>
      <c r="O97" s="1174"/>
      <c r="P97" s="1174"/>
      <c r="Q97" s="1174"/>
      <c r="R97" s="1174"/>
      <c r="S97" s="1174"/>
    </row>
    <row r="98" spans="3:19" s="1171" customFormat="1" ht="20.100000000000001" customHeight="1">
      <c r="C98" s="1175"/>
      <c r="E98" s="1172"/>
      <c r="G98" s="1172"/>
      <c r="I98" s="1172"/>
      <c r="K98" s="1172"/>
      <c r="M98" s="1172"/>
      <c r="N98" s="1173"/>
      <c r="O98" s="1174"/>
      <c r="P98" s="1174"/>
      <c r="Q98" s="1174"/>
      <c r="R98" s="1174"/>
      <c r="S98" s="1174"/>
    </row>
    <row r="99" spans="3:19" s="1171" customFormat="1" ht="20.100000000000001" customHeight="1">
      <c r="C99" s="1175"/>
      <c r="E99" s="1172"/>
      <c r="G99" s="1172"/>
      <c r="I99" s="1172"/>
      <c r="K99" s="1172"/>
      <c r="M99" s="1172"/>
      <c r="N99" s="1173"/>
      <c r="O99" s="1174"/>
      <c r="P99" s="1174"/>
      <c r="Q99" s="1174"/>
      <c r="R99" s="1174"/>
      <c r="S99" s="1174"/>
    </row>
    <row r="100" spans="3:19" s="1171" customFormat="1" ht="20.100000000000001" customHeight="1">
      <c r="C100" s="1175"/>
      <c r="E100" s="1172"/>
      <c r="G100" s="1172"/>
      <c r="I100" s="1172"/>
      <c r="K100" s="1172"/>
      <c r="M100" s="1172"/>
      <c r="N100" s="1173"/>
      <c r="O100" s="1174"/>
      <c r="P100" s="1174"/>
      <c r="Q100" s="1174"/>
      <c r="R100" s="1174"/>
      <c r="S100" s="1174"/>
    </row>
    <row r="101" spans="3:19" s="1171" customFormat="1" ht="20.100000000000001" customHeight="1">
      <c r="C101" s="1175"/>
      <c r="E101" s="1172"/>
      <c r="G101" s="1172"/>
      <c r="I101" s="1172"/>
      <c r="K101" s="1172"/>
      <c r="M101" s="1172"/>
      <c r="N101" s="1173"/>
      <c r="O101" s="1174"/>
      <c r="P101" s="1174"/>
      <c r="Q101" s="1174"/>
      <c r="R101" s="1174"/>
      <c r="S101" s="1174"/>
    </row>
    <row r="102" spans="3:19" s="1171" customFormat="1" ht="20.100000000000001" customHeight="1">
      <c r="C102" s="1175"/>
      <c r="E102" s="1172"/>
      <c r="G102" s="1172"/>
      <c r="I102" s="1172"/>
      <c r="K102" s="1172"/>
      <c r="M102" s="1172"/>
      <c r="N102" s="1173"/>
      <c r="O102" s="1174"/>
      <c r="P102" s="1174"/>
      <c r="Q102" s="1174"/>
      <c r="R102" s="1174"/>
      <c r="S102" s="1174"/>
    </row>
    <row r="103" spans="3:19" s="1171" customFormat="1" ht="20.100000000000001" customHeight="1">
      <c r="C103" s="1175"/>
      <c r="E103" s="1172"/>
      <c r="G103" s="1172"/>
      <c r="I103" s="1172"/>
      <c r="K103" s="1172"/>
      <c r="M103" s="1172"/>
      <c r="N103" s="1173"/>
      <c r="O103" s="1174"/>
      <c r="P103" s="1174"/>
      <c r="Q103" s="1174"/>
      <c r="R103" s="1174"/>
      <c r="S103" s="1174"/>
    </row>
    <row r="104" spans="3:19" s="1171" customFormat="1" ht="20.100000000000001" customHeight="1">
      <c r="C104" s="1175"/>
      <c r="E104" s="1172"/>
      <c r="G104" s="1172"/>
      <c r="I104" s="1172"/>
      <c r="K104" s="1172"/>
      <c r="M104" s="1172"/>
      <c r="N104" s="1173"/>
      <c r="O104" s="1174"/>
      <c r="P104" s="1174"/>
      <c r="Q104" s="1174"/>
      <c r="R104" s="1174"/>
      <c r="S104" s="1174"/>
    </row>
    <row r="105" spans="3:19" s="1171" customFormat="1" ht="20.100000000000001" customHeight="1">
      <c r="C105" s="1175"/>
      <c r="E105" s="1172"/>
      <c r="G105" s="1172"/>
      <c r="I105" s="1172"/>
      <c r="K105" s="1172"/>
      <c r="M105" s="1172"/>
      <c r="N105" s="1173"/>
      <c r="O105" s="1174"/>
      <c r="P105" s="1174"/>
      <c r="Q105" s="1174"/>
      <c r="R105" s="1174"/>
      <c r="S105" s="1174"/>
    </row>
    <row r="106" spans="3:19" s="1171" customFormat="1" ht="20.100000000000001" customHeight="1">
      <c r="C106" s="1175"/>
      <c r="E106" s="1172"/>
      <c r="G106" s="1172"/>
      <c r="I106" s="1172"/>
      <c r="K106" s="1172"/>
      <c r="M106" s="1172"/>
      <c r="N106" s="1173"/>
      <c r="O106" s="1174"/>
      <c r="P106" s="1174"/>
      <c r="Q106" s="1174"/>
      <c r="R106" s="1174"/>
      <c r="S106" s="1174"/>
    </row>
    <row r="107" spans="3:19" s="1171" customFormat="1" ht="20.100000000000001" customHeight="1">
      <c r="C107" s="1175"/>
      <c r="E107" s="1172"/>
      <c r="G107" s="1172"/>
      <c r="I107" s="1172"/>
      <c r="K107" s="1172"/>
      <c r="M107" s="1172"/>
      <c r="N107" s="1173"/>
      <c r="O107" s="1174"/>
      <c r="P107" s="1174"/>
      <c r="Q107" s="1174"/>
      <c r="R107" s="1174"/>
      <c r="S107" s="1174"/>
    </row>
    <row r="108" spans="3:19" s="1171" customFormat="1" ht="20.100000000000001" customHeight="1">
      <c r="C108" s="1175"/>
      <c r="E108" s="1172"/>
      <c r="G108" s="1172"/>
      <c r="I108" s="1172"/>
      <c r="K108" s="1172"/>
      <c r="M108" s="1172"/>
      <c r="N108" s="1173"/>
      <c r="O108" s="1174"/>
      <c r="P108" s="1174"/>
      <c r="Q108" s="1174"/>
      <c r="R108" s="1174"/>
      <c r="S108" s="1174"/>
    </row>
    <row r="109" spans="3:19" s="1171" customFormat="1" ht="20.100000000000001" customHeight="1">
      <c r="C109" s="1175"/>
      <c r="E109" s="1172"/>
      <c r="G109" s="1172"/>
      <c r="I109" s="1172"/>
      <c r="K109" s="1172"/>
      <c r="M109" s="1172"/>
      <c r="N109" s="1173"/>
      <c r="O109" s="1174"/>
      <c r="P109" s="1174"/>
      <c r="Q109" s="1174"/>
      <c r="R109" s="1174"/>
      <c r="S109" s="1174"/>
    </row>
    <row r="110" spans="3:19" s="1171" customFormat="1" ht="20.100000000000001" customHeight="1">
      <c r="C110" s="1175"/>
      <c r="E110" s="1172"/>
      <c r="G110" s="1172"/>
      <c r="I110" s="1172"/>
      <c r="K110" s="1172"/>
      <c r="M110" s="1172"/>
      <c r="N110" s="1173"/>
      <c r="O110" s="1174"/>
      <c r="P110" s="1174"/>
      <c r="Q110" s="1174"/>
      <c r="R110" s="1174"/>
      <c r="S110" s="1174"/>
    </row>
    <row r="111" spans="3:19" s="1171" customFormat="1" ht="20.100000000000001" customHeight="1">
      <c r="C111" s="1175"/>
      <c r="E111" s="1172"/>
      <c r="G111" s="1172"/>
      <c r="I111" s="1172"/>
      <c r="K111" s="1172"/>
      <c r="M111" s="1172"/>
      <c r="N111" s="1173"/>
      <c r="O111" s="1174"/>
      <c r="P111" s="1174"/>
      <c r="Q111" s="1174"/>
      <c r="R111" s="1174"/>
      <c r="S111" s="1174"/>
    </row>
    <row r="112" spans="3:19" s="1171" customFormat="1" ht="20.100000000000001" customHeight="1">
      <c r="C112" s="1175"/>
      <c r="E112" s="1172"/>
      <c r="G112" s="1172"/>
      <c r="I112" s="1172"/>
      <c r="K112" s="1172"/>
      <c r="M112" s="1172"/>
      <c r="N112" s="1173"/>
      <c r="O112" s="1174"/>
      <c r="P112" s="1174"/>
      <c r="Q112" s="1174"/>
      <c r="R112" s="1174"/>
      <c r="S112" s="1174"/>
    </row>
    <row r="113" spans="3:19" s="1171" customFormat="1" ht="20.100000000000001" customHeight="1">
      <c r="C113" s="1175"/>
      <c r="E113" s="1172"/>
      <c r="G113" s="1172"/>
      <c r="I113" s="1172"/>
      <c r="K113" s="1172"/>
      <c r="M113" s="1172"/>
      <c r="N113" s="1173"/>
      <c r="O113" s="1174"/>
      <c r="P113" s="1174"/>
      <c r="Q113" s="1174"/>
      <c r="R113" s="1174"/>
      <c r="S113" s="1174"/>
    </row>
    <row r="114" spans="3:19" s="1171" customFormat="1" ht="20.100000000000001" customHeight="1">
      <c r="C114" s="1175"/>
      <c r="E114" s="1172"/>
      <c r="G114" s="1172"/>
      <c r="I114" s="1172"/>
      <c r="K114" s="1172"/>
      <c r="M114" s="1172"/>
      <c r="N114" s="1173"/>
      <c r="O114" s="1174"/>
      <c r="P114" s="1174"/>
      <c r="Q114" s="1174"/>
      <c r="R114" s="1174"/>
      <c r="S114" s="1174"/>
    </row>
    <row r="115" spans="3:19" s="1171" customFormat="1" ht="20.100000000000001" customHeight="1">
      <c r="C115" s="1175"/>
      <c r="E115" s="1172"/>
      <c r="G115" s="1172"/>
      <c r="I115" s="1172"/>
      <c r="K115" s="1172"/>
      <c r="M115" s="1172"/>
      <c r="N115" s="1173"/>
      <c r="O115" s="1174"/>
      <c r="P115" s="1174"/>
      <c r="Q115" s="1174"/>
      <c r="R115" s="1174"/>
      <c r="S115" s="1174"/>
    </row>
    <row r="116" spans="3:19" s="1171" customFormat="1" ht="20.100000000000001" customHeight="1">
      <c r="C116" s="1175"/>
      <c r="E116" s="1172"/>
      <c r="G116" s="1172"/>
      <c r="I116" s="1172"/>
      <c r="K116" s="1172"/>
      <c r="M116" s="1172"/>
      <c r="N116" s="1173"/>
      <c r="O116" s="1174"/>
      <c r="P116" s="1174"/>
      <c r="Q116" s="1174"/>
      <c r="R116" s="1174"/>
      <c r="S116" s="1174"/>
    </row>
    <row r="117" spans="3:19" s="1171" customFormat="1" ht="20.100000000000001" customHeight="1">
      <c r="C117" s="1175"/>
      <c r="E117" s="1172"/>
      <c r="G117" s="1172"/>
      <c r="I117" s="1172"/>
      <c r="K117" s="1172"/>
      <c r="M117" s="1172"/>
      <c r="N117" s="1173"/>
      <c r="O117" s="1174"/>
      <c r="P117" s="1174"/>
      <c r="Q117" s="1174"/>
      <c r="R117" s="1174"/>
      <c r="S117" s="1174"/>
    </row>
    <row r="118" spans="3:19" s="1171" customFormat="1" ht="20.100000000000001" customHeight="1">
      <c r="C118" s="1175"/>
      <c r="E118" s="1172"/>
      <c r="G118" s="1172"/>
      <c r="I118" s="1172"/>
      <c r="K118" s="1172"/>
      <c r="M118" s="1172"/>
      <c r="N118" s="1173"/>
      <c r="O118" s="1174"/>
      <c r="P118" s="1174"/>
      <c r="Q118" s="1174"/>
      <c r="R118" s="1174"/>
      <c r="S118" s="1174"/>
    </row>
    <row r="119" spans="3:19" s="1171" customFormat="1" ht="20.100000000000001" customHeight="1">
      <c r="C119" s="1175"/>
      <c r="E119" s="1172"/>
      <c r="G119" s="1172"/>
      <c r="I119" s="1172"/>
      <c r="K119" s="1172"/>
      <c r="M119" s="1172"/>
      <c r="N119" s="1173"/>
      <c r="O119" s="1174"/>
      <c r="P119" s="1174"/>
      <c r="Q119" s="1174"/>
      <c r="R119" s="1174"/>
      <c r="S119" s="1174"/>
    </row>
    <row r="120" spans="3:19" s="1171" customFormat="1" ht="20.100000000000001" customHeight="1">
      <c r="C120" s="1175"/>
      <c r="E120" s="1172"/>
      <c r="G120" s="1172"/>
      <c r="I120" s="1172"/>
      <c r="K120" s="1172"/>
      <c r="M120" s="1172"/>
      <c r="N120" s="1173"/>
      <c r="O120" s="1174"/>
      <c r="P120" s="1174"/>
      <c r="Q120" s="1174"/>
      <c r="R120" s="1174"/>
      <c r="S120" s="1174"/>
    </row>
    <row r="121" spans="3:19" s="1171" customFormat="1" ht="20.100000000000001" customHeight="1">
      <c r="C121" s="1175"/>
      <c r="E121" s="1172"/>
      <c r="G121" s="1172"/>
      <c r="I121" s="1172"/>
      <c r="K121" s="1172"/>
      <c r="M121" s="1172"/>
      <c r="N121" s="1173"/>
      <c r="O121" s="1174"/>
      <c r="P121" s="1174"/>
      <c r="Q121" s="1174"/>
      <c r="R121" s="1174"/>
      <c r="S121" s="1174"/>
    </row>
    <row r="122" spans="3:19" s="1171" customFormat="1" ht="20.100000000000001" customHeight="1">
      <c r="C122" s="1175"/>
      <c r="E122" s="1172"/>
      <c r="G122" s="1172"/>
      <c r="I122" s="1172"/>
      <c r="K122" s="1172"/>
      <c r="M122" s="1172"/>
      <c r="N122" s="1173"/>
      <c r="O122" s="1174"/>
      <c r="P122" s="1174"/>
      <c r="Q122" s="1174"/>
      <c r="R122" s="1174"/>
      <c r="S122" s="1174"/>
    </row>
    <row r="123" spans="3:19" s="1171" customFormat="1" ht="20.100000000000001" customHeight="1">
      <c r="C123" s="1175"/>
      <c r="E123" s="1172"/>
      <c r="G123" s="1172"/>
      <c r="I123" s="1172"/>
      <c r="K123" s="1172"/>
      <c r="M123" s="1172"/>
      <c r="N123" s="1173"/>
      <c r="O123" s="1174"/>
      <c r="P123" s="1174"/>
      <c r="Q123" s="1174"/>
      <c r="R123" s="1174"/>
      <c r="S123" s="1174"/>
    </row>
    <row r="124" spans="3:19" s="1171" customFormat="1" ht="20.100000000000001" customHeight="1">
      <c r="C124" s="1175"/>
      <c r="E124" s="1172"/>
      <c r="G124" s="1172"/>
      <c r="I124" s="1172"/>
      <c r="K124" s="1172"/>
      <c r="M124" s="1172"/>
      <c r="N124" s="1173"/>
      <c r="O124" s="1174"/>
      <c r="P124" s="1174"/>
      <c r="Q124" s="1174"/>
      <c r="R124" s="1174"/>
      <c r="S124" s="1174"/>
    </row>
    <row r="125" spans="3:19" s="1171" customFormat="1" ht="20.100000000000001" customHeight="1">
      <c r="C125" s="1175"/>
      <c r="E125" s="1172"/>
      <c r="G125" s="1172"/>
      <c r="I125" s="1172"/>
      <c r="K125" s="1172"/>
      <c r="M125" s="1172"/>
      <c r="N125" s="1173"/>
      <c r="O125" s="1174"/>
      <c r="P125" s="1174"/>
      <c r="Q125" s="1174"/>
      <c r="R125" s="1174"/>
      <c r="S125" s="1174"/>
    </row>
    <row r="126" spans="3:19" s="1171" customFormat="1" ht="20.100000000000001" customHeight="1">
      <c r="C126" s="1175"/>
      <c r="E126" s="1172"/>
      <c r="G126" s="1172"/>
      <c r="I126" s="1172"/>
      <c r="K126" s="1172"/>
      <c r="M126" s="1172"/>
      <c r="N126" s="1173"/>
      <c r="O126" s="1174"/>
      <c r="P126" s="1174"/>
      <c r="Q126" s="1174"/>
      <c r="R126" s="1174"/>
      <c r="S126" s="1174"/>
    </row>
    <row r="127" spans="3:19" s="1171" customFormat="1" ht="20.100000000000001" customHeight="1">
      <c r="C127" s="1175"/>
      <c r="E127" s="1172"/>
      <c r="G127" s="1172"/>
      <c r="I127" s="1172"/>
      <c r="K127" s="1172"/>
      <c r="M127" s="1172"/>
      <c r="N127" s="1173"/>
      <c r="O127" s="1174"/>
      <c r="P127" s="1174"/>
      <c r="Q127" s="1174"/>
      <c r="R127" s="1174"/>
      <c r="S127" s="1174"/>
    </row>
    <row r="128" spans="3:19" s="1171" customFormat="1" ht="20.100000000000001" customHeight="1">
      <c r="C128" s="1175"/>
      <c r="E128" s="1172"/>
      <c r="G128" s="1172"/>
      <c r="I128" s="1172"/>
      <c r="K128" s="1172"/>
      <c r="M128" s="1172"/>
      <c r="N128" s="1173"/>
      <c r="O128" s="1174"/>
      <c r="P128" s="1174"/>
      <c r="Q128" s="1174"/>
      <c r="R128" s="1174"/>
      <c r="S128" s="1174"/>
    </row>
    <row r="129" spans="3:19" s="1171" customFormat="1" ht="20.100000000000001" customHeight="1">
      <c r="C129" s="1175"/>
      <c r="E129" s="1172"/>
      <c r="G129" s="1172"/>
      <c r="I129" s="1172"/>
      <c r="K129" s="1172"/>
      <c r="M129" s="1172"/>
      <c r="N129" s="1173"/>
      <c r="O129" s="1174"/>
      <c r="P129" s="1174"/>
      <c r="Q129" s="1174"/>
      <c r="R129" s="1174"/>
      <c r="S129" s="1174"/>
    </row>
    <row r="130" spans="3:19" s="1171" customFormat="1" ht="20.100000000000001" customHeight="1">
      <c r="C130" s="1175"/>
      <c r="E130" s="1172"/>
      <c r="G130" s="1172"/>
      <c r="I130" s="1172"/>
      <c r="K130" s="1172"/>
      <c r="M130" s="1172"/>
      <c r="N130" s="1173"/>
      <c r="O130" s="1174"/>
      <c r="P130" s="1174"/>
      <c r="Q130" s="1174"/>
      <c r="R130" s="1174"/>
      <c r="S130" s="1174"/>
    </row>
    <row r="131" spans="3:19" s="1171" customFormat="1" ht="20.100000000000001" customHeight="1">
      <c r="C131" s="1175"/>
      <c r="E131" s="1172"/>
      <c r="G131" s="1172"/>
      <c r="I131" s="1172"/>
      <c r="K131" s="1172"/>
      <c r="M131" s="1172"/>
      <c r="N131" s="1173"/>
      <c r="O131" s="1174"/>
      <c r="P131" s="1174"/>
      <c r="Q131" s="1174"/>
      <c r="R131" s="1174"/>
      <c r="S131" s="1174"/>
    </row>
    <row r="132" spans="3:19" s="1171" customFormat="1" ht="20.100000000000001" customHeight="1">
      <c r="C132" s="1175"/>
      <c r="E132" s="1172"/>
      <c r="G132" s="1172"/>
      <c r="I132" s="1172"/>
      <c r="K132" s="1172"/>
      <c r="M132" s="1172"/>
      <c r="N132" s="1173"/>
      <c r="O132" s="1174"/>
      <c r="P132" s="1174"/>
      <c r="Q132" s="1174"/>
      <c r="R132" s="1174"/>
      <c r="S132" s="1174"/>
    </row>
    <row r="133" spans="3:19" s="1171" customFormat="1" ht="20.100000000000001" customHeight="1">
      <c r="C133" s="1175"/>
      <c r="E133" s="1172"/>
      <c r="G133" s="1172"/>
      <c r="I133" s="1172"/>
      <c r="K133" s="1172"/>
      <c r="M133" s="1172"/>
      <c r="N133" s="1173"/>
      <c r="O133" s="1174"/>
      <c r="P133" s="1174"/>
      <c r="Q133" s="1174"/>
      <c r="R133" s="1174"/>
      <c r="S133" s="1174"/>
    </row>
    <row r="134" spans="3:19" s="1171" customFormat="1" ht="20.100000000000001" customHeight="1">
      <c r="C134" s="1175"/>
      <c r="E134" s="1172"/>
      <c r="G134" s="1172"/>
      <c r="I134" s="1172"/>
      <c r="K134" s="1172"/>
      <c r="M134" s="1172"/>
      <c r="N134" s="1173"/>
      <c r="O134" s="1174"/>
      <c r="P134" s="1174"/>
      <c r="Q134" s="1174"/>
      <c r="R134" s="1174"/>
      <c r="S134" s="1174"/>
    </row>
    <row r="135" spans="3:19" s="1171" customFormat="1" ht="20.100000000000001" customHeight="1">
      <c r="C135" s="1175"/>
      <c r="E135" s="1172"/>
      <c r="G135" s="1172"/>
      <c r="I135" s="1172"/>
      <c r="K135" s="1172"/>
      <c r="M135" s="1172"/>
      <c r="N135" s="1173"/>
      <c r="O135" s="1174"/>
      <c r="P135" s="1174"/>
      <c r="Q135" s="1174"/>
      <c r="R135" s="1174"/>
      <c r="S135" s="1174"/>
    </row>
    <row r="136" spans="3:19" s="1171" customFormat="1" ht="20.100000000000001" customHeight="1">
      <c r="C136" s="1175"/>
      <c r="E136" s="1172"/>
      <c r="G136" s="1172"/>
      <c r="I136" s="1172"/>
      <c r="K136" s="1172"/>
      <c r="M136" s="1172"/>
      <c r="N136" s="1173"/>
      <c r="O136" s="1174"/>
      <c r="P136" s="1174"/>
      <c r="Q136" s="1174"/>
      <c r="R136" s="1174"/>
      <c r="S136" s="1174"/>
    </row>
    <row r="137" spans="3:19" s="1171" customFormat="1" ht="20.100000000000001" customHeight="1">
      <c r="C137" s="1175"/>
      <c r="E137" s="1172"/>
      <c r="G137" s="1172"/>
      <c r="I137" s="1172"/>
      <c r="K137" s="1172"/>
      <c r="M137" s="1172"/>
      <c r="N137" s="1173"/>
      <c r="O137" s="1174"/>
      <c r="P137" s="1174"/>
      <c r="Q137" s="1174"/>
      <c r="R137" s="1174"/>
      <c r="S137" s="1174"/>
    </row>
    <row r="138" spans="3:19" s="1171" customFormat="1" ht="20.100000000000001" customHeight="1">
      <c r="C138" s="1175"/>
      <c r="E138" s="1172"/>
      <c r="G138" s="1172"/>
      <c r="I138" s="1172"/>
      <c r="K138" s="1172"/>
      <c r="M138" s="1172"/>
      <c r="N138" s="1173"/>
      <c r="O138" s="1174"/>
      <c r="P138" s="1174"/>
      <c r="Q138" s="1174"/>
      <c r="R138" s="1174"/>
      <c r="S138" s="1174"/>
    </row>
    <row r="139" spans="3:19" s="1171" customFormat="1" ht="20.100000000000001" customHeight="1">
      <c r="C139" s="1175"/>
      <c r="E139" s="1172"/>
      <c r="G139" s="1172"/>
      <c r="I139" s="1172"/>
      <c r="K139" s="1172"/>
      <c r="M139" s="1172"/>
      <c r="N139" s="1173"/>
      <c r="O139" s="1174"/>
      <c r="P139" s="1174"/>
      <c r="Q139" s="1174"/>
      <c r="R139" s="1174"/>
      <c r="S139" s="1174"/>
    </row>
    <row r="140" spans="3:19" s="1171" customFormat="1" ht="20.100000000000001" customHeight="1">
      <c r="C140" s="1175"/>
      <c r="E140" s="1172"/>
      <c r="G140" s="1172"/>
      <c r="I140" s="1172"/>
      <c r="K140" s="1172"/>
      <c r="M140" s="1172"/>
      <c r="N140" s="1173"/>
      <c r="O140" s="1174"/>
      <c r="P140" s="1174"/>
      <c r="Q140" s="1174"/>
      <c r="R140" s="1174"/>
      <c r="S140" s="1174"/>
    </row>
    <row r="141" spans="3:19" s="1171" customFormat="1" ht="20.100000000000001" customHeight="1">
      <c r="C141" s="1175"/>
      <c r="E141" s="1172"/>
      <c r="G141" s="1172"/>
      <c r="I141" s="1172"/>
      <c r="K141" s="1172"/>
      <c r="M141" s="1172"/>
      <c r="N141" s="1173"/>
      <c r="O141" s="1174"/>
      <c r="P141" s="1174"/>
      <c r="Q141" s="1174"/>
      <c r="R141" s="1174"/>
      <c r="S141" s="1174"/>
    </row>
    <row r="142" spans="3:19" s="1171" customFormat="1" ht="20.100000000000001" customHeight="1">
      <c r="C142" s="1175"/>
      <c r="E142" s="1172"/>
      <c r="G142" s="1172"/>
      <c r="I142" s="1172"/>
      <c r="K142" s="1172"/>
      <c r="M142" s="1172"/>
      <c r="N142" s="1173"/>
      <c r="O142" s="1174"/>
      <c r="P142" s="1174"/>
      <c r="Q142" s="1174"/>
      <c r="R142" s="1174"/>
      <c r="S142" s="1174"/>
    </row>
    <row r="143" spans="3:19" s="1171" customFormat="1" ht="20.100000000000001" customHeight="1">
      <c r="C143" s="1175"/>
      <c r="E143" s="1172"/>
      <c r="G143" s="1172"/>
      <c r="I143" s="1172"/>
      <c r="K143" s="1172"/>
      <c r="M143" s="1172"/>
      <c r="N143" s="1173"/>
      <c r="O143" s="1174"/>
      <c r="P143" s="1174"/>
      <c r="Q143" s="1174"/>
      <c r="R143" s="1174"/>
      <c r="S143" s="1174"/>
    </row>
    <row r="144" spans="3:19" s="1171" customFormat="1" ht="20.100000000000001" customHeight="1">
      <c r="C144" s="1175"/>
      <c r="E144" s="1172"/>
      <c r="G144" s="1172"/>
      <c r="I144" s="1172"/>
      <c r="K144" s="1172"/>
      <c r="M144" s="1172"/>
      <c r="N144" s="1173"/>
      <c r="O144" s="1174"/>
      <c r="P144" s="1174"/>
      <c r="Q144" s="1174"/>
      <c r="R144" s="1174"/>
      <c r="S144" s="1174"/>
    </row>
    <row r="145" spans="3:19" s="1171" customFormat="1" ht="20.100000000000001" customHeight="1">
      <c r="C145" s="1175"/>
      <c r="E145" s="1172"/>
      <c r="G145" s="1172"/>
      <c r="I145" s="1172"/>
      <c r="K145" s="1172"/>
      <c r="M145" s="1172"/>
      <c r="N145" s="1173"/>
      <c r="O145" s="1174"/>
      <c r="P145" s="1174"/>
      <c r="Q145" s="1174"/>
      <c r="R145" s="1174"/>
      <c r="S145" s="1174"/>
    </row>
    <row r="146" spans="3:19" s="1171" customFormat="1" ht="20.100000000000001" customHeight="1">
      <c r="C146" s="1175"/>
      <c r="E146" s="1172"/>
      <c r="G146" s="1172"/>
      <c r="I146" s="1172"/>
      <c r="K146" s="1172"/>
      <c r="M146" s="1172"/>
      <c r="N146" s="1173"/>
      <c r="O146" s="1174"/>
      <c r="P146" s="1174"/>
      <c r="Q146" s="1174"/>
      <c r="R146" s="1174"/>
      <c r="S146" s="1174"/>
    </row>
    <row r="147" spans="3:19" s="1171" customFormat="1" ht="20.100000000000001" customHeight="1">
      <c r="C147" s="1175"/>
      <c r="E147" s="1172"/>
      <c r="G147" s="1172"/>
      <c r="I147" s="1172"/>
      <c r="K147" s="1172"/>
      <c r="M147" s="1172"/>
      <c r="N147" s="1173"/>
      <c r="O147" s="1174"/>
      <c r="P147" s="1174"/>
      <c r="Q147" s="1174"/>
      <c r="R147" s="1174"/>
      <c r="S147" s="1174"/>
    </row>
    <row r="148" spans="3:19" s="1171" customFormat="1" ht="20.100000000000001" customHeight="1">
      <c r="C148" s="1175"/>
      <c r="E148" s="1172"/>
      <c r="G148" s="1172"/>
      <c r="I148" s="1172"/>
      <c r="K148" s="1172"/>
      <c r="M148" s="1172"/>
      <c r="N148" s="1173"/>
      <c r="O148" s="1174"/>
      <c r="P148" s="1174"/>
      <c r="Q148" s="1174"/>
      <c r="R148" s="1174"/>
      <c r="S148" s="1174"/>
    </row>
    <row r="149" spans="3:19" s="1171" customFormat="1" ht="20.100000000000001" customHeight="1">
      <c r="C149" s="1175"/>
      <c r="E149" s="1172"/>
      <c r="G149" s="1172"/>
      <c r="I149" s="1172"/>
      <c r="K149" s="1172"/>
      <c r="M149" s="1172"/>
      <c r="N149" s="1173"/>
      <c r="O149" s="1174"/>
      <c r="P149" s="1174"/>
      <c r="Q149" s="1174"/>
      <c r="R149" s="1174"/>
      <c r="S149" s="1174"/>
    </row>
    <row r="150" spans="3:19" s="1171" customFormat="1" ht="20.100000000000001" customHeight="1">
      <c r="C150" s="1175"/>
      <c r="E150" s="1172"/>
      <c r="G150" s="1172"/>
      <c r="I150" s="1172"/>
      <c r="K150" s="1172"/>
      <c r="M150" s="1172"/>
      <c r="N150" s="1173"/>
      <c r="O150" s="1174"/>
      <c r="P150" s="1174"/>
      <c r="Q150" s="1174"/>
      <c r="R150" s="1174"/>
      <c r="S150" s="1174"/>
    </row>
    <row r="151" spans="3:19" s="1171" customFormat="1" ht="20.100000000000001" customHeight="1">
      <c r="C151" s="1175"/>
      <c r="E151" s="1172"/>
      <c r="G151" s="1172"/>
      <c r="I151" s="1172"/>
      <c r="K151" s="1172"/>
      <c r="M151" s="1172"/>
      <c r="N151" s="1173"/>
      <c r="O151" s="1174"/>
      <c r="P151" s="1174"/>
      <c r="Q151" s="1174"/>
      <c r="R151" s="1174"/>
      <c r="S151" s="1174"/>
    </row>
    <row r="152" spans="3:19" s="1171" customFormat="1" ht="20.100000000000001" customHeight="1">
      <c r="C152" s="1175"/>
      <c r="E152" s="1172"/>
      <c r="G152" s="1172"/>
      <c r="I152" s="1172"/>
      <c r="K152" s="1172"/>
      <c r="M152" s="1172"/>
      <c r="N152" s="1173"/>
      <c r="O152" s="1174"/>
      <c r="P152" s="1174"/>
      <c r="Q152" s="1174"/>
      <c r="R152" s="1174"/>
      <c r="S152" s="1174"/>
    </row>
    <row r="153" spans="3:19" s="1171" customFormat="1" ht="20.100000000000001" customHeight="1">
      <c r="C153" s="1175"/>
      <c r="E153" s="1172"/>
      <c r="G153" s="1172"/>
      <c r="I153" s="1172"/>
      <c r="K153" s="1172"/>
      <c r="M153" s="1172"/>
      <c r="N153" s="1173"/>
      <c r="O153" s="1174"/>
      <c r="P153" s="1174"/>
      <c r="Q153" s="1174"/>
      <c r="R153" s="1174"/>
      <c r="S153" s="1174"/>
    </row>
    <row r="154" spans="3:19" s="1171" customFormat="1" ht="20.100000000000001" customHeight="1">
      <c r="C154" s="1175"/>
      <c r="E154" s="1172"/>
      <c r="G154" s="1172"/>
      <c r="I154" s="1172"/>
      <c r="K154" s="1172"/>
      <c r="M154" s="1172"/>
      <c r="N154" s="1173"/>
      <c r="O154" s="1174"/>
      <c r="P154" s="1174"/>
      <c r="Q154" s="1174"/>
      <c r="R154" s="1174"/>
      <c r="S154" s="1174"/>
    </row>
    <row r="155" spans="3:19" s="1171" customFormat="1" ht="20.100000000000001" customHeight="1">
      <c r="C155" s="1175"/>
      <c r="E155" s="1172"/>
      <c r="G155" s="1172"/>
      <c r="I155" s="1172"/>
      <c r="K155" s="1172"/>
      <c r="M155" s="1172"/>
      <c r="N155" s="1173"/>
      <c r="O155" s="1174"/>
      <c r="P155" s="1174"/>
      <c r="Q155" s="1174"/>
      <c r="R155" s="1174"/>
      <c r="S155" s="1174"/>
    </row>
    <row r="156" spans="3:19" s="1171" customFormat="1" ht="20.100000000000001" customHeight="1">
      <c r="C156" s="1175"/>
      <c r="E156" s="1172"/>
      <c r="G156" s="1172"/>
      <c r="I156" s="1172"/>
      <c r="K156" s="1172"/>
      <c r="M156" s="1172"/>
      <c r="N156" s="1173"/>
      <c r="O156" s="1174"/>
      <c r="P156" s="1174"/>
      <c r="Q156" s="1174"/>
      <c r="R156" s="1174"/>
      <c r="S156" s="1174"/>
    </row>
    <row r="157" spans="3:19" s="1171" customFormat="1" ht="20.100000000000001" customHeight="1">
      <c r="C157" s="1175"/>
      <c r="E157" s="1172"/>
      <c r="G157" s="1172"/>
      <c r="I157" s="1172"/>
      <c r="K157" s="1172"/>
      <c r="M157" s="1172"/>
      <c r="N157" s="1173"/>
      <c r="O157" s="1174"/>
      <c r="P157" s="1174"/>
      <c r="Q157" s="1174"/>
      <c r="R157" s="1174"/>
      <c r="S157" s="1174"/>
    </row>
    <row r="158" spans="3:19" s="1171" customFormat="1" ht="20.100000000000001" customHeight="1">
      <c r="C158" s="1175"/>
      <c r="E158" s="1172"/>
      <c r="G158" s="1172"/>
      <c r="I158" s="1172"/>
      <c r="K158" s="1172"/>
      <c r="M158" s="1172"/>
      <c r="N158" s="1173"/>
      <c r="O158" s="1174"/>
      <c r="P158" s="1174"/>
      <c r="Q158" s="1174"/>
      <c r="R158" s="1174"/>
      <c r="S158" s="1174"/>
    </row>
    <row r="159" spans="3:19" s="1171" customFormat="1" ht="20.100000000000001" customHeight="1">
      <c r="C159" s="1175"/>
      <c r="E159" s="1172"/>
      <c r="G159" s="1172"/>
      <c r="I159" s="1172"/>
      <c r="K159" s="1172"/>
      <c r="M159" s="1172"/>
      <c r="N159" s="1173"/>
      <c r="O159" s="1174"/>
      <c r="P159" s="1174"/>
      <c r="Q159" s="1174"/>
      <c r="R159" s="1174"/>
      <c r="S159" s="1174"/>
    </row>
    <row r="160" spans="3:19" s="1171" customFormat="1" ht="20.100000000000001" customHeight="1">
      <c r="C160" s="1175"/>
      <c r="E160" s="1172"/>
      <c r="G160" s="1172"/>
      <c r="I160" s="1172"/>
      <c r="K160" s="1172"/>
      <c r="M160" s="1172"/>
      <c r="N160" s="1173"/>
      <c r="O160" s="1174"/>
      <c r="P160" s="1174"/>
      <c r="Q160" s="1174"/>
      <c r="R160" s="1174"/>
      <c r="S160" s="1174"/>
    </row>
    <row r="161" spans="3:19" s="1171" customFormat="1" ht="20.100000000000001" customHeight="1">
      <c r="C161" s="1175"/>
      <c r="E161" s="1172"/>
      <c r="G161" s="1172"/>
      <c r="I161" s="1172"/>
      <c r="K161" s="1172"/>
      <c r="M161" s="1172"/>
      <c r="N161" s="1173"/>
      <c r="O161" s="1174"/>
      <c r="P161" s="1174"/>
      <c r="Q161" s="1174"/>
      <c r="R161" s="1174"/>
      <c r="S161" s="1174"/>
    </row>
    <row r="162" spans="3:19" s="1171" customFormat="1" ht="20.100000000000001" customHeight="1">
      <c r="C162" s="1175"/>
      <c r="E162" s="1172"/>
      <c r="G162" s="1172"/>
      <c r="I162" s="1172"/>
      <c r="K162" s="1172"/>
      <c r="M162" s="1172"/>
      <c r="N162" s="1173"/>
      <c r="O162" s="1174"/>
      <c r="P162" s="1174"/>
      <c r="Q162" s="1174"/>
      <c r="R162" s="1174"/>
      <c r="S162" s="1174"/>
    </row>
    <row r="163" spans="3:19" s="1171" customFormat="1" ht="20.100000000000001" customHeight="1">
      <c r="C163" s="1175"/>
      <c r="E163" s="1172"/>
      <c r="G163" s="1172"/>
      <c r="I163" s="1172"/>
      <c r="K163" s="1172"/>
      <c r="M163" s="1172"/>
      <c r="N163" s="1173"/>
      <c r="O163" s="1174"/>
      <c r="P163" s="1174"/>
      <c r="Q163" s="1174"/>
      <c r="R163" s="1174"/>
      <c r="S163" s="1174"/>
    </row>
    <row r="164" spans="3:19" s="1171" customFormat="1" ht="20.100000000000001" customHeight="1">
      <c r="C164" s="1175"/>
      <c r="E164" s="1172"/>
      <c r="G164" s="1172"/>
      <c r="I164" s="1172"/>
      <c r="K164" s="1172"/>
      <c r="M164" s="1172"/>
      <c r="N164" s="1173"/>
      <c r="O164" s="1174"/>
      <c r="P164" s="1174"/>
      <c r="Q164" s="1174"/>
      <c r="R164" s="1174"/>
      <c r="S164" s="1174"/>
    </row>
    <row r="165" spans="3:19" s="1171" customFormat="1" ht="20.100000000000001" customHeight="1">
      <c r="C165" s="1175"/>
      <c r="E165" s="1172"/>
      <c r="G165" s="1172"/>
      <c r="I165" s="1172"/>
      <c r="K165" s="1172"/>
      <c r="M165" s="1172"/>
      <c r="N165" s="1173"/>
      <c r="O165" s="1174"/>
      <c r="P165" s="1174"/>
      <c r="Q165" s="1174"/>
      <c r="R165" s="1174"/>
      <c r="S165" s="1174"/>
    </row>
    <row r="166" spans="3:19" s="1171" customFormat="1" ht="20.100000000000001" customHeight="1">
      <c r="C166" s="1175"/>
      <c r="E166" s="1172"/>
      <c r="G166" s="1172"/>
      <c r="I166" s="1172"/>
      <c r="K166" s="1172"/>
      <c r="M166" s="1172"/>
      <c r="N166" s="1173"/>
      <c r="O166" s="1174"/>
      <c r="P166" s="1174"/>
      <c r="Q166" s="1174"/>
      <c r="R166" s="1174"/>
      <c r="S166" s="1174"/>
    </row>
    <row r="167" spans="3:19" s="1171" customFormat="1" ht="20.100000000000001" customHeight="1">
      <c r="C167" s="1175"/>
      <c r="E167" s="1172"/>
      <c r="G167" s="1172"/>
      <c r="I167" s="1172"/>
      <c r="K167" s="1172"/>
      <c r="M167" s="1172"/>
      <c r="N167" s="1173"/>
      <c r="O167" s="1174"/>
      <c r="P167" s="1174"/>
      <c r="Q167" s="1174"/>
      <c r="R167" s="1174"/>
      <c r="S167" s="1174"/>
    </row>
    <row r="168" spans="3:19" s="1171" customFormat="1" ht="20.100000000000001" customHeight="1">
      <c r="C168" s="1175"/>
      <c r="E168" s="1172"/>
      <c r="G168" s="1172"/>
      <c r="I168" s="1172"/>
      <c r="K168" s="1172"/>
      <c r="M168" s="1172"/>
      <c r="N168" s="1173"/>
      <c r="O168" s="1174"/>
      <c r="P168" s="1174"/>
      <c r="Q168" s="1174"/>
      <c r="R168" s="1174"/>
      <c r="S168" s="1174"/>
    </row>
    <row r="169" spans="3:19" s="1171" customFormat="1" ht="20.100000000000001" customHeight="1">
      <c r="C169" s="1175"/>
      <c r="E169" s="1172"/>
      <c r="G169" s="1172"/>
      <c r="I169" s="1172"/>
      <c r="K169" s="1172"/>
      <c r="M169" s="1172"/>
      <c r="N169" s="1173"/>
      <c r="O169" s="1174"/>
      <c r="P169" s="1174"/>
      <c r="Q169" s="1174"/>
      <c r="R169" s="1174"/>
      <c r="S169" s="1174"/>
    </row>
    <row r="170" spans="3:19" s="1171" customFormat="1" ht="20.100000000000001" customHeight="1">
      <c r="C170" s="1175"/>
      <c r="E170" s="1172"/>
      <c r="G170" s="1172"/>
      <c r="I170" s="1172"/>
      <c r="K170" s="1172"/>
      <c r="M170" s="1172"/>
      <c r="N170" s="1173"/>
      <c r="O170" s="1174"/>
      <c r="P170" s="1174"/>
      <c r="Q170" s="1174"/>
      <c r="R170" s="1174"/>
      <c r="S170" s="1174"/>
    </row>
    <row r="171" spans="3:19" s="1171" customFormat="1" ht="20.100000000000001" customHeight="1">
      <c r="C171" s="1175"/>
      <c r="E171" s="1172"/>
      <c r="G171" s="1172"/>
      <c r="I171" s="1172"/>
      <c r="K171" s="1172"/>
      <c r="M171" s="1172"/>
      <c r="N171" s="1173"/>
      <c r="O171" s="1174"/>
      <c r="P171" s="1174"/>
      <c r="Q171" s="1174"/>
      <c r="R171" s="1174"/>
      <c r="S171" s="1174"/>
    </row>
    <row r="172" spans="3:19" s="1171" customFormat="1" ht="20.100000000000001" customHeight="1">
      <c r="C172" s="1175"/>
      <c r="E172" s="1172"/>
      <c r="G172" s="1172"/>
      <c r="I172" s="1172"/>
      <c r="K172" s="1172"/>
      <c r="M172" s="1172"/>
      <c r="N172" s="1173"/>
      <c r="O172" s="1174"/>
      <c r="P172" s="1174"/>
      <c r="Q172" s="1174"/>
      <c r="R172" s="1174"/>
      <c r="S172" s="1174"/>
    </row>
    <row r="173" spans="3:19" s="1171" customFormat="1" ht="20.100000000000001" customHeight="1">
      <c r="C173" s="1175"/>
      <c r="E173" s="1172"/>
      <c r="G173" s="1172"/>
      <c r="I173" s="1172"/>
      <c r="K173" s="1172"/>
      <c r="M173" s="1172"/>
      <c r="N173" s="1173"/>
      <c r="O173" s="1174"/>
      <c r="P173" s="1174"/>
      <c r="Q173" s="1174"/>
      <c r="R173" s="1174"/>
      <c r="S173" s="1174"/>
    </row>
    <row r="174" spans="3:19" s="1171" customFormat="1" ht="20.100000000000001" customHeight="1">
      <c r="C174" s="1175"/>
      <c r="E174" s="1172"/>
      <c r="G174" s="1172"/>
      <c r="I174" s="1172"/>
      <c r="K174" s="1172"/>
      <c r="M174" s="1172"/>
      <c r="N174" s="1173"/>
      <c r="O174" s="1174"/>
      <c r="P174" s="1174"/>
      <c r="Q174" s="1174"/>
      <c r="R174" s="1174"/>
      <c r="S174" s="1174"/>
    </row>
    <row r="175" spans="3:19" s="1171" customFormat="1" ht="20.100000000000001" customHeight="1">
      <c r="C175" s="1175"/>
      <c r="E175" s="1172"/>
      <c r="G175" s="1172"/>
      <c r="I175" s="1172"/>
      <c r="K175" s="1172"/>
      <c r="M175" s="1172"/>
      <c r="N175" s="1173"/>
      <c r="O175" s="1174"/>
      <c r="P175" s="1174"/>
      <c r="Q175" s="1174"/>
      <c r="R175" s="1174"/>
      <c r="S175" s="1174"/>
    </row>
    <row r="176" spans="3:19" s="1171" customFormat="1" ht="20.100000000000001" customHeight="1">
      <c r="C176" s="1175"/>
      <c r="E176" s="1172"/>
      <c r="G176" s="1172"/>
      <c r="I176" s="1172"/>
      <c r="K176" s="1172"/>
      <c r="M176" s="1172"/>
      <c r="N176" s="1173"/>
      <c r="O176" s="1174"/>
      <c r="P176" s="1174"/>
      <c r="Q176" s="1174"/>
      <c r="R176" s="1174"/>
      <c r="S176" s="1174"/>
    </row>
    <row r="177" spans="3:19" s="1171" customFormat="1" ht="20.100000000000001" customHeight="1">
      <c r="C177" s="1175"/>
      <c r="E177" s="1172"/>
      <c r="G177" s="1172"/>
      <c r="I177" s="1172"/>
      <c r="K177" s="1172"/>
      <c r="M177" s="1172"/>
      <c r="N177" s="1173"/>
      <c r="O177" s="1174"/>
      <c r="P177" s="1174"/>
      <c r="Q177" s="1174"/>
      <c r="R177" s="1174"/>
      <c r="S177" s="1174"/>
    </row>
    <row r="178" spans="3:19" s="1171" customFormat="1" ht="20.100000000000001" customHeight="1">
      <c r="C178" s="1175"/>
      <c r="E178" s="1172"/>
      <c r="G178" s="1172"/>
      <c r="I178" s="1172"/>
      <c r="K178" s="1172"/>
      <c r="M178" s="1172"/>
      <c r="N178" s="1173"/>
      <c r="O178" s="1174"/>
      <c r="P178" s="1174"/>
      <c r="Q178" s="1174"/>
      <c r="R178" s="1174"/>
      <c r="S178" s="1174"/>
    </row>
    <row r="179" spans="3:19" s="1171" customFormat="1" ht="20.100000000000001" customHeight="1">
      <c r="C179" s="1175"/>
      <c r="E179" s="1172"/>
      <c r="G179" s="1172"/>
      <c r="I179" s="1172"/>
      <c r="K179" s="1172"/>
      <c r="M179" s="1172"/>
      <c r="N179" s="1173"/>
      <c r="O179" s="1174"/>
      <c r="P179" s="1174"/>
      <c r="Q179" s="1174"/>
      <c r="R179" s="1174"/>
      <c r="S179" s="1174"/>
    </row>
    <row r="180" spans="3:19" s="1171" customFormat="1" ht="20.100000000000001" customHeight="1">
      <c r="C180" s="1175"/>
      <c r="E180" s="1172"/>
      <c r="G180" s="1172"/>
      <c r="I180" s="1172"/>
      <c r="K180" s="1172"/>
      <c r="M180" s="1172"/>
      <c r="N180" s="1173"/>
      <c r="O180" s="1174"/>
      <c r="P180" s="1174"/>
      <c r="Q180" s="1174"/>
      <c r="R180" s="1174"/>
      <c r="S180" s="1174"/>
    </row>
    <row r="181" spans="3:19" s="1171" customFormat="1" ht="20.100000000000001" customHeight="1">
      <c r="C181" s="1175"/>
      <c r="E181" s="1172"/>
      <c r="G181" s="1172"/>
      <c r="I181" s="1172"/>
      <c r="K181" s="1172"/>
      <c r="M181" s="1172"/>
      <c r="N181" s="1173"/>
      <c r="O181" s="1174"/>
      <c r="P181" s="1174"/>
      <c r="Q181" s="1174"/>
      <c r="R181" s="1174"/>
      <c r="S181" s="1174"/>
    </row>
    <row r="182" spans="3:19" s="1171" customFormat="1" ht="20.100000000000001" customHeight="1">
      <c r="C182" s="1175"/>
      <c r="E182" s="1172"/>
      <c r="G182" s="1172"/>
      <c r="I182" s="1172"/>
      <c r="K182" s="1172"/>
      <c r="M182" s="1172"/>
      <c r="N182" s="1173"/>
      <c r="O182" s="1174"/>
      <c r="P182" s="1174"/>
      <c r="Q182" s="1174"/>
      <c r="R182" s="1174"/>
      <c r="S182" s="1174"/>
    </row>
    <row r="183" spans="3:19" s="1171" customFormat="1" ht="20.100000000000001" customHeight="1">
      <c r="C183" s="1175"/>
      <c r="E183" s="1172"/>
      <c r="G183" s="1172"/>
      <c r="I183" s="1172"/>
      <c r="K183" s="1172"/>
      <c r="M183" s="1172"/>
      <c r="N183" s="1173"/>
      <c r="O183" s="1174"/>
      <c r="P183" s="1174"/>
      <c r="Q183" s="1174"/>
      <c r="R183" s="1174"/>
      <c r="S183" s="1174"/>
    </row>
    <row r="184" spans="3:19" s="1171" customFormat="1" ht="20.100000000000001" customHeight="1">
      <c r="C184" s="1175"/>
      <c r="E184" s="1172"/>
      <c r="G184" s="1172"/>
      <c r="I184" s="1172"/>
      <c r="K184" s="1172"/>
      <c r="M184" s="1172"/>
      <c r="N184" s="1173"/>
      <c r="O184" s="1174"/>
      <c r="P184" s="1174"/>
      <c r="Q184" s="1174"/>
      <c r="R184" s="1174"/>
      <c r="S184" s="1174"/>
    </row>
    <row r="185" spans="3:19" s="1171" customFormat="1" ht="20.100000000000001" customHeight="1">
      <c r="C185" s="1175"/>
      <c r="E185" s="1172"/>
      <c r="G185" s="1172"/>
      <c r="I185" s="1172"/>
      <c r="K185" s="1172"/>
      <c r="M185" s="1172"/>
      <c r="N185" s="1173"/>
      <c r="O185" s="1174"/>
      <c r="P185" s="1174"/>
      <c r="Q185" s="1174"/>
      <c r="R185" s="1174"/>
      <c r="S185" s="1174"/>
    </row>
    <row r="186" spans="3:19" s="1171" customFormat="1" ht="20.100000000000001" customHeight="1">
      <c r="C186" s="1175"/>
      <c r="E186" s="1172"/>
      <c r="G186" s="1172"/>
      <c r="I186" s="1172"/>
      <c r="K186" s="1172"/>
      <c r="M186" s="1172"/>
      <c r="N186" s="1173"/>
      <c r="O186" s="1174"/>
      <c r="P186" s="1174"/>
      <c r="Q186" s="1174"/>
      <c r="R186" s="1174"/>
      <c r="S186" s="1174"/>
    </row>
    <row r="187" spans="3:19" s="1171" customFormat="1" ht="20.100000000000001" customHeight="1">
      <c r="C187" s="1175"/>
      <c r="E187" s="1172"/>
      <c r="G187" s="1172"/>
      <c r="I187" s="1172"/>
      <c r="K187" s="1172"/>
      <c r="M187" s="1172"/>
      <c r="N187" s="1173"/>
      <c r="O187" s="1174"/>
      <c r="P187" s="1174"/>
      <c r="Q187" s="1174"/>
      <c r="R187" s="1174"/>
      <c r="S187" s="1174"/>
    </row>
    <row r="188" spans="3:19" s="1171" customFormat="1" ht="20.100000000000001" customHeight="1">
      <c r="C188" s="1175"/>
      <c r="E188" s="1172"/>
      <c r="G188" s="1172"/>
      <c r="I188" s="1172"/>
      <c r="K188" s="1172"/>
      <c r="M188" s="1172"/>
      <c r="N188" s="1173"/>
      <c r="O188" s="1174"/>
      <c r="P188" s="1174"/>
      <c r="Q188" s="1174"/>
      <c r="R188" s="1174"/>
      <c r="S188" s="1174"/>
    </row>
    <row r="189" spans="3:19" s="1171" customFormat="1" ht="20.100000000000001" customHeight="1">
      <c r="C189" s="1175"/>
      <c r="E189" s="1172"/>
      <c r="G189" s="1172"/>
      <c r="I189" s="1172"/>
      <c r="K189" s="1172"/>
      <c r="M189" s="1172"/>
      <c r="N189" s="1173"/>
      <c r="O189" s="1174"/>
      <c r="P189" s="1174"/>
      <c r="Q189" s="1174"/>
      <c r="R189" s="1174"/>
      <c r="S189" s="1174"/>
    </row>
    <row r="190" spans="3:19" s="1171" customFormat="1" ht="20.100000000000001" customHeight="1">
      <c r="C190" s="1175"/>
      <c r="E190" s="1172"/>
      <c r="G190" s="1172"/>
      <c r="I190" s="1172"/>
      <c r="K190" s="1172"/>
      <c r="M190" s="1172"/>
      <c r="N190" s="1173"/>
      <c r="O190" s="1174"/>
      <c r="P190" s="1174"/>
      <c r="Q190" s="1174"/>
      <c r="R190" s="1174"/>
      <c r="S190" s="1174"/>
    </row>
    <row r="191" spans="3:19" s="1171" customFormat="1" ht="20.100000000000001" customHeight="1">
      <c r="C191" s="1175"/>
      <c r="E191" s="1172"/>
      <c r="G191" s="1172"/>
      <c r="I191" s="1172"/>
      <c r="K191" s="1172"/>
      <c r="M191" s="1172"/>
      <c r="N191" s="1173"/>
      <c r="O191" s="1174"/>
      <c r="P191" s="1174"/>
      <c r="Q191" s="1174"/>
      <c r="R191" s="1174"/>
      <c r="S191" s="1174"/>
    </row>
    <row r="192" spans="3:19" s="1171" customFormat="1" ht="20.100000000000001" customHeight="1">
      <c r="C192" s="1175"/>
      <c r="E192" s="1172"/>
      <c r="G192" s="1172"/>
      <c r="I192" s="1172"/>
      <c r="K192" s="1172"/>
      <c r="M192" s="1172"/>
      <c r="N192" s="1173"/>
      <c r="O192" s="1174"/>
      <c r="P192" s="1174"/>
      <c r="Q192" s="1174"/>
      <c r="R192" s="1174"/>
      <c r="S192" s="1174"/>
    </row>
    <row r="193" spans="3:19" s="1171" customFormat="1" ht="20.100000000000001" customHeight="1">
      <c r="C193" s="1175"/>
      <c r="E193" s="1172"/>
      <c r="G193" s="1172"/>
      <c r="I193" s="1172"/>
      <c r="K193" s="1172"/>
      <c r="M193" s="1172"/>
      <c r="N193" s="1173"/>
      <c r="O193" s="1174"/>
      <c r="P193" s="1174"/>
      <c r="Q193" s="1174"/>
      <c r="R193" s="1174"/>
      <c r="S193" s="1174"/>
    </row>
    <row r="194" spans="3:19" s="1171" customFormat="1" ht="20.100000000000001" customHeight="1">
      <c r="C194" s="1175"/>
      <c r="E194" s="1172"/>
      <c r="G194" s="1172"/>
      <c r="I194" s="1172"/>
      <c r="K194" s="1172"/>
      <c r="M194" s="1172"/>
      <c r="N194" s="1173"/>
      <c r="O194" s="1174"/>
      <c r="P194" s="1174"/>
      <c r="Q194" s="1174"/>
      <c r="R194" s="1174"/>
      <c r="S194" s="1174"/>
    </row>
    <row r="195" spans="3:19" s="1171" customFormat="1" ht="20.100000000000001" customHeight="1">
      <c r="C195" s="1175"/>
      <c r="E195" s="1172"/>
      <c r="G195" s="1172"/>
      <c r="I195" s="1172"/>
      <c r="K195" s="1172"/>
      <c r="M195" s="1172"/>
      <c r="N195" s="1173"/>
      <c r="O195" s="1174"/>
      <c r="P195" s="1174"/>
      <c r="Q195" s="1174"/>
      <c r="R195" s="1174"/>
      <c r="S195" s="1174"/>
    </row>
    <row r="196" spans="3:19" s="1171" customFormat="1" ht="20.100000000000001" customHeight="1">
      <c r="C196" s="1175"/>
      <c r="E196" s="1172"/>
      <c r="G196" s="1172"/>
      <c r="I196" s="1172"/>
      <c r="K196" s="1172"/>
      <c r="M196" s="1172"/>
      <c r="N196" s="1173"/>
      <c r="O196" s="1174"/>
      <c r="P196" s="1174"/>
      <c r="Q196" s="1174"/>
      <c r="R196" s="1174"/>
      <c r="S196" s="1174"/>
    </row>
    <row r="197" spans="3:19" s="1171" customFormat="1" ht="20.100000000000001" customHeight="1">
      <c r="C197" s="1175"/>
      <c r="E197" s="1172"/>
      <c r="G197" s="1172"/>
      <c r="I197" s="1172"/>
      <c r="K197" s="1172"/>
      <c r="M197" s="1172"/>
      <c r="N197" s="1173"/>
      <c r="O197" s="1174"/>
      <c r="P197" s="1174"/>
      <c r="Q197" s="1174"/>
      <c r="R197" s="1174"/>
      <c r="S197" s="1174"/>
    </row>
    <row r="198" spans="3:19" s="1171" customFormat="1" ht="20.100000000000001" customHeight="1">
      <c r="C198" s="1175"/>
      <c r="E198" s="1172"/>
      <c r="G198" s="1172"/>
      <c r="I198" s="1172"/>
      <c r="K198" s="1172"/>
      <c r="M198" s="1172"/>
      <c r="N198" s="1173"/>
      <c r="O198" s="1174"/>
      <c r="P198" s="1174"/>
      <c r="Q198" s="1174"/>
      <c r="R198" s="1174"/>
      <c r="S198" s="1174"/>
    </row>
    <row r="199" spans="3:19" s="1171" customFormat="1" ht="20.100000000000001" customHeight="1">
      <c r="C199" s="1175"/>
      <c r="E199" s="1172"/>
      <c r="G199" s="1172"/>
      <c r="I199" s="1172"/>
      <c r="K199" s="1172"/>
      <c r="M199" s="1172"/>
      <c r="N199" s="1173"/>
      <c r="O199" s="1174"/>
      <c r="P199" s="1174"/>
      <c r="Q199" s="1174"/>
      <c r="R199" s="1174"/>
      <c r="S199" s="1174"/>
    </row>
    <row r="200" spans="3:19" s="1171" customFormat="1" ht="20.100000000000001" customHeight="1">
      <c r="C200" s="1175"/>
      <c r="E200" s="1172"/>
      <c r="G200" s="1172"/>
      <c r="I200" s="1172"/>
      <c r="K200" s="1172"/>
      <c r="M200" s="1172"/>
      <c r="N200" s="1173"/>
      <c r="O200" s="1174"/>
      <c r="P200" s="1174"/>
      <c r="Q200" s="1174"/>
      <c r="R200" s="1174"/>
      <c r="S200" s="1174"/>
    </row>
    <row r="201" spans="3:19" s="1171" customFormat="1" ht="20.100000000000001" customHeight="1">
      <c r="C201" s="1175"/>
      <c r="E201" s="1172"/>
      <c r="G201" s="1172"/>
      <c r="I201" s="1172"/>
      <c r="K201" s="1172"/>
      <c r="M201" s="1172"/>
      <c r="N201" s="1173"/>
      <c r="O201" s="1174"/>
      <c r="P201" s="1174"/>
      <c r="Q201" s="1174"/>
      <c r="R201" s="1174"/>
      <c r="S201" s="1174"/>
    </row>
    <row r="202" spans="3:19" s="1171" customFormat="1" ht="20.100000000000001" customHeight="1">
      <c r="C202" s="1175"/>
      <c r="E202" s="1172"/>
      <c r="G202" s="1172"/>
      <c r="I202" s="1172"/>
      <c r="K202" s="1172"/>
      <c r="M202" s="1172"/>
      <c r="N202" s="1173"/>
      <c r="O202" s="1174"/>
      <c r="P202" s="1174"/>
      <c r="Q202" s="1174"/>
      <c r="R202" s="1174"/>
      <c r="S202" s="1174"/>
    </row>
    <row r="203" spans="3:19" s="1171" customFormat="1" ht="20.100000000000001" customHeight="1">
      <c r="C203" s="1175"/>
      <c r="E203" s="1172"/>
      <c r="G203" s="1172"/>
      <c r="I203" s="1172"/>
      <c r="K203" s="1172"/>
      <c r="M203" s="1172"/>
      <c r="N203" s="1173"/>
      <c r="O203" s="1174"/>
      <c r="P203" s="1174"/>
      <c r="Q203" s="1174"/>
      <c r="R203" s="1174"/>
      <c r="S203" s="1174"/>
    </row>
    <row r="204" spans="3:19" s="1171" customFormat="1" ht="20.100000000000001" customHeight="1">
      <c r="C204" s="1175"/>
      <c r="E204" s="1172"/>
      <c r="G204" s="1172"/>
      <c r="I204" s="1172"/>
      <c r="K204" s="1172"/>
      <c r="M204" s="1172"/>
      <c r="N204" s="1173"/>
      <c r="O204" s="1174"/>
      <c r="P204" s="1174"/>
      <c r="Q204" s="1174"/>
      <c r="R204" s="1174"/>
      <c r="S204" s="1174"/>
    </row>
    <row r="205" spans="3:19" s="1171" customFormat="1" ht="20.100000000000001" customHeight="1">
      <c r="C205" s="1175"/>
      <c r="E205" s="1172"/>
      <c r="G205" s="1172"/>
      <c r="I205" s="1172"/>
      <c r="K205" s="1172"/>
      <c r="M205" s="1172"/>
      <c r="N205" s="1173"/>
      <c r="O205" s="1174"/>
      <c r="P205" s="1174"/>
      <c r="Q205" s="1174"/>
      <c r="R205" s="1174"/>
      <c r="S205" s="1174"/>
    </row>
    <row r="206" spans="3:19" s="1171" customFormat="1" ht="20.100000000000001" customHeight="1">
      <c r="C206" s="1175"/>
      <c r="E206" s="1172"/>
      <c r="G206" s="1172"/>
      <c r="I206" s="1172"/>
      <c r="K206" s="1172"/>
      <c r="M206" s="1172"/>
      <c r="N206" s="1173"/>
      <c r="O206" s="1174"/>
      <c r="P206" s="1174"/>
      <c r="Q206" s="1174"/>
      <c r="R206" s="1174"/>
      <c r="S206" s="1174"/>
    </row>
    <row r="207" spans="3:19" s="1171" customFormat="1" ht="20.100000000000001" customHeight="1">
      <c r="C207" s="1175"/>
      <c r="E207" s="1172"/>
      <c r="G207" s="1172"/>
      <c r="I207" s="1172"/>
      <c r="K207" s="1172"/>
      <c r="M207" s="1172"/>
      <c r="N207" s="1173"/>
      <c r="O207" s="1174"/>
      <c r="P207" s="1174"/>
      <c r="Q207" s="1174"/>
      <c r="R207" s="1174"/>
      <c r="S207" s="1174"/>
    </row>
    <row r="208" spans="3:19" s="1171" customFormat="1" ht="20.100000000000001" customHeight="1">
      <c r="C208" s="1175"/>
      <c r="E208" s="1172"/>
      <c r="G208" s="1172"/>
      <c r="I208" s="1172"/>
      <c r="K208" s="1172"/>
      <c r="M208" s="1172"/>
      <c r="N208" s="1173"/>
      <c r="O208" s="1174"/>
      <c r="P208" s="1174"/>
      <c r="Q208" s="1174"/>
      <c r="R208" s="1174"/>
      <c r="S208" s="1174"/>
    </row>
    <row r="209" spans="3:19" s="1171" customFormat="1" ht="20.100000000000001" customHeight="1">
      <c r="C209" s="1175"/>
      <c r="E209" s="1172"/>
      <c r="G209" s="1172"/>
      <c r="I209" s="1172"/>
      <c r="K209" s="1172"/>
      <c r="M209" s="1172"/>
      <c r="N209" s="1173"/>
      <c r="O209" s="1174"/>
      <c r="P209" s="1174"/>
      <c r="Q209" s="1174"/>
      <c r="R209" s="1174"/>
      <c r="S209" s="1174"/>
    </row>
    <row r="210" spans="3:19" s="1171" customFormat="1" ht="20.100000000000001" customHeight="1">
      <c r="C210" s="1175"/>
      <c r="E210" s="1172"/>
      <c r="G210" s="1172"/>
      <c r="I210" s="1172"/>
      <c r="K210" s="1172"/>
      <c r="M210" s="1172"/>
      <c r="N210" s="1173"/>
      <c r="O210" s="1174"/>
      <c r="P210" s="1174"/>
      <c r="Q210" s="1174"/>
      <c r="R210" s="1174"/>
      <c r="S210" s="1174"/>
    </row>
    <row r="211" spans="3:19" s="1171" customFormat="1" ht="20.100000000000001" customHeight="1">
      <c r="C211" s="1175"/>
      <c r="E211" s="1172"/>
      <c r="G211" s="1172"/>
      <c r="I211" s="1172"/>
      <c r="K211" s="1172"/>
      <c r="M211" s="1172"/>
      <c r="N211" s="1173"/>
      <c r="O211" s="1174"/>
      <c r="P211" s="1174"/>
      <c r="Q211" s="1174"/>
      <c r="R211" s="1174"/>
      <c r="S211" s="1174"/>
    </row>
    <row r="212" spans="3:19" s="1171" customFormat="1" ht="20.100000000000001" customHeight="1">
      <c r="C212" s="1175"/>
      <c r="E212" s="1172"/>
      <c r="G212" s="1172"/>
      <c r="I212" s="1172"/>
      <c r="K212" s="1172"/>
      <c r="M212" s="1172"/>
      <c r="N212" s="1173"/>
      <c r="O212" s="1174"/>
      <c r="P212" s="1174"/>
      <c r="Q212" s="1174"/>
      <c r="R212" s="1174"/>
      <c r="S212" s="1174"/>
    </row>
    <row r="213" spans="3:19" s="1171" customFormat="1" ht="20.100000000000001" customHeight="1">
      <c r="C213" s="1175"/>
      <c r="E213" s="1172"/>
      <c r="G213" s="1172"/>
      <c r="I213" s="1172"/>
      <c r="K213" s="1172"/>
      <c r="M213" s="1172"/>
      <c r="N213" s="1173"/>
      <c r="O213" s="1174"/>
      <c r="P213" s="1174"/>
      <c r="Q213" s="1174"/>
      <c r="R213" s="1174"/>
      <c r="S213" s="1174"/>
    </row>
    <row r="214" spans="3:19" s="1171" customFormat="1" ht="20.100000000000001" customHeight="1">
      <c r="C214" s="1175"/>
      <c r="E214" s="1172"/>
      <c r="G214" s="1172"/>
      <c r="I214" s="1172"/>
      <c r="K214" s="1172"/>
      <c r="M214" s="1172"/>
      <c r="N214" s="1173"/>
      <c r="O214" s="1174"/>
      <c r="P214" s="1174"/>
      <c r="Q214" s="1174"/>
      <c r="R214" s="1174"/>
      <c r="S214" s="1174"/>
    </row>
    <row r="215" spans="3:19" s="1171" customFormat="1" ht="20.100000000000001" customHeight="1">
      <c r="C215" s="1175"/>
      <c r="E215" s="1172"/>
      <c r="G215" s="1172"/>
      <c r="I215" s="1172"/>
      <c r="K215" s="1172"/>
      <c r="M215" s="1172"/>
      <c r="N215" s="1173"/>
      <c r="O215" s="1174"/>
      <c r="P215" s="1174"/>
      <c r="Q215" s="1174"/>
      <c r="R215" s="1174"/>
      <c r="S215" s="1174"/>
    </row>
    <row r="216" spans="3:19" s="1171" customFormat="1" ht="20.100000000000001" customHeight="1">
      <c r="C216" s="1175"/>
      <c r="E216" s="1172"/>
      <c r="G216" s="1172"/>
      <c r="I216" s="1172"/>
      <c r="K216" s="1172"/>
      <c r="M216" s="1172"/>
      <c r="N216" s="1173"/>
      <c r="O216" s="1174"/>
      <c r="P216" s="1174"/>
      <c r="Q216" s="1174"/>
      <c r="R216" s="1174"/>
      <c r="S216" s="1174"/>
    </row>
    <row r="217" spans="3:19" s="1171" customFormat="1" ht="20.100000000000001" customHeight="1">
      <c r="C217" s="1175"/>
      <c r="E217" s="1172"/>
      <c r="G217" s="1172"/>
      <c r="I217" s="1172"/>
      <c r="K217" s="1172"/>
      <c r="M217" s="1172"/>
      <c r="N217" s="1173"/>
      <c r="O217" s="1174"/>
      <c r="P217" s="1174"/>
      <c r="Q217" s="1174"/>
      <c r="R217" s="1174"/>
      <c r="S217" s="1174"/>
    </row>
    <row r="218" spans="3:19" s="1171" customFormat="1" ht="20.100000000000001" customHeight="1">
      <c r="C218" s="1175"/>
      <c r="E218" s="1172"/>
      <c r="G218" s="1172"/>
      <c r="I218" s="1172"/>
      <c r="K218" s="1172"/>
      <c r="M218" s="1172"/>
      <c r="N218" s="1173"/>
      <c r="O218" s="1174"/>
      <c r="P218" s="1174"/>
      <c r="Q218" s="1174"/>
      <c r="R218" s="1174"/>
      <c r="S218" s="1174"/>
    </row>
    <row r="219" spans="3:19" s="1171" customFormat="1" ht="20.100000000000001" customHeight="1">
      <c r="C219" s="1175"/>
      <c r="E219" s="1172"/>
      <c r="G219" s="1172"/>
      <c r="I219" s="1172"/>
      <c r="K219" s="1172"/>
      <c r="M219" s="1172"/>
      <c r="N219" s="1173"/>
      <c r="O219" s="1174"/>
      <c r="P219" s="1174"/>
      <c r="Q219" s="1174"/>
      <c r="R219" s="1174"/>
      <c r="S219" s="1174"/>
    </row>
    <row r="220" spans="3:19" s="1171" customFormat="1" ht="20.100000000000001" customHeight="1">
      <c r="C220" s="1175"/>
      <c r="E220" s="1172"/>
      <c r="G220" s="1172"/>
      <c r="I220" s="1172"/>
      <c r="K220" s="1172"/>
      <c r="M220" s="1172"/>
      <c r="N220" s="1173"/>
      <c r="O220" s="1174"/>
      <c r="P220" s="1174"/>
      <c r="Q220" s="1174"/>
      <c r="R220" s="1174"/>
      <c r="S220" s="1174"/>
    </row>
    <row r="221" spans="3:19" s="1171" customFormat="1" ht="20.100000000000001" customHeight="1">
      <c r="C221" s="1175"/>
      <c r="E221" s="1172"/>
      <c r="G221" s="1172"/>
      <c r="I221" s="1172"/>
      <c r="K221" s="1172"/>
      <c r="M221" s="1172"/>
      <c r="N221" s="1173"/>
      <c r="O221" s="1174"/>
      <c r="P221" s="1174"/>
      <c r="Q221" s="1174"/>
      <c r="R221" s="1174"/>
      <c r="S221" s="1174"/>
    </row>
    <row r="222" spans="3:19" s="1171" customFormat="1" ht="20.100000000000001" customHeight="1">
      <c r="C222" s="1175"/>
      <c r="E222" s="1172"/>
      <c r="G222" s="1172"/>
      <c r="I222" s="1172"/>
      <c r="K222" s="1172"/>
      <c r="M222" s="1172"/>
      <c r="N222" s="1173"/>
      <c r="O222" s="1174"/>
      <c r="P222" s="1174"/>
      <c r="Q222" s="1174"/>
      <c r="R222" s="1174"/>
      <c r="S222" s="1174"/>
    </row>
    <row r="223" spans="3:19" s="1171" customFormat="1" ht="20.100000000000001" customHeight="1">
      <c r="C223" s="1175"/>
      <c r="E223" s="1172"/>
      <c r="G223" s="1172"/>
      <c r="I223" s="1172"/>
      <c r="K223" s="1172"/>
      <c r="M223" s="1172"/>
      <c r="N223" s="1173"/>
      <c r="O223" s="1174"/>
      <c r="P223" s="1174"/>
      <c r="Q223" s="1174"/>
      <c r="R223" s="1174"/>
      <c r="S223" s="1174"/>
    </row>
    <row r="224" spans="3:19" s="1171" customFormat="1" ht="20.100000000000001" customHeight="1">
      <c r="C224" s="1175"/>
      <c r="E224" s="1172"/>
      <c r="G224" s="1172"/>
      <c r="I224" s="1172"/>
      <c r="K224" s="1172"/>
      <c r="M224" s="1172"/>
      <c r="N224" s="1173"/>
      <c r="O224" s="1174"/>
      <c r="P224" s="1174"/>
      <c r="Q224" s="1174"/>
      <c r="R224" s="1174"/>
      <c r="S224" s="1174"/>
    </row>
    <row r="225" spans="3:19" s="1171" customFormat="1" ht="20.100000000000001" customHeight="1">
      <c r="C225" s="1175"/>
      <c r="E225" s="1172"/>
      <c r="G225" s="1172"/>
      <c r="I225" s="1172"/>
      <c r="K225" s="1172"/>
      <c r="M225" s="1172"/>
      <c r="N225" s="1173"/>
      <c r="O225" s="1174"/>
      <c r="P225" s="1174"/>
      <c r="Q225" s="1174"/>
      <c r="R225" s="1174"/>
      <c r="S225" s="1174"/>
    </row>
    <row r="226" spans="3:19" s="1171" customFormat="1" ht="20.100000000000001" customHeight="1">
      <c r="C226" s="1175"/>
      <c r="E226" s="1172"/>
      <c r="G226" s="1172"/>
      <c r="I226" s="1172"/>
      <c r="K226" s="1172"/>
      <c r="M226" s="1172"/>
      <c r="N226" s="1173"/>
      <c r="O226" s="1174"/>
      <c r="P226" s="1174"/>
      <c r="Q226" s="1174"/>
      <c r="R226" s="1174"/>
      <c r="S226" s="1174"/>
    </row>
    <row r="227" spans="3:19" s="1171" customFormat="1" ht="20.100000000000001" customHeight="1">
      <c r="C227" s="1175"/>
      <c r="E227" s="1172"/>
      <c r="G227" s="1172"/>
      <c r="I227" s="1172"/>
      <c r="K227" s="1172"/>
      <c r="M227" s="1172"/>
      <c r="N227" s="1173"/>
      <c r="O227" s="1174"/>
      <c r="P227" s="1174"/>
      <c r="Q227" s="1174"/>
      <c r="R227" s="1174"/>
      <c r="S227" s="1174"/>
    </row>
    <row r="228" spans="3:19" s="1171" customFormat="1" ht="20.100000000000001" customHeight="1">
      <c r="C228" s="1175"/>
      <c r="E228" s="1172"/>
      <c r="G228" s="1172"/>
      <c r="I228" s="1172"/>
      <c r="K228" s="1172"/>
      <c r="M228" s="1172"/>
      <c r="N228" s="1173"/>
      <c r="O228" s="1174"/>
      <c r="P228" s="1174"/>
      <c r="Q228" s="1174"/>
      <c r="R228" s="1174"/>
      <c r="S228" s="1174"/>
    </row>
    <row r="229" spans="3:19" s="1171" customFormat="1" ht="20.100000000000001" customHeight="1">
      <c r="C229" s="1175"/>
      <c r="E229" s="1172"/>
      <c r="G229" s="1172"/>
      <c r="I229" s="1172"/>
      <c r="K229" s="1172"/>
      <c r="M229" s="1172"/>
      <c r="N229" s="1173"/>
      <c r="O229" s="1174"/>
      <c r="P229" s="1174"/>
      <c r="Q229" s="1174"/>
      <c r="R229" s="1174"/>
      <c r="S229" s="1174"/>
    </row>
    <row r="230" spans="3:19" s="1171" customFormat="1" ht="20.100000000000001" customHeight="1">
      <c r="C230" s="1175"/>
      <c r="E230" s="1172"/>
      <c r="G230" s="1172"/>
      <c r="I230" s="1172"/>
      <c r="K230" s="1172"/>
      <c r="M230" s="1172"/>
      <c r="N230" s="1173"/>
      <c r="O230" s="1174"/>
      <c r="P230" s="1174"/>
      <c r="Q230" s="1174"/>
      <c r="R230" s="1174"/>
      <c r="S230" s="1174"/>
    </row>
    <row r="231" spans="3:19" s="1171" customFormat="1" ht="20.100000000000001" customHeight="1">
      <c r="C231" s="1175"/>
      <c r="E231" s="1172"/>
      <c r="G231" s="1172"/>
      <c r="I231" s="1172"/>
      <c r="K231" s="1172"/>
      <c r="M231" s="1172"/>
      <c r="N231" s="1173"/>
      <c r="O231" s="1174"/>
      <c r="P231" s="1174"/>
      <c r="Q231" s="1174"/>
      <c r="R231" s="1174"/>
      <c r="S231" s="1174"/>
    </row>
    <row r="232" spans="3:19" s="1171" customFormat="1" ht="20.100000000000001" customHeight="1">
      <c r="C232" s="1175"/>
      <c r="E232" s="1172"/>
      <c r="G232" s="1172"/>
      <c r="I232" s="1172"/>
      <c r="K232" s="1172"/>
      <c r="M232" s="1172"/>
      <c r="N232" s="1173"/>
      <c r="O232" s="1174"/>
      <c r="P232" s="1174"/>
      <c r="Q232" s="1174"/>
      <c r="R232" s="1174"/>
      <c r="S232" s="1174"/>
    </row>
    <row r="233" spans="3:19" s="1171" customFormat="1" ht="20.100000000000001" customHeight="1">
      <c r="C233" s="1175"/>
      <c r="E233" s="1172"/>
      <c r="G233" s="1172"/>
      <c r="I233" s="1172"/>
      <c r="K233" s="1172"/>
      <c r="M233" s="1172"/>
      <c r="N233" s="1173"/>
      <c r="O233" s="1174"/>
      <c r="P233" s="1174"/>
      <c r="Q233" s="1174"/>
      <c r="R233" s="1174"/>
      <c r="S233" s="1174"/>
    </row>
    <row r="234" spans="3:19" s="1171" customFormat="1" ht="20.100000000000001" customHeight="1">
      <c r="C234" s="1175"/>
      <c r="E234" s="1172"/>
      <c r="G234" s="1172"/>
      <c r="I234" s="1172"/>
      <c r="K234" s="1172"/>
      <c r="M234" s="1172"/>
      <c r="N234" s="1173"/>
      <c r="O234" s="1174"/>
      <c r="P234" s="1174"/>
      <c r="Q234" s="1174"/>
      <c r="R234" s="1174"/>
      <c r="S234" s="1174"/>
    </row>
    <row r="235" spans="3:19" s="1171" customFormat="1" ht="20.100000000000001" customHeight="1">
      <c r="C235" s="1175"/>
      <c r="E235" s="1172"/>
      <c r="G235" s="1172"/>
      <c r="I235" s="1172"/>
      <c r="K235" s="1172"/>
      <c r="M235" s="1172"/>
      <c r="N235" s="1173"/>
      <c r="O235" s="1174"/>
      <c r="P235" s="1174"/>
      <c r="Q235" s="1174"/>
      <c r="R235" s="1174"/>
      <c r="S235" s="1174"/>
    </row>
    <row r="236" spans="3:19" s="1171" customFormat="1" ht="20.100000000000001" customHeight="1">
      <c r="C236" s="1175"/>
      <c r="E236" s="1172"/>
      <c r="G236" s="1172"/>
      <c r="I236" s="1172"/>
      <c r="K236" s="1172"/>
      <c r="M236" s="1172"/>
      <c r="N236" s="1173"/>
      <c r="O236" s="1174"/>
      <c r="P236" s="1174"/>
      <c r="Q236" s="1174"/>
      <c r="R236" s="1174"/>
      <c r="S236" s="1174"/>
    </row>
    <row r="237" spans="3:19" s="1171" customFormat="1" ht="20.100000000000001" customHeight="1">
      <c r="C237" s="1175"/>
      <c r="E237" s="1172"/>
      <c r="G237" s="1172"/>
      <c r="I237" s="1172"/>
      <c r="K237" s="1172"/>
      <c r="M237" s="1172"/>
      <c r="N237" s="1173"/>
      <c r="O237" s="1174"/>
      <c r="P237" s="1174"/>
      <c r="Q237" s="1174"/>
      <c r="R237" s="1174"/>
      <c r="S237" s="1174"/>
    </row>
    <row r="238" spans="3:19" s="1171" customFormat="1" ht="20.100000000000001" customHeight="1">
      <c r="C238" s="1175"/>
      <c r="E238" s="1172"/>
      <c r="G238" s="1172"/>
      <c r="I238" s="1172"/>
      <c r="K238" s="1172"/>
      <c r="M238" s="1172"/>
      <c r="N238" s="1173"/>
      <c r="O238" s="1174"/>
      <c r="P238" s="1174"/>
      <c r="Q238" s="1174"/>
      <c r="R238" s="1174"/>
      <c r="S238" s="1174"/>
    </row>
    <row r="239" spans="3:19" s="1171" customFormat="1" ht="20.100000000000001" customHeight="1">
      <c r="C239" s="1175"/>
      <c r="E239" s="1172"/>
      <c r="G239" s="1172"/>
      <c r="I239" s="1172"/>
      <c r="K239" s="1172"/>
      <c r="M239" s="1172"/>
      <c r="N239" s="1173"/>
      <c r="O239" s="1174"/>
      <c r="P239" s="1174"/>
      <c r="Q239" s="1174"/>
      <c r="R239" s="1174"/>
      <c r="S239" s="1174"/>
    </row>
    <row r="240" spans="3:19" s="1171" customFormat="1" ht="20.100000000000001" customHeight="1">
      <c r="C240" s="1175"/>
      <c r="E240" s="1172"/>
      <c r="G240" s="1172"/>
      <c r="I240" s="1172"/>
      <c r="K240" s="1172"/>
      <c r="M240" s="1172"/>
      <c r="N240" s="1173"/>
      <c r="O240" s="1174"/>
      <c r="P240" s="1174"/>
      <c r="Q240" s="1174"/>
      <c r="R240" s="1174"/>
      <c r="S240" s="1174"/>
    </row>
    <row r="241" spans="3:19" s="1171" customFormat="1" ht="20.100000000000001" customHeight="1">
      <c r="C241" s="1175"/>
      <c r="E241" s="1172"/>
      <c r="G241" s="1172"/>
      <c r="I241" s="1172"/>
      <c r="K241" s="1172"/>
      <c r="M241" s="1172"/>
      <c r="N241" s="1173"/>
      <c r="O241" s="1174"/>
      <c r="P241" s="1174"/>
      <c r="Q241" s="1174"/>
      <c r="R241" s="1174"/>
      <c r="S241" s="1174"/>
    </row>
    <row r="242" spans="3:19" s="1171" customFormat="1" ht="20.100000000000001" customHeight="1">
      <c r="C242" s="1175"/>
      <c r="E242" s="1172"/>
      <c r="G242" s="1172"/>
      <c r="I242" s="1172"/>
      <c r="K242" s="1172"/>
      <c r="M242" s="1172"/>
      <c r="N242" s="1173"/>
      <c r="O242" s="1174"/>
      <c r="P242" s="1174"/>
      <c r="Q242" s="1174"/>
      <c r="R242" s="1174"/>
      <c r="S242" s="1174"/>
    </row>
    <row r="243" spans="3:19" s="1171" customFormat="1" ht="20.100000000000001" customHeight="1">
      <c r="C243" s="1175"/>
      <c r="E243" s="1172"/>
      <c r="G243" s="1172"/>
      <c r="I243" s="1172"/>
      <c r="K243" s="1172"/>
      <c r="M243" s="1172"/>
      <c r="N243" s="1173"/>
      <c r="O243" s="1174"/>
      <c r="P243" s="1174"/>
      <c r="Q243" s="1174"/>
      <c r="R243" s="1174"/>
      <c r="S243" s="1174"/>
    </row>
    <row r="244" spans="3:19" s="1171" customFormat="1" ht="20.100000000000001" customHeight="1">
      <c r="C244" s="1175"/>
      <c r="E244" s="1172"/>
      <c r="G244" s="1172"/>
      <c r="I244" s="1172"/>
      <c r="K244" s="1172"/>
      <c r="M244" s="1172"/>
      <c r="N244" s="1173"/>
      <c r="O244" s="1174"/>
      <c r="P244" s="1174"/>
      <c r="Q244" s="1174"/>
      <c r="R244" s="1174"/>
      <c r="S244" s="1174"/>
    </row>
    <row r="245" spans="3:19" s="1171" customFormat="1" ht="20.100000000000001" customHeight="1">
      <c r="C245" s="1175"/>
      <c r="E245" s="1172"/>
      <c r="G245" s="1172"/>
      <c r="I245" s="1172"/>
      <c r="K245" s="1172"/>
      <c r="M245" s="1172"/>
      <c r="N245" s="1173"/>
      <c r="O245" s="1174"/>
      <c r="P245" s="1174"/>
      <c r="Q245" s="1174"/>
      <c r="R245" s="1174"/>
      <c r="S245" s="1174"/>
    </row>
    <row r="246" spans="3:19" s="1171" customFormat="1" ht="20.100000000000001" customHeight="1">
      <c r="C246" s="1175"/>
      <c r="E246" s="1172"/>
      <c r="G246" s="1172"/>
      <c r="I246" s="1172"/>
      <c r="K246" s="1172"/>
      <c r="M246" s="1172"/>
      <c r="N246" s="1173"/>
      <c r="O246" s="1174"/>
      <c r="P246" s="1174"/>
      <c r="Q246" s="1174"/>
      <c r="R246" s="1174"/>
      <c r="S246" s="1174"/>
    </row>
    <row r="247" spans="3:19" s="1171" customFormat="1" ht="20.100000000000001" customHeight="1">
      <c r="C247" s="1175"/>
      <c r="E247" s="1172"/>
      <c r="G247" s="1172"/>
      <c r="I247" s="1172"/>
      <c r="K247" s="1172"/>
      <c r="M247" s="1172"/>
      <c r="N247" s="1173"/>
      <c r="O247" s="1174"/>
      <c r="P247" s="1174"/>
      <c r="Q247" s="1174"/>
      <c r="R247" s="1174"/>
      <c r="S247" s="1174"/>
    </row>
    <row r="248" spans="3:19" s="1171" customFormat="1" ht="20.100000000000001" customHeight="1">
      <c r="C248" s="1175"/>
      <c r="E248" s="1172"/>
      <c r="G248" s="1172"/>
      <c r="I248" s="1172"/>
      <c r="K248" s="1172"/>
      <c r="M248" s="1172"/>
      <c r="N248" s="1173"/>
      <c r="O248" s="1174"/>
      <c r="P248" s="1174"/>
      <c r="Q248" s="1174"/>
      <c r="R248" s="1174"/>
      <c r="S248" s="1174"/>
    </row>
    <row r="249" spans="3:19" s="1171" customFormat="1" ht="20.100000000000001" customHeight="1">
      <c r="C249" s="1175"/>
      <c r="E249" s="1172"/>
      <c r="G249" s="1172"/>
      <c r="I249" s="1172"/>
      <c r="K249" s="1172"/>
      <c r="M249" s="1172"/>
      <c r="N249" s="1173"/>
      <c r="O249" s="1174"/>
      <c r="P249" s="1174"/>
      <c r="Q249" s="1174"/>
      <c r="R249" s="1174"/>
      <c r="S249" s="1174"/>
    </row>
    <row r="250" spans="3:19" s="1171" customFormat="1" ht="20.100000000000001" customHeight="1">
      <c r="C250" s="1175"/>
      <c r="E250" s="1172"/>
      <c r="G250" s="1172"/>
      <c r="I250" s="1172"/>
      <c r="K250" s="1172"/>
      <c r="M250" s="1172"/>
      <c r="N250" s="1173"/>
      <c r="O250" s="1174"/>
      <c r="P250" s="1174"/>
      <c r="Q250" s="1174"/>
      <c r="R250" s="1174"/>
      <c r="S250" s="1174"/>
    </row>
    <row r="251" spans="3:19" s="1171" customFormat="1" ht="20.100000000000001" customHeight="1">
      <c r="C251" s="1175"/>
      <c r="E251" s="1172"/>
      <c r="G251" s="1172"/>
      <c r="I251" s="1172"/>
      <c r="K251" s="1172"/>
      <c r="M251" s="1172"/>
      <c r="N251" s="1173"/>
      <c r="O251" s="1174"/>
      <c r="P251" s="1174"/>
      <c r="Q251" s="1174"/>
      <c r="R251" s="1174"/>
      <c r="S251" s="1174"/>
    </row>
    <row r="252" spans="3:19" s="1171" customFormat="1" ht="20.100000000000001" customHeight="1">
      <c r="C252" s="1175"/>
      <c r="E252" s="1172"/>
      <c r="G252" s="1172"/>
      <c r="I252" s="1172"/>
      <c r="K252" s="1172"/>
      <c r="M252" s="1172"/>
      <c r="N252" s="1173"/>
      <c r="O252" s="1174"/>
      <c r="P252" s="1174"/>
      <c r="Q252" s="1174"/>
      <c r="R252" s="1174"/>
      <c r="S252" s="1174"/>
    </row>
    <row r="253" spans="3:19" s="1171" customFormat="1" ht="20.100000000000001" customHeight="1">
      <c r="C253" s="1175"/>
      <c r="E253" s="1172"/>
      <c r="G253" s="1172"/>
      <c r="I253" s="1172"/>
      <c r="K253" s="1172"/>
      <c r="M253" s="1172"/>
      <c r="N253" s="1173"/>
      <c r="O253" s="1174"/>
      <c r="P253" s="1174"/>
      <c r="Q253" s="1174"/>
      <c r="R253" s="1174"/>
      <c r="S253" s="1174"/>
    </row>
    <row r="254" spans="3:19" s="1171" customFormat="1" ht="20.100000000000001" customHeight="1">
      <c r="C254" s="1175"/>
      <c r="E254" s="1172"/>
      <c r="G254" s="1172"/>
      <c r="I254" s="1172"/>
      <c r="K254" s="1172"/>
      <c r="M254" s="1172"/>
      <c r="N254" s="1173"/>
      <c r="O254" s="1174"/>
      <c r="P254" s="1174"/>
      <c r="Q254" s="1174"/>
      <c r="R254" s="1174"/>
      <c r="S254" s="1174"/>
    </row>
    <row r="255" spans="3:19" s="1171" customFormat="1" ht="20.100000000000001" customHeight="1">
      <c r="C255" s="1175"/>
      <c r="E255" s="1172"/>
      <c r="G255" s="1172"/>
      <c r="I255" s="1172"/>
      <c r="K255" s="1172"/>
      <c r="M255" s="1172"/>
      <c r="N255" s="1173"/>
      <c r="O255" s="1174"/>
      <c r="P255" s="1174"/>
      <c r="Q255" s="1174"/>
      <c r="R255" s="1174"/>
      <c r="S255" s="1174"/>
    </row>
    <row r="256" spans="3:19" s="1171" customFormat="1" ht="20.100000000000001" customHeight="1">
      <c r="C256" s="1175"/>
      <c r="E256" s="1172"/>
      <c r="G256" s="1172"/>
      <c r="I256" s="1172"/>
      <c r="K256" s="1172"/>
      <c r="M256" s="1172"/>
      <c r="N256" s="1173"/>
      <c r="O256" s="1174"/>
      <c r="P256" s="1174"/>
      <c r="Q256" s="1174"/>
      <c r="R256" s="1174"/>
      <c r="S256" s="1174"/>
    </row>
    <row r="257" spans="3:19" s="1171" customFormat="1" ht="20.100000000000001" customHeight="1">
      <c r="C257" s="1175"/>
      <c r="E257" s="1172"/>
      <c r="G257" s="1172"/>
      <c r="I257" s="1172"/>
      <c r="K257" s="1172"/>
      <c r="M257" s="1172"/>
      <c r="N257" s="1173"/>
      <c r="O257" s="1174"/>
      <c r="P257" s="1174"/>
      <c r="Q257" s="1174"/>
      <c r="R257" s="1174"/>
      <c r="S257" s="1174"/>
    </row>
    <row r="258" spans="3:19" s="1171" customFormat="1" ht="20.100000000000001" customHeight="1">
      <c r="C258" s="1175"/>
      <c r="E258" s="1172"/>
      <c r="G258" s="1172"/>
      <c r="I258" s="1172"/>
      <c r="K258" s="1172"/>
      <c r="M258" s="1172"/>
      <c r="N258" s="1173"/>
      <c r="O258" s="1174"/>
      <c r="P258" s="1174"/>
      <c r="Q258" s="1174"/>
      <c r="R258" s="1174"/>
      <c r="S258" s="1174"/>
    </row>
    <row r="259" spans="3:19" s="1171" customFormat="1" ht="20.100000000000001" customHeight="1">
      <c r="C259" s="1175"/>
      <c r="E259" s="1172"/>
      <c r="G259" s="1172"/>
      <c r="I259" s="1172"/>
      <c r="K259" s="1172"/>
      <c r="M259" s="1172"/>
      <c r="N259" s="1173"/>
      <c r="O259" s="1174"/>
      <c r="P259" s="1174"/>
      <c r="Q259" s="1174"/>
      <c r="R259" s="1174"/>
      <c r="S259" s="1174"/>
    </row>
    <row r="260" spans="3:19" s="1171" customFormat="1" ht="20.100000000000001" customHeight="1">
      <c r="C260" s="1175"/>
      <c r="E260" s="1172"/>
      <c r="G260" s="1172"/>
      <c r="I260" s="1172"/>
      <c r="K260" s="1172"/>
      <c r="M260" s="1172"/>
      <c r="N260" s="1173"/>
      <c r="O260" s="1174"/>
      <c r="P260" s="1174"/>
      <c r="Q260" s="1174"/>
      <c r="R260" s="1174"/>
      <c r="S260" s="1174"/>
    </row>
    <row r="261" spans="3:19" s="1171" customFormat="1" ht="20.100000000000001" customHeight="1">
      <c r="C261" s="1175"/>
      <c r="E261" s="1172"/>
      <c r="G261" s="1172"/>
      <c r="I261" s="1172"/>
      <c r="K261" s="1172"/>
      <c r="M261" s="1172"/>
      <c r="N261" s="1173"/>
      <c r="O261" s="1174"/>
      <c r="P261" s="1174"/>
      <c r="Q261" s="1174"/>
      <c r="R261" s="1174"/>
      <c r="S261" s="1174"/>
    </row>
    <row r="262" spans="3:19" s="1171" customFormat="1" ht="20.100000000000001" customHeight="1">
      <c r="C262" s="1175"/>
      <c r="E262" s="1172"/>
      <c r="G262" s="1172"/>
      <c r="I262" s="1172"/>
      <c r="K262" s="1172"/>
      <c r="M262" s="1172"/>
      <c r="N262" s="1173"/>
      <c r="O262" s="1174"/>
      <c r="P262" s="1174"/>
      <c r="Q262" s="1174"/>
      <c r="R262" s="1174"/>
      <c r="S262" s="1174"/>
    </row>
    <row r="263" spans="3:19" s="1171" customFormat="1" ht="20.100000000000001" customHeight="1">
      <c r="C263" s="1175"/>
      <c r="E263" s="1172"/>
      <c r="G263" s="1172"/>
      <c r="I263" s="1172"/>
      <c r="K263" s="1172"/>
      <c r="M263" s="1172"/>
      <c r="N263" s="1173"/>
      <c r="O263" s="1174"/>
      <c r="P263" s="1174"/>
      <c r="Q263" s="1174"/>
      <c r="R263" s="1174"/>
      <c r="S263" s="1174"/>
    </row>
    <row r="264" spans="3:19" s="1171" customFormat="1" ht="20.100000000000001" customHeight="1">
      <c r="C264" s="1175"/>
      <c r="E264" s="1172"/>
      <c r="G264" s="1172"/>
      <c r="I264" s="1172"/>
      <c r="K264" s="1172"/>
      <c r="M264" s="1172"/>
      <c r="N264" s="1173"/>
      <c r="O264" s="1174"/>
      <c r="P264" s="1174"/>
      <c r="Q264" s="1174"/>
      <c r="R264" s="1174"/>
      <c r="S264" s="1174"/>
    </row>
    <row r="265" spans="3:19" s="1171" customFormat="1" ht="20.100000000000001" customHeight="1">
      <c r="C265" s="1175"/>
      <c r="E265" s="1172"/>
      <c r="G265" s="1172"/>
      <c r="I265" s="1172"/>
      <c r="K265" s="1172"/>
      <c r="M265" s="1172"/>
      <c r="N265" s="1173"/>
      <c r="O265" s="1174"/>
      <c r="P265" s="1174"/>
      <c r="Q265" s="1174"/>
      <c r="R265" s="1174"/>
      <c r="S265" s="1174"/>
    </row>
    <row r="266" spans="3:19" s="1171" customFormat="1" ht="20.100000000000001" customHeight="1">
      <c r="C266" s="1175"/>
      <c r="E266" s="1172"/>
      <c r="G266" s="1172"/>
      <c r="I266" s="1172"/>
      <c r="K266" s="1172"/>
      <c r="M266" s="1172"/>
      <c r="N266" s="1173"/>
      <c r="O266" s="1174"/>
      <c r="P266" s="1174"/>
      <c r="Q266" s="1174"/>
      <c r="R266" s="1174"/>
      <c r="S266" s="1174"/>
    </row>
    <row r="267" spans="3:19" s="1171" customFormat="1" ht="20.100000000000001" customHeight="1">
      <c r="C267" s="1175"/>
      <c r="E267" s="1172"/>
      <c r="G267" s="1172"/>
      <c r="I267" s="1172"/>
      <c r="K267" s="1172"/>
      <c r="M267" s="1172"/>
      <c r="N267" s="1173"/>
      <c r="O267" s="1174"/>
      <c r="P267" s="1174"/>
      <c r="Q267" s="1174"/>
      <c r="R267" s="1174"/>
      <c r="S267" s="1174"/>
    </row>
    <row r="268" spans="3:19" s="1171" customFormat="1" ht="20.100000000000001" customHeight="1">
      <c r="C268" s="1175"/>
      <c r="E268" s="1172"/>
      <c r="G268" s="1172"/>
      <c r="I268" s="1172"/>
      <c r="K268" s="1172"/>
      <c r="M268" s="1172"/>
      <c r="N268" s="1173"/>
      <c r="O268" s="1174"/>
      <c r="P268" s="1174"/>
      <c r="Q268" s="1174"/>
      <c r="R268" s="1174"/>
      <c r="S268" s="1174"/>
    </row>
    <row r="269" spans="3:19" s="1171" customFormat="1" ht="20.100000000000001" customHeight="1">
      <c r="C269" s="1175"/>
      <c r="E269" s="1172"/>
      <c r="G269" s="1172"/>
      <c r="I269" s="1172"/>
      <c r="K269" s="1172"/>
      <c r="M269" s="1172"/>
      <c r="N269" s="1173"/>
      <c r="O269" s="1174"/>
      <c r="P269" s="1174"/>
      <c r="Q269" s="1174"/>
      <c r="R269" s="1174"/>
      <c r="S269" s="1174"/>
    </row>
    <row r="270" spans="3:19" s="1171" customFormat="1" ht="20.100000000000001" customHeight="1">
      <c r="C270" s="1175"/>
      <c r="E270" s="1172"/>
      <c r="G270" s="1172"/>
      <c r="I270" s="1172"/>
      <c r="K270" s="1172"/>
      <c r="M270" s="1172"/>
      <c r="N270" s="1173"/>
      <c r="O270" s="1174"/>
      <c r="P270" s="1174"/>
      <c r="Q270" s="1174"/>
      <c r="R270" s="1174"/>
      <c r="S270" s="1174"/>
    </row>
    <row r="271" spans="3:19" s="1171" customFormat="1" ht="20.100000000000001" customHeight="1">
      <c r="C271" s="1175"/>
      <c r="E271" s="1172"/>
      <c r="G271" s="1172"/>
      <c r="I271" s="1172"/>
      <c r="K271" s="1172"/>
      <c r="M271" s="1172"/>
      <c r="N271" s="1173"/>
      <c r="O271" s="1174"/>
      <c r="P271" s="1174"/>
      <c r="Q271" s="1174"/>
      <c r="R271" s="1174"/>
      <c r="S271" s="1174"/>
    </row>
    <row r="272" spans="3:19" s="1171" customFormat="1" ht="20.100000000000001" customHeight="1">
      <c r="C272" s="1175"/>
      <c r="E272" s="1172"/>
      <c r="G272" s="1172"/>
      <c r="I272" s="1172"/>
      <c r="K272" s="1172"/>
      <c r="M272" s="1172"/>
      <c r="N272" s="1173"/>
      <c r="O272" s="1174"/>
      <c r="P272" s="1174"/>
      <c r="Q272" s="1174"/>
      <c r="R272" s="1174"/>
      <c r="S272" s="1174"/>
    </row>
    <row r="273" spans="3:19" s="1171" customFormat="1" ht="20.100000000000001" customHeight="1">
      <c r="C273" s="1175"/>
      <c r="E273" s="1172"/>
      <c r="G273" s="1172"/>
      <c r="I273" s="1172"/>
      <c r="K273" s="1172"/>
      <c r="M273" s="1172"/>
      <c r="N273" s="1173"/>
      <c r="O273" s="1174"/>
      <c r="P273" s="1174"/>
      <c r="Q273" s="1174"/>
      <c r="R273" s="1174"/>
      <c r="S273" s="1174"/>
    </row>
    <row r="274" spans="3:19" s="1171" customFormat="1" ht="20.100000000000001" customHeight="1">
      <c r="C274" s="1175"/>
      <c r="E274" s="1172"/>
      <c r="G274" s="1172"/>
      <c r="I274" s="1172"/>
      <c r="K274" s="1172"/>
      <c r="M274" s="1172"/>
      <c r="N274" s="1173"/>
      <c r="O274" s="1174"/>
      <c r="P274" s="1174"/>
      <c r="Q274" s="1174"/>
      <c r="R274" s="1174"/>
      <c r="S274" s="1174"/>
    </row>
    <row r="275" spans="3:19" s="1171" customFormat="1" ht="20.100000000000001" customHeight="1">
      <c r="C275" s="1175"/>
      <c r="E275" s="1172"/>
      <c r="G275" s="1172"/>
      <c r="I275" s="1172"/>
      <c r="K275" s="1172"/>
      <c r="M275" s="1172"/>
      <c r="N275" s="1173"/>
      <c r="O275" s="1174"/>
      <c r="P275" s="1174"/>
      <c r="Q275" s="1174"/>
      <c r="R275" s="1174"/>
      <c r="S275" s="1174"/>
    </row>
    <row r="276" spans="3:19" s="1171" customFormat="1" ht="20.100000000000001" customHeight="1">
      <c r="C276" s="1175"/>
      <c r="E276" s="1172"/>
      <c r="G276" s="1172"/>
      <c r="I276" s="1172"/>
      <c r="K276" s="1172"/>
      <c r="M276" s="1172"/>
      <c r="N276" s="1173"/>
      <c r="O276" s="1174"/>
      <c r="P276" s="1174"/>
      <c r="Q276" s="1174"/>
      <c r="R276" s="1174"/>
      <c r="S276" s="1174"/>
    </row>
    <row r="277" spans="3:19" s="1171" customFormat="1" ht="20.100000000000001" customHeight="1">
      <c r="C277" s="1175"/>
      <c r="E277" s="1172"/>
      <c r="G277" s="1172"/>
      <c r="I277" s="1172"/>
      <c r="K277" s="1172"/>
      <c r="M277" s="1172"/>
      <c r="N277" s="1173"/>
      <c r="O277" s="1174"/>
      <c r="P277" s="1174"/>
      <c r="Q277" s="1174"/>
      <c r="R277" s="1174"/>
      <c r="S277" s="1174"/>
    </row>
    <row r="278" spans="3:19" s="1171" customFormat="1" ht="20.100000000000001" customHeight="1">
      <c r="C278" s="1175"/>
      <c r="E278" s="1172"/>
      <c r="G278" s="1172"/>
      <c r="I278" s="1172"/>
      <c r="K278" s="1172"/>
      <c r="M278" s="1172"/>
      <c r="N278" s="1173"/>
      <c r="O278" s="1174"/>
      <c r="P278" s="1174"/>
      <c r="Q278" s="1174"/>
      <c r="R278" s="1174"/>
      <c r="S278" s="1174"/>
    </row>
    <row r="279" spans="3:19" s="1171" customFormat="1" ht="20.100000000000001" customHeight="1">
      <c r="C279" s="1175"/>
      <c r="E279" s="1172"/>
      <c r="G279" s="1172"/>
      <c r="I279" s="1172"/>
      <c r="K279" s="1172"/>
      <c r="M279" s="1172"/>
      <c r="N279" s="1173"/>
      <c r="O279" s="1174"/>
      <c r="P279" s="1174"/>
      <c r="Q279" s="1174"/>
      <c r="R279" s="1174"/>
      <c r="S279" s="1174"/>
    </row>
    <row r="280" spans="3:19" s="1171" customFormat="1" ht="20.100000000000001" customHeight="1">
      <c r="C280" s="1175"/>
      <c r="E280" s="1172"/>
      <c r="G280" s="1172"/>
      <c r="I280" s="1172"/>
      <c r="K280" s="1172"/>
      <c r="M280" s="1172"/>
      <c r="N280" s="1173"/>
      <c r="O280" s="1174"/>
      <c r="P280" s="1174"/>
      <c r="Q280" s="1174"/>
      <c r="R280" s="1174"/>
      <c r="S280" s="1174"/>
    </row>
    <row r="281" spans="3:19" s="1171" customFormat="1" ht="20.100000000000001" customHeight="1">
      <c r="C281" s="1175"/>
      <c r="E281" s="1172"/>
      <c r="G281" s="1172"/>
      <c r="I281" s="1172"/>
      <c r="K281" s="1172"/>
      <c r="M281" s="1172"/>
      <c r="N281" s="1173"/>
      <c r="O281" s="1174"/>
      <c r="P281" s="1174"/>
      <c r="Q281" s="1174"/>
      <c r="R281" s="1174"/>
      <c r="S281" s="1174"/>
    </row>
    <row r="282" spans="3:19" s="1171" customFormat="1" ht="20.100000000000001" customHeight="1">
      <c r="C282" s="1175"/>
      <c r="E282" s="1172"/>
      <c r="G282" s="1172"/>
      <c r="I282" s="1172"/>
      <c r="K282" s="1172"/>
      <c r="M282" s="1172"/>
      <c r="N282" s="1173"/>
      <c r="O282" s="1174"/>
      <c r="P282" s="1174"/>
      <c r="Q282" s="1174"/>
      <c r="R282" s="1174"/>
      <c r="S282" s="1174"/>
    </row>
    <row r="283" spans="3:19" s="1171" customFormat="1" ht="20.100000000000001" customHeight="1">
      <c r="C283" s="1175"/>
      <c r="E283" s="1172"/>
      <c r="G283" s="1172"/>
      <c r="I283" s="1172"/>
      <c r="K283" s="1172"/>
      <c r="M283" s="1172"/>
      <c r="N283" s="1173"/>
      <c r="O283" s="1174"/>
      <c r="P283" s="1174"/>
      <c r="Q283" s="1174"/>
      <c r="R283" s="1174"/>
      <c r="S283" s="1174"/>
    </row>
    <row r="284" spans="3:19" s="1171" customFormat="1" ht="20.100000000000001" customHeight="1">
      <c r="C284" s="1175"/>
      <c r="E284" s="1172"/>
      <c r="G284" s="1172"/>
      <c r="I284" s="1172"/>
      <c r="K284" s="1172"/>
      <c r="M284" s="1172"/>
      <c r="N284" s="1173"/>
      <c r="O284" s="1174"/>
      <c r="P284" s="1174"/>
      <c r="Q284" s="1174"/>
      <c r="R284" s="1174"/>
      <c r="S284" s="1174"/>
    </row>
    <row r="285" spans="3:19" s="1171" customFormat="1" ht="20.100000000000001" customHeight="1">
      <c r="C285" s="1175"/>
      <c r="E285" s="1172"/>
      <c r="G285" s="1172"/>
      <c r="I285" s="1172"/>
      <c r="K285" s="1172"/>
      <c r="M285" s="1172"/>
      <c r="N285" s="1173"/>
      <c r="O285" s="1174"/>
      <c r="P285" s="1174"/>
      <c r="Q285" s="1174"/>
      <c r="R285" s="1174"/>
      <c r="S285" s="1174"/>
    </row>
    <row r="286" spans="3:19" s="1171" customFormat="1" ht="20.100000000000001" customHeight="1">
      <c r="C286" s="1175"/>
      <c r="E286" s="1172"/>
      <c r="G286" s="1172"/>
      <c r="I286" s="1172"/>
      <c r="K286" s="1172"/>
      <c r="M286" s="1172"/>
      <c r="N286" s="1173"/>
      <c r="O286" s="1174"/>
      <c r="P286" s="1174"/>
      <c r="Q286" s="1174"/>
      <c r="R286" s="1174"/>
      <c r="S286" s="1174"/>
    </row>
    <row r="287" spans="3:19" s="1171" customFormat="1" ht="20.100000000000001" customHeight="1">
      <c r="C287" s="1175"/>
      <c r="E287" s="1172"/>
      <c r="G287" s="1172"/>
      <c r="I287" s="1172"/>
      <c r="K287" s="1172"/>
      <c r="M287" s="1172"/>
      <c r="N287" s="1173"/>
      <c r="O287" s="1174"/>
      <c r="P287" s="1174"/>
      <c r="Q287" s="1174"/>
      <c r="R287" s="1174"/>
      <c r="S287" s="1174"/>
    </row>
    <row r="288" spans="3:19" s="1171" customFormat="1" ht="20.100000000000001" customHeight="1">
      <c r="C288" s="1175"/>
      <c r="E288" s="1172"/>
      <c r="G288" s="1172"/>
      <c r="I288" s="1172"/>
      <c r="K288" s="1172"/>
      <c r="M288" s="1172"/>
      <c r="N288" s="1173"/>
      <c r="O288" s="1174"/>
      <c r="P288" s="1174"/>
      <c r="Q288" s="1174"/>
      <c r="R288" s="1174"/>
      <c r="S288" s="1174"/>
    </row>
    <row r="289" spans="3:19" s="1171" customFormat="1" ht="20.100000000000001" customHeight="1">
      <c r="C289" s="1175"/>
      <c r="E289" s="1172"/>
      <c r="G289" s="1172"/>
      <c r="I289" s="1172"/>
      <c r="K289" s="1172"/>
      <c r="M289" s="1172"/>
      <c r="N289" s="1173"/>
      <c r="O289" s="1174"/>
      <c r="P289" s="1174"/>
      <c r="Q289" s="1174"/>
      <c r="R289" s="1174"/>
      <c r="S289" s="1174"/>
    </row>
    <row r="290" spans="3:19" s="1171" customFormat="1" ht="20.100000000000001" customHeight="1">
      <c r="C290" s="1175"/>
      <c r="E290" s="1172"/>
      <c r="G290" s="1172"/>
      <c r="I290" s="1172"/>
      <c r="K290" s="1172"/>
      <c r="M290" s="1172"/>
      <c r="N290" s="1173"/>
      <c r="O290" s="1174"/>
      <c r="P290" s="1174"/>
      <c r="Q290" s="1174"/>
      <c r="R290" s="1174"/>
      <c r="S290" s="1174"/>
    </row>
    <row r="291" spans="3:19" s="1171" customFormat="1" ht="20.100000000000001" customHeight="1">
      <c r="C291" s="1175"/>
      <c r="E291" s="1172"/>
      <c r="G291" s="1172"/>
      <c r="I291" s="1172"/>
      <c r="K291" s="1172"/>
      <c r="M291" s="1172"/>
      <c r="N291" s="1173"/>
      <c r="O291" s="1174"/>
      <c r="P291" s="1174"/>
      <c r="Q291" s="1174"/>
      <c r="R291" s="1174"/>
      <c r="S291" s="1174"/>
    </row>
    <row r="292" spans="3:19" s="1171" customFormat="1" ht="20.100000000000001" customHeight="1">
      <c r="C292" s="1175"/>
      <c r="E292" s="1172"/>
      <c r="G292" s="1172"/>
      <c r="I292" s="1172"/>
      <c r="K292" s="1172"/>
      <c r="M292" s="1172"/>
      <c r="N292" s="1173"/>
      <c r="O292" s="1174"/>
      <c r="P292" s="1174"/>
      <c r="Q292" s="1174"/>
      <c r="R292" s="1174"/>
      <c r="S292" s="1174"/>
    </row>
    <row r="293" spans="3:19" s="1171" customFormat="1" ht="20.100000000000001" customHeight="1">
      <c r="C293" s="1175"/>
      <c r="E293" s="1172"/>
      <c r="G293" s="1172"/>
      <c r="I293" s="1172"/>
      <c r="K293" s="1172"/>
      <c r="M293" s="1172"/>
      <c r="N293" s="1173"/>
      <c r="O293" s="1174"/>
      <c r="P293" s="1174"/>
      <c r="Q293" s="1174"/>
      <c r="R293" s="1174"/>
      <c r="S293" s="1174"/>
    </row>
    <row r="294" spans="3:19" s="1171" customFormat="1" ht="20.100000000000001" customHeight="1">
      <c r="C294" s="1175"/>
      <c r="E294" s="1172"/>
      <c r="G294" s="1172"/>
      <c r="I294" s="1172"/>
      <c r="K294" s="1172"/>
      <c r="M294" s="1172"/>
      <c r="N294" s="1173"/>
      <c r="O294" s="1174"/>
      <c r="P294" s="1174"/>
      <c r="Q294" s="1174"/>
      <c r="R294" s="1174"/>
      <c r="S294" s="1174"/>
    </row>
    <row r="295" spans="3:19" s="1171" customFormat="1" ht="20.100000000000001" customHeight="1">
      <c r="C295" s="1175"/>
      <c r="E295" s="1172"/>
      <c r="G295" s="1172"/>
      <c r="I295" s="1172"/>
      <c r="K295" s="1172"/>
      <c r="M295" s="1172"/>
      <c r="N295" s="1173"/>
      <c r="O295" s="1174"/>
      <c r="P295" s="1174"/>
      <c r="Q295" s="1174"/>
      <c r="R295" s="1174"/>
      <c r="S295" s="1174"/>
    </row>
    <row r="296" spans="3:19" s="1171" customFormat="1" ht="20.100000000000001" customHeight="1">
      <c r="C296" s="1175"/>
      <c r="E296" s="1172"/>
      <c r="G296" s="1172"/>
      <c r="I296" s="1172"/>
      <c r="K296" s="1172"/>
      <c r="M296" s="1172"/>
      <c r="N296" s="1173"/>
      <c r="O296" s="1174"/>
      <c r="P296" s="1174"/>
      <c r="Q296" s="1174"/>
      <c r="R296" s="1174"/>
      <c r="S296" s="1174"/>
    </row>
    <row r="297" spans="3:19" s="1171" customFormat="1" ht="20.100000000000001" customHeight="1">
      <c r="C297" s="1175"/>
      <c r="E297" s="1172"/>
      <c r="G297" s="1172"/>
      <c r="I297" s="1172"/>
      <c r="K297" s="1172"/>
      <c r="M297" s="1172"/>
      <c r="N297" s="1173"/>
      <c r="O297" s="1174"/>
      <c r="P297" s="1174"/>
      <c r="Q297" s="1174"/>
      <c r="R297" s="1174"/>
      <c r="S297" s="1174"/>
    </row>
    <row r="298" spans="3:19" s="1171" customFormat="1" ht="20.100000000000001" customHeight="1">
      <c r="C298" s="1175"/>
      <c r="E298" s="1172"/>
      <c r="G298" s="1172"/>
      <c r="I298" s="1172"/>
      <c r="K298" s="1172"/>
      <c r="M298" s="1172"/>
      <c r="N298" s="1173"/>
      <c r="O298" s="1174"/>
      <c r="P298" s="1174"/>
      <c r="Q298" s="1174"/>
      <c r="R298" s="1174"/>
      <c r="S298" s="1174"/>
    </row>
    <row r="299" spans="3:19" s="1171" customFormat="1" ht="20.100000000000001" customHeight="1">
      <c r="C299" s="1175"/>
      <c r="E299" s="1172"/>
      <c r="G299" s="1172"/>
      <c r="I299" s="1172"/>
      <c r="K299" s="1172"/>
      <c r="M299" s="1172"/>
      <c r="N299" s="1173"/>
      <c r="O299" s="1174"/>
      <c r="P299" s="1174"/>
      <c r="Q299" s="1174"/>
      <c r="R299" s="1174"/>
      <c r="S299" s="1174"/>
    </row>
    <row r="300" spans="3:19" s="1171" customFormat="1" ht="20.100000000000001" customHeight="1">
      <c r="C300" s="1175"/>
      <c r="E300" s="1172"/>
      <c r="G300" s="1172"/>
      <c r="I300" s="1172"/>
      <c r="K300" s="1172"/>
      <c r="M300" s="1172"/>
      <c r="N300" s="1173"/>
      <c r="O300" s="1174"/>
      <c r="P300" s="1174"/>
      <c r="Q300" s="1174"/>
      <c r="R300" s="1174"/>
      <c r="S300" s="1174"/>
    </row>
    <row r="301" spans="3:19" s="1171" customFormat="1" ht="20.100000000000001" customHeight="1">
      <c r="C301" s="1175"/>
      <c r="E301" s="1172"/>
      <c r="G301" s="1172"/>
      <c r="I301" s="1172"/>
      <c r="K301" s="1172"/>
      <c r="M301" s="1172"/>
      <c r="N301" s="1173"/>
      <c r="O301" s="1174"/>
      <c r="P301" s="1174"/>
      <c r="Q301" s="1174"/>
      <c r="R301" s="1174"/>
      <c r="S301" s="1174"/>
    </row>
    <row r="302" spans="3:19" s="1171" customFormat="1" ht="20.100000000000001" customHeight="1">
      <c r="C302" s="1175"/>
      <c r="E302" s="1172"/>
      <c r="G302" s="1172"/>
      <c r="I302" s="1172"/>
      <c r="K302" s="1172"/>
      <c r="M302" s="1172"/>
      <c r="N302" s="1173"/>
      <c r="O302" s="1174"/>
      <c r="P302" s="1174"/>
      <c r="Q302" s="1174"/>
      <c r="R302" s="1174"/>
      <c r="S302" s="1174"/>
    </row>
    <row r="303" spans="3:19" s="1171" customFormat="1" ht="20.100000000000001" customHeight="1">
      <c r="C303" s="1175"/>
      <c r="E303" s="1172"/>
      <c r="G303" s="1172"/>
      <c r="I303" s="1172"/>
      <c r="K303" s="1172"/>
      <c r="M303" s="1172"/>
      <c r="N303" s="1173"/>
      <c r="O303" s="1174"/>
      <c r="P303" s="1174"/>
      <c r="Q303" s="1174"/>
      <c r="R303" s="1174"/>
      <c r="S303" s="1174"/>
    </row>
    <row r="304" spans="3:19" s="1171" customFormat="1" ht="20.100000000000001" customHeight="1">
      <c r="C304" s="1175"/>
      <c r="E304" s="1172"/>
      <c r="G304" s="1172"/>
      <c r="I304" s="1172"/>
      <c r="K304" s="1172"/>
      <c r="M304" s="1172"/>
      <c r="N304" s="1173"/>
      <c r="O304" s="1174"/>
      <c r="P304" s="1174"/>
      <c r="Q304" s="1174"/>
      <c r="R304" s="1174"/>
      <c r="S304" s="1174"/>
    </row>
    <row r="305" spans="3:19" s="1171" customFormat="1" ht="20.100000000000001" customHeight="1">
      <c r="C305" s="1175"/>
      <c r="E305" s="1172"/>
      <c r="G305" s="1172"/>
      <c r="I305" s="1172"/>
      <c r="K305" s="1172"/>
      <c r="M305" s="1172"/>
      <c r="N305" s="1173"/>
      <c r="O305" s="1174"/>
      <c r="P305" s="1174"/>
      <c r="Q305" s="1174"/>
      <c r="R305" s="1174"/>
      <c r="S305" s="1174"/>
    </row>
    <row r="306" spans="3:19" s="1171" customFormat="1" ht="20.100000000000001" customHeight="1">
      <c r="C306" s="1175"/>
      <c r="E306" s="1172"/>
      <c r="G306" s="1172"/>
      <c r="I306" s="1172"/>
      <c r="K306" s="1172"/>
      <c r="M306" s="1172"/>
      <c r="N306" s="1173"/>
      <c r="O306" s="1174"/>
      <c r="P306" s="1174"/>
      <c r="Q306" s="1174"/>
      <c r="R306" s="1174"/>
      <c r="S306" s="1174"/>
    </row>
    <row r="307" spans="3:19" s="1171" customFormat="1" ht="20.100000000000001" customHeight="1">
      <c r="C307" s="1175"/>
      <c r="E307" s="1172"/>
      <c r="G307" s="1172"/>
      <c r="I307" s="1172"/>
      <c r="K307" s="1172"/>
      <c r="M307" s="1172"/>
      <c r="N307" s="1173"/>
      <c r="O307" s="1174"/>
      <c r="P307" s="1174"/>
      <c r="Q307" s="1174"/>
      <c r="R307" s="1174"/>
      <c r="S307" s="1174"/>
    </row>
    <row r="308" spans="3:19" s="1171" customFormat="1" ht="20.100000000000001" customHeight="1">
      <c r="C308" s="1175"/>
      <c r="E308" s="1172"/>
      <c r="G308" s="1172"/>
      <c r="I308" s="1172"/>
      <c r="K308" s="1172"/>
      <c r="M308" s="1172"/>
      <c r="N308" s="1173"/>
      <c r="O308" s="1174"/>
      <c r="P308" s="1174"/>
      <c r="Q308" s="1174"/>
      <c r="R308" s="1174"/>
      <c r="S308" s="1174"/>
    </row>
    <row r="309" spans="3:19" s="1171" customFormat="1" ht="20.100000000000001" customHeight="1">
      <c r="C309" s="1175"/>
      <c r="E309" s="1172"/>
      <c r="G309" s="1172"/>
      <c r="I309" s="1172"/>
      <c r="K309" s="1172"/>
      <c r="M309" s="1172"/>
      <c r="N309" s="1173"/>
      <c r="O309" s="1174"/>
      <c r="P309" s="1174"/>
      <c r="Q309" s="1174"/>
      <c r="R309" s="1174"/>
      <c r="S309" s="1174"/>
    </row>
    <row r="310" spans="3:19" s="1171" customFormat="1" ht="20.100000000000001" customHeight="1">
      <c r="C310" s="1175"/>
      <c r="E310" s="1172"/>
      <c r="G310" s="1172"/>
      <c r="I310" s="1172"/>
      <c r="K310" s="1172"/>
      <c r="M310" s="1172"/>
      <c r="N310" s="1173"/>
      <c r="O310" s="1174"/>
      <c r="P310" s="1174"/>
      <c r="Q310" s="1174"/>
      <c r="R310" s="1174"/>
      <c r="S310" s="1174"/>
    </row>
    <row r="311" spans="3:19" s="1171" customFormat="1" ht="20.100000000000001" customHeight="1">
      <c r="C311" s="1175"/>
      <c r="E311" s="1172"/>
      <c r="G311" s="1172"/>
      <c r="I311" s="1172"/>
      <c r="K311" s="1172"/>
      <c r="M311" s="1172"/>
      <c r="N311" s="1173"/>
      <c r="O311" s="1174"/>
      <c r="P311" s="1174"/>
      <c r="Q311" s="1174"/>
      <c r="R311" s="1174"/>
      <c r="S311" s="1174"/>
    </row>
    <row r="312" spans="3:19" s="1171" customFormat="1" ht="20.100000000000001" customHeight="1">
      <c r="C312" s="1175"/>
      <c r="E312" s="1172"/>
      <c r="G312" s="1172"/>
      <c r="I312" s="1172"/>
      <c r="K312" s="1172"/>
      <c r="M312" s="1172"/>
      <c r="N312" s="1173"/>
      <c r="O312" s="1174"/>
      <c r="P312" s="1174"/>
      <c r="Q312" s="1174"/>
      <c r="R312" s="1174"/>
      <c r="S312" s="1174"/>
    </row>
    <row r="313" spans="3:19" s="1171" customFormat="1" ht="20.100000000000001" customHeight="1">
      <c r="C313" s="1175"/>
      <c r="E313" s="1172"/>
      <c r="G313" s="1172"/>
      <c r="I313" s="1172"/>
      <c r="K313" s="1172"/>
      <c r="M313" s="1172"/>
      <c r="N313" s="1173"/>
      <c r="O313" s="1174"/>
      <c r="P313" s="1174"/>
      <c r="Q313" s="1174"/>
      <c r="R313" s="1174"/>
      <c r="S313" s="1174"/>
    </row>
    <row r="314" spans="3:19" s="1171" customFormat="1" ht="20.100000000000001" customHeight="1">
      <c r="C314" s="1175"/>
      <c r="E314" s="1172"/>
      <c r="G314" s="1172"/>
      <c r="I314" s="1172"/>
      <c r="K314" s="1172"/>
      <c r="M314" s="1172"/>
      <c r="N314" s="1173"/>
      <c r="O314" s="1174"/>
      <c r="P314" s="1174"/>
      <c r="Q314" s="1174"/>
      <c r="R314" s="1174"/>
      <c r="S314" s="1174"/>
    </row>
    <row r="315" spans="3:19" s="1171" customFormat="1" ht="20.100000000000001" customHeight="1">
      <c r="C315" s="1175"/>
      <c r="E315" s="1172"/>
      <c r="G315" s="1172"/>
      <c r="I315" s="1172"/>
      <c r="K315" s="1172"/>
      <c r="M315" s="1172"/>
      <c r="N315" s="1173"/>
      <c r="O315" s="1174"/>
      <c r="P315" s="1174"/>
      <c r="Q315" s="1174"/>
      <c r="R315" s="1174"/>
      <c r="S315" s="1174"/>
    </row>
    <row r="316" spans="3:19" s="1171" customFormat="1" ht="20.100000000000001" customHeight="1">
      <c r="C316" s="1175"/>
      <c r="E316" s="1172"/>
      <c r="G316" s="1172"/>
      <c r="I316" s="1172"/>
      <c r="K316" s="1172"/>
      <c r="M316" s="1172"/>
      <c r="N316" s="1173"/>
      <c r="O316" s="1174"/>
      <c r="P316" s="1174"/>
      <c r="Q316" s="1174"/>
      <c r="R316" s="1174"/>
      <c r="S316" s="1174"/>
    </row>
    <row r="317" spans="3:19" s="1171" customFormat="1" ht="20.100000000000001" customHeight="1">
      <c r="C317" s="1175"/>
      <c r="E317" s="1172"/>
      <c r="G317" s="1172"/>
      <c r="I317" s="1172"/>
      <c r="K317" s="1172"/>
      <c r="M317" s="1172"/>
      <c r="N317" s="1173"/>
      <c r="O317" s="1174"/>
      <c r="P317" s="1174"/>
      <c r="Q317" s="1174"/>
      <c r="R317" s="1174"/>
      <c r="S317" s="1174"/>
    </row>
    <row r="318" spans="3:19" s="1171" customFormat="1" ht="20.100000000000001" customHeight="1">
      <c r="C318" s="1175"/>
      <c r="E318" s="1172"/>
      <c r="G318" s="1172"/>
      <c r="I318" s="1172"/>
      <c r="K318" s="1172"/>
      <c r="M318" s="1172"/>
      <c r="N318" s="1173"/>
      <c r="O318" s="1174"/>
      <c r="P318" s="1174"/>
      <c r="Q318" s="1174"/>
      <c r="R318" s="1174"/>
      <c r="S318" s="1174"/>
    </row>
    <row r="319" spans="3:19" s="1171" customFormat="1" ht="20.100000000000001" customHeight="1">
      <c r="C319" s="1175"/>
      <c r="E319" s="1172"/>
      <c r="G319" s="1172"/>
      <c r="I319" s="1172"/>
      <c r="K319" s="1172"/>
      <c r="M319" s="1172"/>
      <c r="N319" s="1173"/>
      <c r="O319" s="1174"/>
      <c r="P319" s="1174"/>
      <c r="Q319" s="1174"/>
      <c r="R319" s="1174"/>
      <c r="S319" s="1174"/>
    </row>
    <row r="320" spans="3:19" s="1171" customFormat="1" ht="20.100000000000001" customHeight="1">
      <c r="C320" s="1175"/>
      <c r="E320" s="1172"/>
      <c r="G320" s="1172"/>
      <c r="I320" s="1172"/>
      <c r="K320" s="1172"/>
      <c r="M320" s="1172"/>
      <c r="N320" s="1173"/>
      <c r="O320" s="1174"/>
      <c r="P320" s="1174"/>
      <c r="Q320" s="1174"/>
      <c r="R320" s="1174"/>
      <c r="S320" s="1174"/>
    </row>
    <row r="321" spans="3:19" s="1171" customFormat="1" ht="20.100000000000001" customHeight="1">
      <c r="C321" s="1175"/>
      <c r="E321" s="1172"/>
      <c r="G321" s="1172"/>
      <c r="I321" s="1172"/>
      <c r="K321" s="1172"/>
      <c r="M321" s="1172"/>
      <c r="N321" s="1173"/>
      <c r="O321" s="1174"/>
      <c r="P321" s="1174"/>
      <c r="Q321" s="1174"/>
      <c r="R321" s="1174"/>
      <c r="S321" s="1174"/>
    </row>
    <row r="322" spans="3:19" s="1171" customFormat="1" ht="20.100000000000001" customHeight="1">
      <c r="C322" s="1175"/>
      <c r="E322" s="1172"/>
      <c r="G322" s="1172"/>
      <c r="I322" s="1172"/>
      <c r="K322" s="1172"/>
      <c r="M322" s="1172"/>
      <c r="N322" s="1173"/>
      <c r="O322" s="1174"/>
      <c r="P322" s="1174"/>
      <c r="Q322" s="1174"/>
      <c r="R322" s="1174"/>
      <c r="S322" s="1174"/>
    </row>
    <row r="323" spans="3:19" s="1171" customFormat="1" ht="20.100000000000001" customHeight="1">
      <c r="C323" s="1175"/>
      <c r="E323" s="1172"/>
      <c r="G323" s="1172"/>
      <c r="I323" s="1172"/>
      <c r="K323" s="1172"/>
      <c r="M323" s="1172"/>
      <c r="N323" s="1173"/>
      <c r="O323" s="1174"/>
      <c r="P323" s="1174"/>
      <c r="Q323" s="1174"/>
      <c r="R323" s="1174"/>
      <c r="S323" s="1174"/>
    </row>
    <row r="324" spans="3:19" s="1171" customFormat="1" ht="20.100000000000001" customHeight="1">
      <c r="C324" s="1175"/>
      <c r="E324" s="1172"/>
      <c r="G324" s="1172"/>
      <c r="I324" s="1172"/>
      <c r="K324" s="1172"/>
      <c r="M324" s="1172"/>
      <c r="N324" s="1173"/>
      <c r="O324" s="1174"/>
      <c r="P324" s="1174"/>
      <c r="Q324" s="1174"/>
      <c r="R324" s="1174"/>
      <c r="S324" s="1174"/>
    </row>
    <row r="325" spans="3:19" s="1171" customFormat="1" ht="20.100000000000001" customHeight="1">
      <c r="C325" s="1175"/>
      <c r="E325" s="1172"/>
      <c r="G325" s="1172"/>
      <c r="I325" s="1172"/>
      <c r="K325" s="1172"/>
      <c r="M325" s="1172"/>
      <c r="N325" s="1173"/>
      <c r="O325" s="1174"/>
      <c r="P325" s="1174"/>
      <c r="Q325" s="1174"/>
      <c r="R325" s="1174"/>
      <c r="S325" s="1174"/>
    </row>
    <row r="326" spans="3:19" s="1171" customFormat="1" ht="20.100000000000001" customHeight="1">
      <c r="C326" s="1175"/>
      <c r="E326" s="1172"/>
      <c r="G326" s="1172"/>
      <c r="I326" s="1172"/>
      <c r="K326" s="1172"/>
      <c r="M326" s="1172"/>
      <c r="N326" s="1173"/>
      <c r="O326" s="1174"/>
      <c r="P326" s="1174"/>
      <c r="Q326" s="1174"/>
      <c r="R326" s="1174"/>
      <c r="S326" s="1174"/>
    </row>
    <row r="327" spans="3:19" s="1171" customFormat="1" ht="20.100000000000001" customHeight="1">
      <c r="C327" s="1175"/>
      <c r="E327" s="1172"/>
      <c r="G327" s="1172"/>
      <c r="I327" s="1172"/>
      <c r="K327" s="1172"/>
      <c r="M327" s="1172"/>
      <c r="N327" s="1173"/>
      <c r="O327" s="1174"/>
      <c r="P327" s="1174"/>
      <c r="Q327" s="1174"/>
      <c r="R327" s="1174"/>
      <c r="S327" s="1174"/>
    </row>
    <row r="328" spans="3:19" s="1171" customFormat="1" ht="20.100000000000001" customHeight="1">
      <c r="C328" s="1175"/>
      <c r="E328" s="1172"/>
      <c r="G328" s="1172"/>
      <c r="I328" s="1172"/>
      <c r="K328" s="1172"/>
      <c r="M328" s="1172"/>
      <c r="N328" s="1173"/>
      <c r="O328" s="1174"/>
      <c r="P328" s="1174"/>
      <c r="Q328" s="1174"/>
      <c r="R328" s="1174"/>
      <c r="S328" s="1174"/>
    </row>
    <row r="329" spans="3:19" s="1171" customFormat="1" ht="20.100000000000001" customHeight="1">
      <c r="C329" s="1175"/>
      <c r="E329" s="1172"/>
      <c r="G329" s="1172"/>
      <c r="I329" s="1172"/>
      <c r="K329" s="1172"/>
      <c r="M329" s="1172"/>
      <c r="N329" s="1173"/>
      <c r="O329" s="1174"/>
      <c r="P329" s="1174"/>
      <c r="Q329" s="1174"/>
      <c r="R329" s="1174"/>
      <c r="S329" s="1174"/>
    </row>
    <row r="330" spans="3:19" s="1171" customFormat="1" ht="20.100000000000001" customHeight="1">
      <c r="C330" s="1175"/>
      <c r="E330" s="1172"/>
      <c r="G330" s="1172"/>
      <c r="I330" s="1172"/>
      <c r="K330" s="1172"/>
      <c r="M330" s="1172"/>
      <c r="N330" s="1173"/>
      <c r="O330" s="1174"/>
      <c r="P330" s="1174"/>
      <c r="Q330" s="1174"/>
      <c r="R330" s="1174"/>
      <c r="S330" s="1174"/>
    </row>
    <row r="331" spans="3:19" s="1171" customFormat="1" ht="20.100000000000001" customHeight="1">
      <c r="C331" s="1175"/>
      <c r="E331" s="1172"/>
      <c r="G331" s="1172"/>
      <c r="I331" s="1172"/>
      <c r="K331" s="1172"/>
      <c r="M331" s="1172"/>
      <c r="N331" s="1173"/>
      <c r="O331" s="1174"/>
      <c r="P331" s="1174"/>
      <c r="Q331" s="1174"/>
      <c r="R331" s="1174"/>
      <c r="S331" s="1174"/>
    </row>
    <row r="332" spans="3:19" s="1171" customFormat="1" ht="20.100000000000001" customHeight="1">
      <c r="C332" s="1175"/>
      <c r="E332" s="1172"/>
      <c r="G332" s="1172"/>
      <c r="I332" s="1172"/>
      <c r="K332" s="1172"/>
      <c r="M332" s="1172"/>
      <c r="N332" s="1173"/>
      <c r="O332" s="1174"/>
      <c r="P332" s="1174"/>
      <c r="Q332" s="1174"/>
      <c r="R332" s="1174"/>
      <c r="S332" s="1174"/>
    </row>
    <row r="333" spans="3:19" s="1171" customFormat="1" ht="20.100000000000001" customHeight="1">
      <c r="C333" s="1175"/>
      <c r="E333" s="1172"/>
      <c r="G333" s="1172"/>
      <c r="I333" s="1172"/>
      <c r="K333" s="1172"/>
      <c r="M333" s="1172"/>
      <c r="N333" s="1173"/>
      <c r="O333" s="1174"/>
      <c r="P333" s="1174"/>
      <c r="Q333" s="1174"/>
      <c r="R333" s="1174"/>
      <c r="S333" s="1174"/>
    </row>
    <row r="334" spans="3:19" s="1171" customFormat="1" ht="20.100000000000001" customHeight="1">
      <c r="C334" s="1175"/>
      <c r="E334" s="1172"/>
      <c r="G334" s="1172"/>
      <c r="I334" s="1172"/>
      <c r="K334" s="1172"/>
      <c r="M334" s="1172"/>
      <c r="N334" s="1173"/>
      <c r="O334" s="1174"/>
      <c r="P334" s="1174"/>
      <c r="Q334" s="1174"/>
      <c r="R334" s="1174"/>
      <c r="S334" s="1174"/>
    </row>
    <row r="335" spans="3:19" s="1171" customFormat="1" ht="20.100000000000001" customHeight="1">
      <c r="C335" s="1175"/>
      <c r="E335" s="1172"/>
      <c r="G335" s="1172"/>
      <c r="I335" s="1172"/>
      <c r="K335" s="1172"/>
      <c r="M335" s="1172"/>
      <c r="N335" s="1173"/>
      <c r="O335" s="1174"/>
      <c r="P335" s="1174"/>
      <c r="Q335" s="1174"/>
      <c r="R335" s="1174"/>
      <c r="S335" s="1174"/>
    </row>
    <row r="336" spans="3:19" s="1171" customFormat="1" ht="20.100000000000001" customHeight="1">
      <c r="C336" s="1175"/>
      <c r="E336" s="1172"/>
      <c r="G336" s="1172"/>
      <c r="I336" s="1172"/>
      <c r="K336" s="1172"/>
      <c r="M336" s="1172"/>
      <c r="N336" s="1173"/>
      <c r="O336" s="1174"/>
      <c r="P336" s="1174"/>
      <c r="Q336" s="1174"/>
      <c r="R336" s="1174"/>
      <c r="S336" s="1174"/>
    </row>
    <row r="337" spans="3:19" s="1171" customFormat="1" ht="20.100000000000001" customHeight="1">
      <c r="C337" s="1175"/>
      <c r="E337" s="1172"/>
      <c r="G337" s="1172"/>
      <c r="I337" s="1172"/>
      <c r="K337" s="1172"/>
      <c r="M337" s="1172"/>
      <c r="N337" s="1173"/>
      <c r="O337" s="1174"/>
      <c r="P337" s="1174"/>
      <c r="Q337" s="1174"/>
      <c r="R337" s="1174"/>
      <c r="S337" s="1174"/>
    </row>
    <row r="338" spans="3:19" s="1171" customFormat="1" ht="20.100000000000001" customHeight="1">
      <c r="C338" s="1175"/>
      <c r="E338" s="1172"/>
      <c r="G338" s="1172"/>
      <c r="I338" s="1172"/>
      <c r="K338" s="1172"/>
      <c r="M338" s="1172"/>
      <c r="N338" s="1173"/>
      <c r="O338" s="1174"/>
      <c r="P338" s="1174"/>
      <c r="Q338" s="1174"/>
      <c r="R338" s="1174"/>
      <c r="S338" s="1174"/>
    </row>
    <row r="339" spans="3:19" s="1171" customFormat="1" ht="20.100000000000001" customHeight="1">
      <c r="C339" s="1175"/>
      <c r="E339" s="1172"/>
      <c r="G339" s="1172"/>
      <c r="I339" s="1172"/>
      <c r="K339" s="1172"/>
      <c r="M339" s="1172"/>
      <c r="N339" s="1173"/>
      <c r="O339" s="1174"/>
      <c r="P339" s="1174"/>
      <c r="Q339" s="1174"/>
      <c r="R339" s="1174"/>
      <c r="S339" s="1174"/>
    </row>
    <row r="340" spans="3:19" s="1171" customFormat="1" ht="20.100000000000001" customHeight="1">
      <c r="C340" s="1175"/>
      <c r="E340" s="1172"/>
      <c r="G340" s="1172"/>
      <c r="I340" s="1172"/>
      <c r="K340" s="1172"/>
      <c r="M340" s="1172"/>
      <c r="N340" s="1173"/>
      <c r="O340" s="1174"/>
      <c r="P340" s="1174"/>
      <c r="Q340" s="1174"/>
      <c r="R340" s="1174"/>
      <c r="S340" s="1174"/>
    </row>
    <row r="341" spans="3:19" s="1171" customFormat="1" ht="20.100000000000001" customHeight="1">
      <c r="C341" s="1175"/>
      <c r="E341" s="1172"/>
      <c r="G341" s="1172"/>
      <c r="I341" s="1172"/>
      <c r="K341" s="1172"/>
      <c r="M341" s="1172"/>
      <c r="N341" s="1173"/>
      <c r="O341" s="1174"/>
      <c r="P341" s="1174"/>
      <c r="Q341" s="1174"/>
      <c r="R341" s="1174"/>
      <c r="S341" s="1174"/>
    </row>
    <row r="342" spans="3:19" s="1171" customFormat="1" ht="20.100000000000001" customHeight="1">
      <c r="C342" s="1175"/>
      <c r="E342" s="1172"/>
      <c r="G342" s="1172"/>
      <c r="I342" s="1172"/>
      <c r="K342" s="1172"/>
      <c r="M342" s="1172"/>
      <c r="N342" s="1173"/>
      <c r="O342" s="1174"/>
      <c r="P342" s="1174"/>
      <c r="Q342" s="1174"/>
      <c r="R342" s="1174"/>
      <c r="S342" s="1174"/>
    </row>
    <row r="343" spans="3:19" s="1171" customFormat="1" ht="20.100000000000001" customHeight="1">
      <c r="C343" s="1175"/>
      <c r="E343" s="1172"/>
      <c r="G343" s="1172"/>
      <c r="I343" s="1172"/>
      <c r="K343" s="1172"/>
      <c r="M343" s="1172"/>
      <c r="N343" s="1173"/>
      <c r="O343" s="1174"/>
      <c r="P343" s="1174"/>
      <c r="Q343" s="1174"/>
      <c r="R343" s="1174"/>
      <c r="S343" s="1174"/>
    </row>
    <row r="344" spans="3:19" s="1171" customFormat="1" ht="20.100000000000001" customHeight="1">
      <c r="C344" s="1175"/>
      <c r="E344" s="1172"/>
      <c r="G344" s="1172"/>
      <c r="I344" s="1172"/>
      <c r="K344" s="1172"/>
      <c r="M344" s="1172"/>
      <c r="N344" s="1173"/>
      <c r="O344" s="1174"/>
      <c r="P344" s="1174"/>
      <c r="Q344" s="1174"/>
      <c r="R344" s="1174"/>
      <c r="S344" s="1174"/>
    </row>
    <row r="345" spans="3:19" s="1171" customFormat="1" ht="20.100000000000001" customHeight="1">
      <c r="C345" s="1175"/>
      <c r="E345" s="1172"/>
      <c r="G345" s="1172"/>
      <c r="I345" s="1172"/>
      <c r="K345" s="1172"/>
      <c r="M345" s="1172"/>
      <c r="N345" s="1173"/>
      <c r="O345" s="1174"/>
      <c r="P345" s="1174"/>
      <c r="Q345" s="1174"/>
      <c r="R345" s="1174"/>
      <c r="S345" s="1174"/>
    </row>
    <row r="346" spans="3:19" s="1171" customFormat="1" ht="20.100000000000001" customHeight="1">
      <c r="C346" s="1175"/>
      <c r="E346" s="1172"/>
      <c r="G346" s="1172"/>
      <c r="I346" s="1172"/>
      <c r="K346" s="1172"/>
      <c r="M346" s="1172"/>
      <c r="N346" s="1173"/>
      <c r="O346" s="1174"/>
      <c r="P346" s="1174"/>
      <c r="Q346" s="1174"/>
      <c r="R346" s="1174"/>
      <c r="S346" s="1174"/>
    </row>
    <row r="347" spans="3:19" s="1171" customFormat="1" ht="20.100000000000001" customHeight="1">
      <c r="C347" s="1175"/>
      <c r="E347" s="1172"/>
      <c r="G347" s="1172"/>
      <c r="I347" s="1172"/>
      <c r="K347" s="1172"/>
      <c r="M347" s="1172"/>
      <c r="N347" s="1173"/>
      <c r="O347" s="1174"/>
      <c r="P347" s="1174"/>
      <c r="Q347" s="1174"/>
      <c r="R347" s="1174"/>
      <c r="S347" s="1174"/>
    </row>
    <row r="348" spans="3:19" s="1171" customFormat="1" ht="20.100000000000001" customHeight="1">
      <c r="C348" s="1175"/>
      <c r="E348" s="1172"/>
      <c r="G348" s="1172"/>
      <c r="I348" s="1172"/>
      <c r="K348" s="1172"/>
      <c r="M348" s="1172"/>
      <c r="N348" s="1173"/>
      <c r="O348" s="1174"/>
      <c r="P348" s="1174"/>
      <c r="Q348" s="1174"/>
      <c r="R348" s="1174"/>
      <c r="S348" s="1174"/>
    </row>
    <row r="349" spans="3:19" s="1171" customFormat="1" ht="20.100000000000001" customHeight="1">
      <c r="C349" s="1175"/>
      <c r="E349" s="1172"/>
      <c r="G349" s="1172"/>
      <c r="I349" s="1172"/>
      <c r="K349" s="1172"/>
      <c r="M349" s="1172"/>
      <c r="N349" s="1173"/>
      <c r="O349" s="1174"/>
      <c r="P349" s="1174"/>
      <c r="Q349" s="1174"/>
      <c r="R349" s="1174"/>
      <c r="S349" s="1174"/>
    </row>
    <row r="350" spans="3:19" s="1171" customFormat="1" ht="20.100000000000001" customHeight="1">
      <c r="C350" s="1175"/>
      <c r="E350" s="1172"/>
      <c r="G350" s="1172"/>
      <c r="I350" s="1172"/>
      <c r="K350" s="1172"/>
      <c r="M350" s="1172"/>
      <c r="N350" s="1173"/>
      <c r="O350" s="1174"/>
      <c r="P350" s="1174"/>
      <c r="Q350" s="1174"/>
      <c r="R350" s="1174"/>
      <c r="S350" s="1174"/>
    </row>
    <row r="351" spans="3:19" s="1171" customFormat="1" ht="20.100000000000001" customHeight="1">
      <c r="C351" s="1175"/>
      <c r="E351" s="1172"/>
      <c r="G351" s="1172"/>
      <c r="I351" s="1172"/>
      <c r="K351" s="1172"/>
      <c r="M351" s="1172"/>
      <c r="N351" s="1173"/>
      <c r="O351" s="1174"/>
      <c r="P351" s="1174"/>
      <c r="Q351" s="1174"/>
      <c r="R351" s="1174"/>
      <c r="S351" s="1174"/>
    </row>
    <row r="352" spans="3:19" s="1171" customFormat="1" ht="20.100000000000001" customHeight="1">
      <c r="C352" s="1175"/>
      <c r="E352" s="1172"/>
      <c r="G352" s="1172"/>
      <c r="I352" s="1172"/>
      <c r="K352" s="1172"/>
      <c r="M352" s="1172"/>
      <c r="N352" s="1173"/>
      <c r="O352" s="1174"/>
      <c r="P352" s="1174"/>
      <c r="Q352" s="1174"/>
      <c r="R352" s="1174"/>
      <c r="S352" s="1174"/>
    </row>
    <row r="353" spans="3:19" s="1171" customFormat="1" ht="20.100000000000001" customHeight="1">
      <c r="C353" s="1175"/>
      <c r="E353" s="1172"/>
      <c r="G353" s="1172"/>
      <c r="I353" s="1172"/>
      <c r="K353" s="1172"/>
      <c r="M353" s="1172"/>
      <c r="N353" s="1173"/>
      <c r="O353" s="1174"/>
      <c r="P353" s="1174"/>
      <c r="Q353" s="1174"/>
      <c r="R353" s="1174"/>
      <c r="S353" s="1174"/>
    </row>
    <row r="354" spans="3:19" s="1171" customFormat="1" ht="20.100000000000001" customHeight="1">
      <c r="C354" s="1175"/>
      <c r="E354" s="1172"/>
      <c r="G354" s="1172"/>
      <c r="I354" s="1172"/>
      <c r="K354" s="1172"/>
      <c r="M354" s="1172"/>
      <c r="N354" s="1173"/>
      <c r="O354" s="1174"/>
      <c r="P354" s="1174"/>
      <c r="Q354" s="1174"/>
      <c r="R354" s="1174"/>
      <c r="S354" s="1174"/>
    </row>
    <row r="355" spans="3:19" s="1171" customFormat="1" ht="20.100000000000001" customHeight="1">
      <c r="C355" s="1175"/>
      <c r="E355" s="1172"/>
      <c r="G355" s="1172"/>
      <c r="I355" s="1172"/>
      <c r="K355" s="1172"/>
      <c r="M355" s="1172"/>
      <c r="N355" s="1173"/>
      <c r="O355" s="1174"/>
      <c r="P355" s="1174"/>
      <c r="Q355" s="1174"/>
      <c r="R355" s="1174"/>
      <c r="S355" s="1174"/>
    </row>
    <row r="356" spans="3:19" s="1171" customFormat="1" ht="20.100000000000001" customHeight="1">
      <c r="C356" s="1175"/>
      <c r="E356" s="1172"/>
      <c r="G356" s="1172"/>
      <c r="I356" s="1172"/>
      <c r="K356" s="1172"/>
      <c r="M356" s="1172"/>
      <c r="N356" s="1173"/>
      <c r="O356" s="1174"/>
      <c r="P356" s="1174"/>
      <c r="Q356" s="1174"/>
      <c r="R356" s="1174"/>
      <c r="S356" s="1174"/>
    </row>
    <row r="357" spans="3:19" s="1171" customFormat="1" ht="20.100000000000001" customHeight="1">
      <c r="C357" s="1175"/>
      <c r="E357" s="1172"/>
      <c r="G357" s="1172"/>
      <c r="I357" s="1172"/>
      <c r="K357" s="1172"/>
      <c r="M357" s="1172"/>
      <c r="N357" s="1173"/>
      <c r="O357" s="1174"/>
      <c r="P357" s="1174"/>
      <c r="Q357" s="1174"/>
      <c r="R357" s="1174"/>
      <c r="S357" s="1174"/>
    </row>
    <row r="358" spans="3:19" s="1171" customFormat="1" ht="20.100000000000001" customHeight="1">
      <c r="C358" s="1175"/>
      <c r="E358" s="1172"/>
      <c r="G358" s="1172"/>
      <c r="I358" s="1172"/>
      <c r="K358" s="1172"/>
      <c r="M358" s="1172"/>
      <c r="N358" s="1173"/>
      <c r="O358" s="1174"/>
      <c r="P358" s="1174"/>
      <c r="Q358" s="1174"/>
      <c r="R358" s="1174"/>
      <c r="S358" s="1174"/>
    </row>
    <row r="359" spans="3:19" s="1171" customFormat="1" ht="20.100000000000001" customHeight="1">
      <c r="C359" s="1175"/>
      <c r="E359" s="1172"/>
      <c r="G359" s="1172"/>
      <c r="I359" s="1172"/>
      <c r="K359" s="1172"/>
      <c r="M359" s="1172"/>
      <c r="N359" s="1173"/>
      <c r="O359" s="1174"/>
      <c r="P359" s="1174"/>
      <c r="Q359" s="1174"/>
      <c r="R359" s="1174"/>
      <c r="S359" s="1174"/>
    </row>
    <row r="360" spans="3:19" s="1171" customFormat="1" ht="20.100000000000001" customHeight="1">
      <c r="C360" s="1175"/>
      <c r="E360" s="1172"/>
      <c r="G360" s="1172"/>
      <c r="I360" s="1172"/>
      <c r="K360" s="1172"/>
      <c r="M360" s="1172"/>
      <c r="N360" s="1173"/>
      <c r="O360" s="1174"/>
      <c r="P360" s="1174"/>
      <c r="Q360" s="1174"/>
      <c r="R360" s="1174"/>
      <c r="S360" s="1174"/>
    </row>
    <row r="361" spans="3:19" s="1171" customFormat="1" ht="20.100000000000001" customHeight="1">
      <c r="C361" s="1175"/>
      <c r="E361" s="1172"/>
      <c r="G361" s="1172"/>
      <c r="I361" s="1172"/>
      <c r="K361" s="1172"/>
      <c r="M361" s="1172"/>
      <c r="N361" s="1173"/>
      <c r="O361" s="1174"/>
      <c r="P361" s="1174"/>
      <c r="Q361" s="1174"/>
      <c r="R361" s="1174"/>
      <c r="S361" s="1174"/>
    </row>
    <row r="362" spans="3:19" s="1171" customFormat="1" ht="20.100000000000001" customHeight="1">
      <c r="C362" s="1175"/>
      <c r="E362" s="1172"/>
      <c r="G362" s="1172"/>
      <c r="I362" s="1172"/>
      <c r="K362" s="1172"/>
      <c r="M362" s="1172"/>
      <c r="N362" s="1173"/>
      <c r="O362" s="1174"/>
      <c r="P362" s="1174"/>
      <c r="Q362" s="1174"/>
      <c r="R362" s="1174"/>
      <c r="S362" s="1174"/>
    </row>
    <row r="363" spans="3:19" s="1171" customFormat="1" ht="20.100000000000001" customHeight="1">
      <c r="C363" s="1175"/>
      <c r="E363" s="1172"/>
      <c r="G363" s="1172"/>
      <c r="I363" s="1172"/>
      <c r="K363" s="1172"/>
      <c r="M363" s="1172"/>
      <c r="N363" s="1173"/>
      <c r="O363" s="1174"/>
      <c r="P363" s="1174"/>
      <c r="Q363" s="1174"/>
      <c r="R363" s="1174"/>
      <c r="S363" s="1174"/>
    </row>
    <row r="364" spans="3:19" s="1171" customFormat="1" ht="20.100000000000001" customHeight="1">
      <c r="C364" s="1175"/>
      <c r="E364" s="1172"/>
      <c r="G364" s="1172"/>
      <c r="I364" s="1172"/>
      <c r="K364" s="1172"/>
      <c r="M364" s="1172"/>
      <c r="N364" s="1173"/>
      <c r="O364" s="1174"/>
      <c r="P364" s="1174"/>
      <c r="Q364" s="1174"/>
      <c r="R364" s="1174"/>
      <c r="S364" s="1174"/>
    </row>
    <row r="365" spans="3:19" s="1171" customFormat="1" ht="20.100000000000001" customHeight="1">
      <c r="C365" s="1175"/>
      <c r="E365" s="1172"/>
      <c r="G365" s="1172"/>
      <c r="I365" s="1172"/>
      <c r="K365" s="1172"/>
      <c r="M365" s="1172"/>
      <c r="N365" s="1173"/>
      <c r="O365" s="1174"/>
      <c r="P365" s="1174"/>
      <c r="Q365" s="1174"/>
      <c r="R365" s="1174"/>
      <c r="S365" s="1174"/>
    </row>
    <row r="366" spans="3:19" s="1171" customFormat="1" ht="20.100000000000001" customHeight="1">
      <c r="C366" s="1175"/>
      <c r="E366" s="1172"/>
      <c r="G366" s="1172"/>
      <c r="I366" s="1172"/>
      <c r="K366" s="1172"/>
      <c r="M366" s="1172"/>
      <c r="N366" s="1173"/>
      <c r="O366" s="1174"/>
      <c r="P366" s="1174"/>
      <c r="Q366" s="1174"/>
      <c r="R366" s="1174"/>
      <c r="S366" s="1174"/>
    </row>
    <row r="367" spans="3:19" s="1171" customFormat="1" ht="20.100000000000001" customHeight="1">
      <c r="C367" s="1175"/>
      <c r="E367" s="1172"/>
      <c r="G367" s="1172"/>
      <c r="I367" s="1172"/>
      <c r="K367" s="1172"/>
      <c r="M367" s="1172"/>
      <c r="N367" s="1173"/>
      <c r="O367" s="1174"/>
      <c r="P367" s="1174"/>
      <c r="Q367" s="1174"/>
      <c r="R367" s="1174"/>
      <c r="S367" s="1174"/>
    </row>
    <row r="368" spans="3:19" s="1171" customFormat="1" ht="20.100000000000001" customHeight="1">
      <c r="C368" s="1175"/>
      <c r="E368" s="1172"/>
      <c r="G368" s="1172"/>
      <c r="I368" s="1172"/>
      <c r="K368" s="1172"/>
      <c r="M368" s="1172"/>
      <c r="N368" s="1173"/>
      <c r="O368" s="1174"/>
      <c r="P368" s="1174"/>
      <c r="Q368" s="1174"/>
      <c r="R368" s="1174"/>
      <c r="S368" s="1174"/>
    </row>
    <row r="369" spans="3:19" s="1171" customFormat="1" ht="20.100000000000001" customHeight="1">
      <c r="C369" s="1175"/>
      <c r="E369" s="1172"/>
      <c r="G369" s="1172"/>
      <c r="I369" s="1172"/>
      <c r="K369" s="1172"/>
      <c r="M369" s="1172"/>
      <c r="N369" s="1173"/>
      <c r="O369" s="1174"/>
      <c r="P369" s="1174"/>
      <c r="Q369" s="1174"/>
      <c r="R369" s="1174"/>
      <c r="S369" s="1174"/>
    </row>
    <row r="370" spans="3:19" s="1171" customFormat="1" ht="20.100000000000001" customHeight="1">
      <c r="C370" s="1175"/>
      <c r="E370" s="1172"/>
      <c r="G370" s="1172"/>
      <c r="I370" s="1172"/>
      <c r="K370" s="1172"/>
      <c r="M370" s="1172"/>
      <c r="N370" s="1173"/>
      <c r="O370" s="1174"/>
      <c r="P370" s="1174"/>
      <c r="Q370" s="1174"/>
      <c r="R370" s="1174"/>
      <c r="S370" s="1174"/>
    </row>
    <row r="371" spans="3:19" s="1171" customFormat="1" ht="20.100000000000001" customHeight="1">
      <c r="C371" s="1175"/>
      <c r="E371" s="1172"/>
      <c r="G371" s="1172"/>
      <c r="I371" s="1172"/>
      <c r="K371" s="1172"/>
      <c r="M371" s="1172"/>
      <c r="N371" s="1173"/>
      <c r="O371" s="1174"/>
      <c r="P371" s="1174"/>
      <c r="Q371" s="1174"/>
      <c r="R371" s="1174"/>
      <c r="S371" s="1174"/>
    </row>
    <row r="372" spans="3:19" s="1171" customFormat="1" ht="20.100000000000001" customHeight="1">
      <c r="C372" s="1175"/>
      <c r="E372" s="1172"/>
      <c r="G372" s="1172"/>
      <c r="I372" s="1172"/>
      <c r="K372" s="1172"/>
      <c r="M372" s="1172"/>
      <c r="N372" s="1173"/>
      <c r="O372" s="1174"/>
      <c r="P372" s="1174"/>
      <c r="Q372" s="1174"/>
      <c r="R372" s="1174"/>
      <c r="S372" s="1174"/>
    </row>
    <row r="373" spans="3:19" s="1171" customFormat="1" ht="20.100000000000001" customHeight="1">
      <c r="C373" s="1175"/>
      <c r="E373" s="1172"/>
      <c r="G373" s="1172"/>
      <c r="I373" s="1172"/>
      <c r="K373" s="1172"/>
      <c r="M373" s="1172"/>
      <c r="N373" s="1173"/>
      <c r="O373" s="1174"/>
      <c r="P373" s="1174"/>
      <c r="Q373" s="1174"/>
      <c r="R373" s="1174"/>
      <c r="S373" s="1174"/>
    </row>
    <row r="374" spans="3:19" s="1171" customFormat="1" ht="20.100000000000001" customHeight="1">
      <c r="C374" s="1175"/>
      <c r="E374" s="1172"/>
      <c r="G374" s="1172"/>
      <c r="I374" s="1172"/>
      <c r="K374" s="1172"/>
      <c r="M374" s="1172"/>
      <c r="N374" s="1173"/>
      <c r="O374" s="1174"/>
      <c r="P374" s="1174"/>
      <c r="Q374" s="1174"/>
      <c r="R374" s="1174"/>
      <c r="S374" s="1174"/>
    </row>
    <row r="375" spans="3:19" s="1171" customFormat="1" ht="20.100000000000001" customHeight="1">
      <c r="C375" s="1175"/>
      <c r="E375" s="1172"/>
      <c r="G375" s="1172"/>
      <c r="I375" s="1172"/>
      <c r="K375" s="1172"/>
      <c r="M375" s="1172"/>
      <c r="N375" s="1173"/>
      <c r="O375" s="1174"/>
      <c r="P375" s="1174"/>
      <c r="Q375" s="1174"/>
      <c r="R375" s="1174"/>
      <c r="S375" s="1174"/>
    </row>
    <row r="376" spans="3:19" s="1171" customFormat="1" ht="20.100000000000001" customHeight="1">
      <c r="C376" s="1175"/>
      <c r="E376" s="1172"/>
      <c r="G376" s="1172"/>
      <c r="I376" s="1172"/>
      <c r="K376" s="1172"/>
      <c r="M376" s="1172"/>
      <c r="N376" s="1173"/>
      <c r="O376" s="1174"/>
      <c r="P376" s="1174"/>
      <c r="Q376" s="1174"/>
      <c r="R376" s="1174"/>
      <c r="S376" s="1174"/>
    </row>
    <row r="377" spans="3:19" s="1171" customFormat="1" ht="20.100000000000001" customHeight="1">
      <c r="C377" s="1175"/>
      <c r="E377" s="1172"/>
      <c r="G377" s="1172"/>
      <c r="I377" s="1172"/>
      <c r="K377" s="1172"/>
      <c r="M377" s="1172"/>
      <c r="N377" s="1173"/>
      <c r="O377" s="1174"/>
      <c r="P377" s="1174"/>
      <c r="Q377" s="1174"/>
      <c r="R377" s="1174"/>
      <c r="S377" s="1174"/>
    </row>
    <row r="378" spans="3:19" s="1171" customFormat="1" ht="20.100000000000001" customHeight="1">
      <c r="C378" s="1175"/>
      <c r="E378" s="1172"/>
      <c r="G378" s="1172"/>
      <c r="I378" s="1172"/>
      <c r="K378" s="1172"/>
      <c r="M378" s="1172"/>
      <c r="N378" s="1173"/>
      <c r="O378" s="1174"/>
      <c r="P378" s="1174"/>
      <c r="Q378" s="1174"/>
      <c r="R378" s="1174"/>
      <c r="S378" s="1174"/>
    </row>
    <row r="379" spans="3:19" s="1171" customFormat="1" ht="20.100000000000001" customHeight="1">
      <c r="C379" s="1175"/>
      <c r="E379" s="1172"/>
      <c r="G379" s="1172"/>
      <c r="I379" s="1172"/>
      <c r="K379" s="1172"/>
      <c r="M379" s="1172"/>
      <c r="N379" s="1173"/>
      <c r="O379" s="1174"/>
      <c r="P379" s="1174"/>
      <c r="Q379" s="1174"/>
      <c r="R379" s="1174"/>
      <c r="S379" s="1174"/>
    </row>
    <row r="380" spans="3:19" s="1171" customFormat="1" ht="20.100000000000001" customHeight="1">
      <c r="C380" s="1175"/>
      <c r="E380" s="1172"/>
      <c r="G380" s="1172"/>
      <c r="I380" s="1172"/>
      <c r="K380" s="1172"/>
      <c r="M380" s="1172"/>
      <c r="N380" s="1173"/>
      <c r="O380" s="1174"/>
      <c r="P380" s="1174"/>
      <c r="Q380" s="1174"/>
      <c r="R380" s="1174"/>
      <c r="S380" s="1174"/>
    </row>
    <row r="381" spans="3:19" s="1171" customFormat="1" ht="20.100000000000001" customHeight="1">
      <c r="C381" s="1175"/>
      <c r="E381" s="1172"/>
      <c r="G381" s="1172"/>
      <c r="I381" s="1172"/>
      <c r="K381" s="1172"/>
      <c r="M381" s="1172"/>
      <c r="N381" s="1173"/>
      <c r="O381" s="1174"/>
      <c r="P381" s="1174"/>
      <c r="Q381" s="1174"/>
      <c r="R381" s="1174"/>
      <c r="S381" s="1174"/>
    </row>
    <row r="382" spans="3:19" s="1171" customFormat="1" ht="20.100000000000001" customHeight="1">
      <c r="C382" s="1175"/>
      <c r="E382" s="1172"/>
      <c r="G382" s="1172"/>
      <c r="I382" s="1172"/>
      <c r="K382" s="1172"/>
      <c r="M382" s="1172"/>
      <c r="N382" s="1173"/>
      <c r="O382" s="1174"/>
      <c r="P382" s="1174"/>
      <c r="Q382" s="1174"/>
      <c r="R382" s="1174"/>
      <c r="S382" s="1174"/>
    </row>
    <row r="383" spans="3:19" s="1171" customFormat="1" ht="20.100000000000001" customHeight="1">
      <c r="C383" s="1175"/>
      <c r="E383" s="1172"/>
      <c r="G383" s="1172"/>
      <c r="I383" s="1172"/>
      <c r="K383" s="1172"/>
      <c r="M383" s="1172"/>
      <c r="N383" s="1173"/>
      <c r="O383" s="1174"/>
      <c r="P383" s="1174"/>
      <c r="Q383" s="1174"/>
      <c r="R383" s="1174"/>
      <c r="S383" s="1174"/>
    </row>
    <row r="384" spans="3:19" s="1171" customFormat="1" ht="20.100000000000001" customHeight="1">
      <c r="C384" s="1175"/>
      <c r="E384" s="1172"/>
      <c r="G384" s="1172"/>
      <c r="I384" s="1172"/>
      <c r="K384" s="1172"/>
      <c r="M384" s="1172"/>
      <c r="N384" s="1173"/>
      <c r="O384" s="1174"/>
      <c r="P384" s="1174"/>
      <c r="Q384" s="1174"/>
      <c r="R384" s="1174"/>
      <c r="S384" s="1174"/>
    </row>
    <row r="385" spans="3:19" s="1171" customFormat="1" ht="20.100000000000001" customHeight="1">
      <c r="C385" s="1175"/>
      <c r="E385" s="1172"/>
      <c r="G385" s="1172"/>
      <c r="I385" s="1172"/>
      <c r="K385" s="1172"/>
      <c r="M385" s="1172"/>
      <c r="N385" s="1173"/>
      <c r="O385" s="1174"/>
      <c r="P385" s="1174"/>
      <c r="Q385" s="1174"/>
      <c r="R385" s="1174"/>
      <c r="S385" s="1174"/>
    </row>
    <row r="386" spans="3:19" s="1171" customFormat="1" ht="20.100000000000001" customHeight="1">
      <c r="C386" s="1175"/>
      <c r="E386" s="1172"/>
      <c r="G386" s="1172"/>
      <c r="I386" s="1172"/>
      <c r="K386" s="1172"/>
      <c r="M386" s="1172"/>
      <c r="N386" s="1173"/>
      <c r="O386" s="1174"/>
      <c r="P386" s="1174"/>
      <c r="Q386" s="1174"/>
      <c r="R386" s="1174"/>
      <c r="S386" s="1174"/>
    </row>
    <row r="387" spans="3:19" s="1171" customFormat="1" ht="20.100000000000001" customHeight="1">
      <c r="C387" s="1175"/>
      <c r="E387" s="1172"/>
      <c r="G387" s="1172"/>
      <c r="I387" s="1172"/>
      <c r="K387" s="1172"/>
      <c r="M387" s="1172"/>
      <c r="N387" s="1173"/>
      <c r="O387" s="1174"/>
      <c r="P387" s="1174"/>
      <c r="Q387" s="1174"/>
      <c r="R387" s="1174"/>
      <c r="S387" s="1174"/>
    </row>
    <row r="388" spans="3:19" s="1171" customFormat="1" ht="20.100000000000001" customHeight="1">
      <c r="C388" s="1175"/>
      <c r="E388" s="1172"/>
      <c r="G388" s="1172"/>
      <c r="I388" s="1172"/>
      <c r="K388" s="1172"/>
      <c r="M388" s="1172"/>
      <c r="N388" s="1173"/>
      <c r="O388" s="1174"/>
      <c r="P388" s="1174"/>
      <c r="Q388" s="1174"/>
      <c r="R388" s="1174"/>
      <c r="S388" s="1174"/>
    </row>
    <row r="389" spans="3:19" s="1171" customFormat="1" ht="20.100000000000001" customHeight="1">
      <c r="C389" s="1175"/>
      <c r="E389" s="1172"/>
      <c r="G389" s="1172"/>
      <c r="I389" s="1172"/>
      <c r="K389" s="1172"/>
      <c r="M389" s="1172"/>
      <c r="N389" s="1173"/>
      <c r="O389" s="1174"/>
      <c r="P389" s="1174"/>
      <c r="Q389" s="1174"/>
      <c r="R389" s="1174"/>
      <c r="S389" s="1174"/>
    </row>
    <row r="390" spans="3:19" s="1171" customFormat="1" ht="20.100000000000001" customHeight="1">
      <c r="C390" s="1175"/>
      <c r="E390" s="1172"/>
      <c r="G390" s="1172"/>
      <c r="I390" s="1172"/>
      <c r="K390" s="1172"/>
      <c r="M390" s="1172"/>
      <c r="N390" s="1173"/>
      <c r="O390" s="1174"/>
      <c r="P390" s="1174"/>
      <c r="Q390" s="1174"/>
      <c r="R390" s="1174"/>
      <c r="S390" s="1174"/>
    </row>
    <row r="391" spans="3:19" s="1171" customFormat="1" ht="20.100000000000001" customHeight="1">
      <c r="C391" s="1175"/>
      <c r="E391" s="1172"/>
      <c r="G391" s="1172"/>
      <c r="I391" s="1172"/>
      <c r="K391" s="1172"/>
      <c r="M391" s="1172"/>
      <c r="N391" s="1173"/>
      <c r="O391" s="1174"/>
      <c r="P391" s="1174"/>
      <c r="Q391" s="1174"/>
      <c r="R391" s="1174"/>
      <c r="S391" s="1174"/>
    </row>
    <row r="392" spans="3:19" s="1171" customFormat="1" ht="20.100000000000001" customHeight="1">
      <c r="C392" s="1175"/>
      <c r="E392" s="1172"/>
      <c r="G392" s="1172"/>
      <c r="I392" s="1172"/>
      <c r="K392" s="1172"/>
      <c r="M392" s="1172"/>
      <c r="N392" s="1173"/>
      <c r="O392" s="1174"/>
      <c r="P392" s="1174"/>
      <c r="Q392" s="1174"/>
      <c r="R392" s="1174"/>
      <c r="S392" s="1174"/>
    </row>
    <row r="393" spans="3:19" s="1171" customFormat="1" ht="20.100000000000001" customHeight="1">
      <c r="C393" s="1175"/>
      <c r="E393" s="1172"/>
      <c r="G393" s="1172"/>
      <c r="I393" s="1172"/>
      <c r="K393" s="1172"/>
      <c r="M393" s="1172"/>
      <c r="N393" s="1173"/>
      <c r="O393" s="1174"/>
      <c r="P393" s="1174"/>
      <c r="Q393" s="1174"/>
      <c r="R393" s="1174"/>
      <c r="S393" s="1174"/>
    </row>
    <row r="394" spans="3:19" s="1171" customFormat="1" ht="20.100000000000001" customHeight="1">
      <c r="C394" s="1175"/>
      <c r="E394" s="1172"/>
      <c r="G394" s="1172"/>
      <c r="I394" s="1172"/>
      <c r="K394" s="1172"/>
      <c r="M394" s="1172"/>
      <c r="N394" s="1173"/>
      <c r="O394" s="1174"/>
      <c r="P394" s="1174"/>
      <c r="Q394" s="1174"/>
      <c r="R394" s="1174"/>
      <c r="S394" s="1174"/>
    </row>
    <row r="395" spans="3:19" s="1171" customFormat="1" ht="20.100000000000001" customHeight="1">
      <c r="C395" s="1175"/>
      <c r="E395" s="1172"/>
      <c r="G395" s="1172"/>
      <c r="I395" s="1172"/>
      <c r="K395" s="1172"/>
      <c r="M395" s="1172"/>
      <c r="N395" s="1173"/>
      <c r="O395" s="1174"/>
      <c r="P395" s="1174"/>
      <c r="Q395" s="1174"/>
      <c r="R395" s="1174"/>
      <c r="S395" s="1174"/>
    </row>
    <row r="396" spans="3:19" s="1171" customFormat="1" ht="20.100000000000001" customHeight="1">
      <c r="C396" s="1175"/>
      <c r="E396" s="1172"/>
      <c r="G396" s="1172"/>
      <c r="I396" s="1172"/>
      <c r="K396" s="1172"/>
      <c r="M396" s="1172"/>
      <c r="N396" s="1173"/>
      <c r="O396" s="1174"/>
      <c r="P396" s="1174"/>
      <c r="Q396" s="1174"/>
      <c r="R396" s="1174"/>
      <c r="S396" s="1174"/>
    </row>
    <row r="397" spans="3:19" s="1171" customFormat="1" ht="20.100000000000001" customHeight="1">
      <c r="C397" s="1175"/>
      <c r="E397" s="1172"/>
      <c r="G397" s="1172"/>
      <c r="I397" s="1172"/>
      <c r="K397" s="1172"/>
      <c r="M397" s="1172"/>
      <c r="N397" s="1173"/>
      <c r="O397" s="1174"/>
      <c r="P397" s="1174"/>
      <c r="Q397" s="1174"/>
      <c r="R397" s="1174"/>
      <c r="S397" s="1174"/>
    </row>
    <row r="398" spans="3:19" s="1171" customFormat="1" ht="20.100000000000001" customHeight="1">
      <c r="C398" s="1175"/>
      <c r="E398" s="1172"/>
      <c r="G398" s="1172"/>
      <c r="I398" s="1172"/>
      <c r="K398" s="1172"/>
      <c r="M398" s="1172"/>
      <c r="N398" s="1173"/>
      <c r="O398" s="1174"/>
      <c r="P398" s="1174"/>
      <c r="Q398" s="1174"/>
      <c r="R398" s="1174"/>
      <c r="S398" s="1174"/>
    </row>
    <row r="399" spans="3:19" s="1171" customFormat="1" ht="20.100000000000001" customHeight="1">
      <c r="C399" s="1175"/>
      <c r="E399" s="1172"/>
      <c r="G399" s="1172"/>
      <c r="I399" s="1172"/>
      <c r="K399" s="1172"/>
      <c r="M399" s="1172"/>
      <c r="N399" s="1173"/>
      <c r="O399" s="1174"/>
      <c r="P399" s="1174"/>
      <c r="Q399" s="1174"/>
      <c r="R399" s="1174"/>
      <c r="S399" s="1174"/>
    </row>
    <row r="400" spans="3:19" s="1171" customFormat="1" ht="20.100000000000001" customHeight="1">
      <c r="C400" s="1175"/>
      <c r="E400" s="1172"/>
      <c r="G400" s="1172"/>
      <c r="I400" s="1172"/>
      <c r="K400" s="1172"/>
      <c r="M400" s="1172"/>
      <c r="N400" s="1173"/>
      <c r="O400" s="1174"/>
      <c r="P400" s="1174"/>
      <c r="Q400" s="1174"/>
      <c r="R400" s="1174"/>
      <c r="S400" s="1174"/>
    </row>
    <row r="401" spans="3:19" s="1171" customFormat="1" ht="20.100000000000001" customHeight="1">
      <c r="C401" s="1175"/>
      <c r="E401" s="1172"/>
      <c r="G401" s="1172"/>
      <c r="I401" s="1172"/>
      <c r="K401" s="1172"/>
      <c r="M401" s="1172"/>
      <c r="N401" s="1173"/>
      <c r="O401" s="1174"/>
      <c r="P401" s="1174"/>
      <c r="Q401" s="1174"/>
      <c r="R401" s="1174"/>
      <c r="S401" s="1174"/>
    </row>
    <row r="402" spans="3:19" s="1171" customFormat="1" ht="20.100000000000001" customHeight="1">
      <c r="C402" s="1175"/>
      <c r="E402" s="1172"/>
      <c r="G402" s="1172"/>
      <c r="I402" s="1172"/>
      <c r="K402" s="1172"/>
      <c r="M402" s="1172"/>
      <c r="N402" s="1173"/>
      <c r="O402" s="1174"/>
      <c r="P402" s="1174"/>
      <c r="Q402" s="1174"/>
      <c r="R402" s="1174"/>
      <c r="S402" s="1174"/>
    </row>
    <row r="403" spans="3:19" s="1171" customFormat="1" ht="20.100000000000001" customHeight="1">
      <c r="C403" s="1175"/>
      <c r="E403" s="1172"/>
      <c r="G403" s="1172"/>
      <c r="I403" s="1172"/>
      <c r="K403" s="1172"/>
      <c r="M403" s="1172"/>
      <c r="N403" s="1173"/>
      <c r="O403" s="1174"/>
      <c r="P403" s="1174"/>
      <c r="Q403" s="1174"/>
      <c r="R403" s="1174"/>
      <c r="S403" s="1174"/>
    </row>
    <row r="404" spans="3:19" s="1171" customFormat="1" ht="20.100000000000001" customHeight="1">
      <c r="C404" s="1175"/>
      <c r="E404" s="1172"/>
      <c r="G404" s="1172"/>
      <c r="I404" s="1172"/>
      <c r="K404" s="1172"/>
      <c r="M404" s="1172"/>
      <c r="N404" s="1173"/>
      <c r="O404" s="1174"/>
      <c r="P404" s="1174"/>
      <c r="Q404" s="1174"/>
      <c r="R404" s="1174"/>
      <c r="S404" s="1174"/>
    </row>
    <row r="405" spans="3:19" s="1171" customFormat="1" ht="20.100000000000001" customHeight="1">
      <c r="C405" s="1175"/>
      <c r="E405" s="1172"/>
      <c r="G405" s="1172"/>
      <c r="I405" s="1172"/>
      <c r="K405" s="1172"/>
      <c r="M405" s="1172"/>
      <c r="N405" s="1173"/>
      <c r="O405" s="1174"/>
      <c r="P405" s="1174"/>
      <c r="Q405" s="1174"/>
      <c r="R405" s="1174"/>
      <c r="S405" s="1174"/>
    </row>
    <row r="406" spans="3:19" s="1171" customFormat="1" ht="20.100000000000001" customHeight="1">
      <c r="C406" s="1175"/>
      <c r="E406" s="1172"/>
      <c r="G406" s="1172"/>
      <c r="I406" s="1172"/>
      <c r="K406" s="1172"/>
      <c r="M406" s="1172"/>
      <c r="N406" s="1173"/>
      <c r="O406" s="1174"/>
      <c r="P406" s="1174"/>
      <c r="Q406" s="1174"/>
      <c r="R406" s="1174"/>
      <c r="S406" s="1174"/>
    </row>
    <row r="407" spans="3:19" s="1171" customFormat="1" ht="20.100000000000001" customHeight="1">
      <c r="C407" s="1175"/>
      <c r="E407" s="1172"/>
      <c r="G407" s="1172"/>
      <c r="I407" s="1172"/>
      <c r="K407" s="1172"/>
      <c r="M407" s="1172"/>
      <c r="N407" s="1173"/>
      <c r="O407" s="1174"/>
      <c r="P407" s="1174"/>
      <c r="Q407" s="1174"/>
      <c r="R407" s="1174"/>
      <c r="S407" s="1174"/>
    </row>
    <row r="408" spans="3:19" s="1171" customFormat="1" ht="20.100000000000001" customHeight="1">
      <c r="C408" s="1175"/>
      <c r="E408" s="1172"/>
      <c r="G408" s="1172"/>
      <c r="I408" s="1172"/>
      <c r="K408" s="1172"/>
      <c r="M408" s="1172"/>
      <c r="N408" s="1173"/>
      <c r="O408" s="1174"/>
      <c r="P408" s="1174"/>
      <c r="Q408" s="1174"/>
      <c r="R408" s="1174"/>
      <c r="S408" s="1174"/>
    </row>
    <row r="409" spans="3:19" s="1171" customFormat="1" ht="20.100000000000001" customHeight="1">
      <c r="C409" s="1175"/>
      <c r="E409" s="1172"/>
      <c r="G409" s="1172"/>
      <c r="I409" s="1172"/>
      <c r="K409" s="1172"/>
      <c r="M409" s="1172"/>
      <c r="N409" s="1173"/>
      <c r="O409" s="1174"/>
      <c r="P409" s="1174"/>
      <c r="Q409" s="1174"/>
      <c r="R409" s="1174"/>
      <c r="S409" s="1174"/>
    </row>
    <row r="410" spans="3:19" s="1171" customFormat="1" ht="20.100000000000001" customHeight="1">
      <c r="C410" s="1175"/>
      <c r="E410" s="1172"/>
      <c r="G410" s="1172"/>
      <c r="I410" s="1172"/>
      <c r="K410" s="1172"/>
      <c r="M410" s="1172"/>
      <c r="N410" s="1173"/>
      <c r="O410" s="1174"/>
      <c r="P410" s="1174"/>
      <c r="Q410" s="1174"/>
      <c r="R410" s="1174"/>
      <c r="S410" s="1174"/>
    </row>
    <row r="411" spans="3:19" s="1171" customFormat="1" ht="20.100000000000001" customHeight="1">
      <c r="C411" s="1175"/>
      <c r="E411" s="1172"/>
      <c r="G411" s="1172"/>
      <c r="I411" s="1172"/>
      <c r="K411" s="1172"/>
      <c r="M411" s="1172"/>
      <c r="N411" s="1173"/>
      <c r="O411" s="1174"/>
      <c r="P411" s="1174"/>
      <c r="Q411" s="1174"/>
      <c r="R411" s="1174"/>
      <c r="S411" s="1174"/>
    </row>
    <row r="412" spans="3:19" s="1171" customFormat="1" ht="20.100000000000001" customHeight="1">
      <c r="C412" s="1175"/>
      <c r="E412" s="1172"/>
      <c r="G412" s="1172"/>
      <c r="I412" s="1172"/>
      <c r="K412" s="1172"/>
      <c r="M412" s="1172"/>
      <c r="N412" s="1173"/>
      <c r="O412" s="1174"/>
      <c r="P412" s="1174"/>
      <c r="Q412" s="1174"/>
      <c r="R412" s="1174"/>
      <c r="S412" s="1174"/>
    </row>
    <row r="413" spans="3:19" s="1171" customFormat="1" ht="20.100000000000001" customHeight="1">
      <c r="C413" s="1175"/>
      <c r="E413" s="1172"/>
      <c r="G413" s="1172"/>
      <c r="I413" s="1172"/>
      <c r="K413" s="1172"/>
      <c r="M413" s="1172"/>
      <c r="N413" s="1173"/>
      <c r="O413" s="1174"/>
      <c r="P413" s="1174"/>
      <c r="Q413" s="1174"/>
      <c r="R413" s="1174"/>
      <c r="S413" s="1174"/>
    </row>
    <row r="414" spans="3:19" s="1171" customFormat="1" ht="20.100000000000001" customHeight="1">
      <c r="C414" s="1175"/>
      <c r="E414" s="1172"/>
      <c r="G414" s="1172"/>
      <c r="I414" s="1172"/>
      <c r="K414" s="1172"/>
      <c r="M414" s="1172"/>
      <c r="N414" s="1173"/>
      <c r="O414" s="1174"/>
      <c r="P414" s="1174"/>
      <c r="Q414" s="1174"/>
      <c r="R414" s="1174"/>
      <c r="S414" s="1174"/>
    </row>
    <row r="415" spans="3:19" s="1171" customFormat="1" ht="20.100000000000001" customHeight="1">
      <c r="C415" s="1175"/>
      <c r="E415" s="1172"/>
      <c r="G415" s="1172"/>
      <c r="I415" s="1172"/>
      <c r="K415" s="1172"/>
      <c r="M415" s="1172"/>
      <c r="N415" s="1173"/>
      <c r="O415" s="1174"/>
      <c r="P415" s="1174"/>
      <c r="Q415" s="1174"/>
      <c r="R415" s="1174"/>
      <c r="S415" s="1174"/>
    </row>
    <row r="416" spans="3:19" s="1171" customFormat="1" ht="20.100000000000001" customHeight="1">
      <c r="C416" s="1175"/>
      <c r="E416" s="1172"/>
      <c r="G416" s="1172"/>
      <c r="I416" s="1172"/>
      <c r="K416" s="1172"/>
      <c r="M416" s="1172"/>
      <c r="N416" s="1173"/>
      <c r="O416" s="1174"/>
      <c r="P416" s="1174"/>
      <c r="Q416" s="1174"/>
      <c r="R416" s="1174"/>
      <c r="S416" s="1174"/>
    </row>
    <row r="417" spans="3:19" s="1171" customFormat="1" ht="20.100000000000001" customHeight="1">
      <c r="C417" s="1175"/>
      <c r="E417" s="1172"/>
      <c r="G417" s="1172"/>
      <c r="I417" s="1172"/>
      <c r="K417" s="1172"/>
      <c r="M417" s="1172"/>
      <c r="N417" s="1173"/>
      <c r="O417" s="1174"/>
      <c r="P417" s="1174"/>
      <c r="Q417" s="1174"/>
      <c r="R417" s="1174"/>
      <c r="S417" s="1174"/>
    </row>
    <row r="418" spans="3:19" s="1171" customFormat="1" ht="20.100000000000001" customHeight="1">
      <c r="C418" s="1175"/>
      <c r="E418" s="1172"/>
      <c r="G418" s="1172"/>
      <c r="I418" s="1172"/>
      <c r="K418" s="1172"/>
      <c r="M418" s="1172"/>
      <c r="N418" s="1173"/>
      <c r="O418" s="1174"/>
      <c r="P418" s="1174"/>
      <c r="Q418" s="1174"/>
      <c r="R418" s="1174"/>
      <c r="S418" s="1174"/>
    </row>
    <row r="419" spans="3:19" s="1171" customFormat="1" ht="20.100000000000001" customHeight="1">
      <c r="C419" s="1175"/>
      <c r="E419" s="1172"/>
      <c r="G419" s="1172"/>
      <c r="I419" s="1172"/>
      <c r="K419" s="1172"/>
      <c r="M419" s="1172"/>
      <c r="N419" s="1173"/>
      <c r="O419" s="1174"/>
      <c r="P419" s="1174"/>
      <c r="Q419" s="1174"/>
      <c r="R419" s="1174"/>
      <c r="S419" s="1174"/>
    </row>
    <row r="420" spans="3:19" s="1171" customFormat="1" ht="20.100000000000001" customHeight="1">
      <c r="C420" s="1175"/>
      <c r="E420" s="1172"/>
      <c r="G420" s="1172"/>
      <c r="I420" s="1172"/>
      <c r="K420" s="1172"/>
      <c r="M420" s="1172"/>
      <c r="N420" s="1173"/>
      <c r="O420" s="1174"/>
      <c r="P420" s="1174"/>
      <c r="Q420" s="1174"/>
      <c r="R420" s="1174"/>
      <c r="S420" s="1174"/>
    </row>
    <row r="421" spans="3:19" s="1171" customFormat="1" ht="20.100000000000001" customHeight="1">
      <c r="C421" s="1175"/>
      <c r="E421" s="1172"/>
      <c r="G421" s="1172"/>
      <c r="I421" s="1172"/>
      <c r="K421" s="1172"/>
      <c r="M421" s="1172"/>
      <c r="N421" s="1173"/>
      <c r="O421" s="1174"/>
      <c r="P421" s="1174"/>
      <c r="Q421" s="1174"/>
      <c r="R421" s="1174"/>
      <c r="S421" s="1174"/>
    </row>
    <row r="422" spans="3:19" s="1171" customFormat="1" ht="20.100000000000001" customHeight="1">
      <c r="C422" s="1175"/>
      <c r="E422" s="1172"/>
      <c r="G422" s="1172"/>
      <c r="I422" s="1172"/>
      <c r="K422" s="1172"/>
      <c r="M422" s="1172"/>
      <c r="N422" s="1173"/>
      <c r="O422" s="1174"/>
      <c r="P422" s="1174"/>
      <c r="Q422" s="1174"/>
      <c r="R422" s="1174"/>
      <c r="S422" s="1174"/>
    </row>
    <row r="423" spans="3:19" s="1171" customFormat="1" ht="20.100000000000001" customHeight="1">
      <c r="C423" s="1175"/>
      <c r="E423" s="1172"/>
      <c r="G423" s="1172"/>
      <c r="I423" s="1172"/>
      <c r="K423" s="1172"/>
      <c r="M423" s="1172"/>
      <c r="N423" s="1173"/>
      <c r="O423" s="1174"/>
      <c r="P423" s="1174"/>
      <c r="Q423" s="1174"/>
      <c r="R423" s="1174"/>
      <c r="S423" s="1174"/>
    </row>
    <row r="424" spans="3:19" s="1171" customFormat="1" ht="20.100000000000001" customHeight="1">
      <c r="C424" s="1175"/>
      <c r="E424" s="1172"/>
      <c r="G424" s="1172"/>
      <c r="I424" s="1172"/>
      <c r="K424" s="1172"/>
      <c r="M424" s="1172"/>
      <c r="N424" s="1173"/>
      <c r="O424" s="1174"/>
      <c r="P424" s="1174"/>
      <c r="Q424" s="1174"/>
      <c r="R424" s="1174"/>
      <c r="S424" s="1174"/>
    </row>
    <row r="425" spans="3:19" s="1171" customFormat="1" ht="20.100000000000001" customHeight="1">
      <c r="C425" s="1175"/>
      <c r="E425" s="1172"/>
      <c r="G425" s="1172"/>
      <c r="I425" s="1172"/>
      <c r="K425" s="1172"/>
      <c r="M425" s="1172"/>
      <c r="N425" s="1173"/>
      <c r="O425" s="1174"/>
      <c r="P425" s="1174"/>
      <c r="Q425" s="1174"/>
      <c r="R425" s="1174"/>
      <c r="S425" s="1174"/>
    </row>
    <row r="426" spans="3:19" s="1171" customFormat="1" ht="20.100000000000001" customHeight="1">
      <c r="C426" s="1175"/>
      <c r="E426" s="1172"/>
      <c r="G426" s="1172"/>
      <c r="I426" s="1172"/>
      <c r="K426" s="1172"/>
      <c r="M426" s="1172"/>
      <c r="N426" s="1173"/>
      <c r="O426" s="1174"/>
      <c r="P426" s="1174"/>
      <c r="Q426" s="1174"/>
      <c r="R426" s="1174"/>
      <c r="S426" s="1174"/>
    </row>
    <row r="427" spans="3:19" s="1171" customFormat="1" ht="20.100000000000001" customHeight="1">
      <c r="C427" s="1175"/>
      <c r="E427" s="1172"/>
      <c r="G427" s="1172"/>
      <c r="I427" s="1172"/>
      <c r="K427" s="1172"/>
      <c r="M427" s="1172"/>
      <c r="N427" s="1173"/>
      <c r="O427" s="1174"/>
      <c r="P427" s="1174"/>
      <c r="Q427" s="1174"/>
      <c r="R427" s="1174"/>
      <c r="S427" s="1174"/>
    </row>
    <row r="428" spans="3:19" s="1171" customFormat="1" ht="20.100000000000001" customHeight="1">
      <c r="C428" s="1175"/>
      <c r="E428" s="1172"/>
      <c r="G428" s="1172"/>
      <c r="I428" s="1172"/>
      <c r="K428" s="1172"/>
      <c r="M428" s="1172"/>
      <c r="N428" s="1173"/>
      <c r="O428" s="1174"/>
      <c r="P428" s="1174"/>
      <c r="Q428" s="1174"/>
      <c r="R428" s="1174"/>
      <c r="S428" s="1174"/>
    </row>
    <row r="429" spans="3:19" s="1171" customFormat="1" ht="20.100000000000001" customHeight="1">
      <c r="C429" s="1175"/>
      <c r="E429" s="1172"/>
      <c r="G429" s="1172"/>
      <c r="I429" s="1172"/>
      <c r="K429" s="1172"/>
      <c r="M429" s="1172"/>
      <c r="N429" s="1173"/>
      <c r="O429" s="1174"/>
      <c r="P429" s="1174"/>
      <c r="Q429" s="1174"/>
      <c r="R429" s="1174"/>
      <c r="S429" s="1174"/>
    </row>
    <row r="430" spans="3:19" s="1171" customFormat="1" ht="20.100000000000001" customHeight="1">
      <c r="C430" s="1175"/>
      <c r="E430" s="1172"/>
      <c r="G430" s="1172"/>
      <c r="I430" s="1172"/>
      <c r="K430" s="1172"/>
      <c r="M430" s="1172"/>
      <c r="N430" s="1173"/>
      <c r="O430" s="1174"/>
      <c r="P430" s="1174"/>
      <c r="Q430" s="1174"/>
      <c r="R430" s="1174"/>
      <c r="S430" s="1174"/>
    </row>
    <row r="431" spans="3:19" s="1171" customFormat="1" ht="20.100000000000001" customHeight="1">
      <c r="C431" s="1175"/>
      <c r="E431" s="1172"/>
      <c r="G431" s="1172"/>
      <c r="I431" s="1172"/>
      <c r="K431" s="1172"/>
      <c r="M431" s="1172"/>
      <c r="N431" s="1173"/>
      <c r="O431" s="1174"/>
      <c r="P431" s="1174"/>
      <c r="Q431" s="1174"/>
      <c r="R431" s="1174"/>
      <c r="S431" s="1174"/>
    </row>
    <row r="432" spans="3:19" s="1171" customFormat="1" ht="20.100000000000001" customHeight="1">
      <c r="C432" s="1175"/>
      <c r="E432" s="1172"/>
      <c r="G432" s="1172"/>
      <c r="I432" s="1172"/>
      <c r="K432" s="1172"/>
      <c r="M432" s="1172"/>
      <c r="N432" s="1173"/>
      <c r="O432" s="1174"/>
      <c r="P432" s="1174"/>
      <c r="Q432" s="1174"/>
      <c r="R432" s="1174"/>
      <c r="S432" s="1174"/>
    </row>
    <row r="433" spans="3:19" s="1171" customFormat="1" ht="20.100000000000001" customHeight="1">
      <c r="C433" s="1175"/>
      <c r="E433" s="1172"/>
      <c r="G433" s="1172"/>
      <c r="I433" s="1172"/>
      <c r="K433" s="1172"/>
      <c r="M433" s="1172"/>
      <c r="N433" s="1173"/>
      <c r="O433" s="1174"/>
      <c r="P433" s="1174"/>
      <c r="Q433" s="1174"/>
      <c r="R433" s="1174"/>
      <c r="S433" s="1174"/>
    </row>
    <row r="434" spans="3:19" s="1171" customFormat="1" ht="20.100000000000001" customHeight="1">
      <c r="C434" s="1175"/>
      <c r="E434" s="1172"/>
      <c r="G434" s="1172"/>
      <c r="I434" s="1172"/>
      <c r="K434" s="1172"/>
      <c r="M434" s="1172"/>
      <c r="N434" s="1173"/>
      <c r="O434" s="1174"/>
      <c r="P434" s="1174"/>
      <c r="Q434" s="1174"/>
      <c r="R434" s="1174"/>
      <c r="S434" s="1174"/>
    </row>
    <row r="435" spans="3:19" s="1171" customFormat="1" ht="20.100000000000001" customHeight="1">
      <c r="C435" s="1175"/>
      <c r="E435" s="1172"/>
      <c r="G435" s="1172"/>
      <c r="I435" s="1172"/>
      <c r="K435" s="1172"/>
      <c r="M435" s="1172"/>
      <c r="N435" s="1173"/>
      <c r="O435" s="1174"/>
      <c r="P435" s="1174"/>
      <c r="Q435" s="1174"/>
      <c r="R435" s="1174"/>
      <c r="S435" s="1174"/>
    </row>
    <row r="436" spans="3:19" s="1171" customFormat="1" ht="20.100000000000001" customHeight="1">
      <c r="C436" s="1175"/>
      <c r="E436" s="1172"/>
      <c r="G436" s="1172"/>
      <c r="I436" s="1172"/>
      <c r="K436" s="1172"/>
      <c r="M436" s="1172"/>
      <c r="N436" s="1173"/>
      <c r="O436" s="1174"/>
      <c r="P436" s="1174"/>
      <c r="Q436" s="1174"/>
      <c r="R436" s="1174"/>
      <c r="S436" s="1174"/>
    </row>
    <row r="437" spans="3:19" s="1171" customFormat="1" ht="20.100000000000001" customHeight="1">
      <c r="C437" s="1175"/>
      <c r="E437" s="1172"/>
      <c r="G437" s="1172"/>
      <c r="I437" s="1172"/>
      <c r="K437" s="1172"/>
      <c r="M437" s="1172"/>
      <c r="N437" s="1173"/>
      <c r="O437" s="1174"/>
      <c r="P437" s="1174"/>
      <c r="Q437" s="1174"/>
      <c r="R437" s="1174"/>
      <c r="S437" s="1174"/>
    </row>
    <row r="438" spans="3:19" s="1171" customFormat="1" ht="20.100000000000001" customHeight="1">
      <c r="C438" s="1175"/>
      <c r="E438" s="1172"/>
      <c r="G438" s="1172"/>
      <c r="I438" s="1172"/>
      <c r="K438" s="1172"/>
      <c r="M438" s="1172"/>
      <c r="N438" s="1173"/>
      <c r="O438" s="1174"/>
      <c r="P438" s="1174"/>
      <c r="Q438" s="1174"/>
      <c r="R438" s="1174"/>
      <c r="S438" s="1174"/>
    </row>
    <row r="439" spans="3:19" s="1171" customFormat="1" ht="20.100000000000001" customHeight="1">
      <c r="C439" s="1175"/>
      <c r="E439" s="1172"/>
      <c r="G439" s="1172"/>
      <c r="I439" s="1172"/>
      <c r="K439" s="1172"/>
      <c r="M439" s="1172"/>
      <c r="N439" s="1173"/>
      <c r="O439" s="1174"/>
      <c r="P439" s="1174"/>
      <c r="Q439" s="1174"/>
      <c r="R439" s="1174"/>
      <c r="S439" s="1174"/>
    </row>
    <row r="440" spans="3:19" s="1171" customFormat="1" ht="20.100000000000001" customHeight="1">
      <c r="C440" s="1175"/>
      <c r="E440" s="1172"/>
      <c r="G440" s="1172"/>
      <c r="I440" s="1172"/>
      <c r="K440" s="1172"/>
      <c r="M440" s="1172"/>
      <c r="N440" s="1173"/>
      <c r="O440" s="1174"/>
      <c r="P440" s="1174"/>
      <c r="Q440" s="1174"/>
      <c r="R440" s="1174"/>
      <c r="S440" s="1174"/>
    </row>
    <row r="441" spans="3:19" s="1171" customFormat="1" ht="20.100000000000001" customHeight="1">
      <c r="C441" s="1175"/>
      <c r="E441" s="1172"/>
      <c r="G441" s="1172"/>
      <c r="I441" s="1172"/>
      <c r="K441" s="1172"/>
      <c r="M441" s="1172"/>
      <c r="N441" s="1173"/>
      <c r="O441" s="1174"/>
      <c r="P441" s="1174"/>
      <c r="Q441" s="1174"/>
      <c r="R441" s="1174"/>
      <c r="S441" s="1174"/>
    </row>
    <row r="442" spans="3:19" s="1171" customFormat="1" ht="20.100000000000001" customHeight="1">
      <c r="C442" s="1175"/>
      <c r="E442" s="1172"/>
      <c r="G442" s="1172"/>
      <c r="I442" s="1172"/>
      <c r="K442" s="1172"/>
      <c r="M442" s="1172"/>
      <c r="N442" s="1173"/>
      <c r="O442" s="1174"/>
      <c r="P442" s="1174"/>
      <c r="Q442" s="1174"/>
      <c r="R442" s="1174"/>
      <c r="S442" s="1174"/>
    </row>
    <row r="443" spans="3:19" s="1171" customFormat="1" ht="20.100000000000001" customHeight="1">
      <c r="C443" s="1175"/>
      <c r="E443" s="1172"/>
      <c r="G443" s="1172"/>
      <c r="I443" s="1172"/>
      <c r="K443" s="1172"/>
      <c r="M443" s="1172"/>
      <c r="N443" s="1173"/>
      <c r="O443" s="1174"/>
      <c r="P443" s="1174"/>
      <c r="Q443" s="1174"/>
      <c r="R443" s="1174"/>
      <c r="S443" s="1174"/>
    </row>
    <row r="444" spans="3:19" s="1171" customFormat="1" ht="20.100000000000001" customHeight="1">
      <c r="C444" s="1175"/>
      <c r="E444" s="1172"/>
      <c r="G444" s="1172"/>
      <c r="I444" s="1172"/>
      <c r="K444" s="1172"/>
      <c r="M444" s="1172"/>
      <c r="N444" s="1173"/>
      <c r="O444" s="1174"/>
      <c r="P444" s="1174"/>
      <c r="Q444" s="1174"/>
      <c r="R444" s="1174"/>
      <c r="S444" s="1174"/>
    </row>
    <row r="445" spans="3:19" s="1171" customFormat="1" ht="20.100000000000001" customHeight="1">
      <c r="C445" s="1175"/>
      <c r="E445" s="1172"/>
      <c r="G445" s="1172"/>
      <c r="I445" s="1172"/>
      <c r="K445" s="1172"/>
      <c r="M445" s="1172"/>
      <c r="N445" s="1173"/>
      <c r="O445" s="1174"/>
      <c r="P445" s="1174"/>
      <c r="Q445" s="1174"/>
      <c r="R445" s="1174"/>
      <c r="S445" s="1174"/>
    </row>
    <row r="446" spans="3:19" s="1171" customFormat="1" ht="20.100000000000001" customHeight="1">
      <c r="C446" s="1175"/>
      <c r="E446" s="1172"/>
      <c r="G446" s="1172"/>
      <c r="I446" s="1172"/>
      <c r="K446" s="1172"/>
      <c r="M446" s="1172"/>
      <c r="N446" s="1173"/>
      <c r="O446" s="1174"/>
      <c r="P446" s="1174"/>
      <c r="Q446" s="1174"/>
      <c r="R446" s="1174"/>
      <c r="S446" s="1174"/>
    </row>
    <row r="447" spans="3:19" s="1171" customFormat="1" ht="20.100000000000001" customHeight="1">
      <c r="C447" s="1175"/>
      <c r="E447" s="1172"/>
      <c r="G447" s="1172"/>
      <c r="I447" s="1172"/>
      <c r="K447" s="1172"/>
      <c r="M447" s="1172"/>
      <c r="N447" s="1173"/>
      <c r="O447" s="1174"/>
      <c r="P447" s="1174"/>
      <c r="Q447" s="1174"/>
      <c r="R447" s="1174"/>
      <c r="S447" s="1174"/>
    </row>
    <row r="448" spans="3:19" s="1171" customFormat="1" ht="20.100000000000001" customHeight="1">
      <c r="C448" s="1175"/>
      <c r="E448" s="1172"/>
      <c r="G448" s="1172"/>
      <c r="I448" s="1172"/>
      <c r="K448" s="1172"/>
      <c r="M448" s="1172"/>
      <c r="N448" s="1173"/>
      <c r="O448" s="1174"/>
      <c r="P448" s="1174"/>
      <c r="Q448" s="1174"/>
      <c r="R448" s="1174"/>
      <c r="S448" s="1174"/>
    </row>
    <row r="449" spans="3:19" s="1171" customFormat="1" ht="20.100000000000001" customHeight="1">
      <c r="C449" s="1175"/>
      <c r="E449" s="1172"/>
      <c r="G449" s="1172"/>
      <c r="I449" s="1172"/>
      <c r="K449" s="1172"/>
      <c r="M449" s="1172"/>
      <c r="N449" s="1173"/>
      <c r="O449" s="1174"/>
      <c r="P449" s="1174"/>
      <c r="Q449" s="1174"/>
      <c r="R449" s="1174"/>
      <c r="S449" s="1174"/>
    </row>
    <row r="450" spans="3:19" s="1171" customFormat="1" ht="20.100000000000001" customHeight="1">
      <c r="C450" s="1175"/>
      <c r="E450" s="1172"/>
      <c r="G450" s="1172"/>
      <c r="I450" s="1172"/>
      <c r="K450" s="1172"/>
      <c r="M450" s="1172"/>
      <c r="N450" s="1173"/>
      <c r="O450" s="1174"/>
      <c r="P450" s="1174"/>
      <c r="Q450" s="1174"/>
      <c r="R450" s="1174"/>
      <c r="S450" s="1174"/>
    </row>
    <row r="451" spans="3:19" s="1171" customFormat="1" ht="20.100000000000001" customHeight="1">
      <c r="C451" s="1175"/>
      <c r="E451" s="1172"/>
      <c r="G451" s="1172"/>
      <c r="I451" s="1172"/>
      <c r="K451" s="1172"/>
      <c r="M451" s="1172"/>
      <c r="N451" s="1173"/>
      <c r="O451" s="1174"/>
      <c r="P451" s="1174"/>
      <c r="Q451" s="1174"/>
      <c r="R451" s="1174"/>
      <c r="S451" s="1174"/>
    </row>
    <row r="452" spans="3:19" s="1171" customFormat="1" ht="20.100000000000001" customHeight="1">
      <c r="C452" s="1175"/>
      <c r="E452" s="1172"/>
      <c r="G452" s="1172"/>
      <c r="I452" s="1172"/>
      <c r="K452" s="1172"/>
      <c r="M452" s="1172"/>
      <c r="N452" s="1173"/>
      <c r="O452" s="1174"/>
      <c r="P452" s="1174"/>
      <c r="Q452" s="1174"/>
      <c r="R452" s="1174"/>
      <c r="S452" s="1174"/>
    </row>
    <row r="453" spans="3:19" s="1171" customFormat="1" ht="20.100000000000001" customHeight="1">
      <c r="C453" s="1175"/>
      <c r="E453" s="1172"/>
      <c r="G453" s="1172"/>
      <c r="I453" s="1172"/>
      <c r="K453" s="1172"/>
      <c r="M453" s="1172"/>
      <c r="N453" s="1173"/>
      <c r="O453" s="1174"/>
      <c r="P453" s="1174"/>
      <c r="Q453" s="1174"/>
      <c r="R453" s="1174"/>
      <c r="S453" s="1174"/>
    </row>
    <row r="454" spans="3:19" s="1171" customFormat="1" ht="20.100000000000001" customHeight="1">
      <c r="C454" s="1175"/>
      <c r="E454" s="1172"/>
      <c r="G454" s="1172"/>
      <c r="I454" s="1172"/>
      <c r="K454" s="1172"/>
      <c r="M454" s="1172"/>
      <c r="N454" s="1173"/>
      <c r="O454" s="1174"/>
      <c r="P454" s="1174"/>
      <c r="Q454" s="1174"/>
      <c r="R454" s="1174"/>
      <c r="S454" s="1174"/>
    </row>
    <row r="455" spans="3:19" s="1171" customFormat="1" ht="20.100000000000001" customHeight="1">
      <c r="C455" s="1175"/>
      <c r="E455" s="1172"/>
      <c r="G455" s="1172"/>
      <c r="I455" s="1172"/>
      <c r="K455" s="1172"/>
      <c r="M455" s="1172"/>
      <c r="N455" s="1173"/>
      <c r="O455" s="1174"/>
      <c r="P455" s="1174"/>
      <c r="Q455" s="1174"/>
      <c r="R455" s="1174"/>
      <c r="S455" s="1174"/>
    </row>
    <row r="456" spans="3:19" s="1171" customFormat="1" ht="20.100000000000001" customHeight="1">
      <c r="C456" s="1175"/>
      <c r="E456" s="1172"/>
      <c r="G456" s="1172"/>
      <c r="I456" s="1172"/>
      <c r="K456" s="1172"/>
      <c r="M456" s="1172"/>
      <c r="N456" s="1173"/>
      <c r="O456" s="1174"/>
      <c r="P456" s="1174"/>
      <c r="Q456" s="1174"/>
      <c r="R456" s="1174"/>
      <c r="S456" s="1174"/>
    </row>
    <row r="457" spans="3:19" s="1171" customFormat="1" ht="20.100000000000001" customHeight="1">
      <c r="C457" s="1175"/>
      <c r="E457" s="1172"/>
      <c r="G457" s="1172"/>
      <c r="I457" s="1172"/>
      <c r="K457" s="1172"/>
      <c r="M457" s="1172"/>
      <c r="N457" s="1173"/>
      <c r="O457" s="1174"/>
      <c r="P457" s="1174"/>
      <c r="Q457" s="1174"/>
      <c r="R457" s="1174"/>
      <c r="S457" s="1174"/>
    </row>
    <row r="458" spans="3:19" s="1171" customFormat="1" ht="20.100000000000001" customHeight="1">
      <c r="C458" s="1175"/>
      <c r="E458" s="1172"/>
      <c r="G458" s="1172"/>
      <c r="I458" s="1172"/>
      <c r="K458" s="1172"/>
      <c r="M458" s="1172"/>
      <c r="N458" s="1173"/>
      <c r="O458" s="1174"/>
      <c r="P458" s="1174"/>
      <c r="Q458" s="1174"/>
      <c r="R458" s="1174"/>
      <c r="S458" s="1174"/>
    </row>
    <row r="459" spans="3:19" s="1171" customFormat="1" ht="20.100000000000001" customHeight="1">
      <c r="C459" s="1175"/>
      <c r="E459" s="1172"/>
      <c r="G459" s="1172"/>
      <c r="I459" s="1172"/>
      <c r="K459" s="1172"/>
      <c r="M459" s="1172"/>
      <c r="N459" s="1173"/>
      <c r="O459" s="1174"/>
      <c r="P459" s="1174"/>
      <c r="Q459" s="1174"/>
      <c r="R459" s="1174"/>
      <c r="S459" s="1174"/>
    </row>
    <row r="460" spans="3:19" s="1171" customFormat="1" ht="20.100000000000001" customHeight="1">
      <c r="C460" s="1175"/>
      <c r="E460" s="1172"/>
      <c r="G460" s="1172"/>
      <c r="I460" s="1172"/>
      <c r="K460" s="1172"/>
      <c r="M460" s="1172"/>
      <c r="N460" s="1173"/>
      <c r="O460" s="1174"/>
      <c r="P460" s="1174"/>
      <c r="Q460" s="1174"/>
      <c r="R460" s="1174"/>
      <c r="S460" s="1174"/>
    </row>
    <row r="461" spans="3:19" s="1171" customFormat="1" ht="20.100000000000001" customHeight="1">
      <c r="C461" s="1175"/>
      <c r="E461" s="1172"/>
      <c r="G461" s="1172"/>
      <c r="I461" s="1172"/>
      <c r="K461" s="1172"/>
      <c r="M461" s="1172"/>
      <c r="N461" s="1173"/>
      <c r="O461" s="1174"/>
      <c r="P461" s="1174"/>
      <c r="Q461" s="1174"/>
      <c r="R461" s="1174"/>
      <c r="S461" s="1174"/>
    </row>
    <row r="462" spans="3:19" s="1171" customFormat="1" ht="20.100000000000001" customHeight="1">
      <c r="C462" s="1175"/>
      <c r="E462" s="1172"/>
      <c r="G462" s="1172"/>
      <c r="I462" s="1172"/>
      <c r="K462" s="1172"/>
      <c r="M462" s="1172"/>
      <c r="N462" s="1173"/>
      <c r="O462" s="1174"/>
      <c r="P462" s="1174"/>
      <c r="Q462" s="1174"/>
      <c r="R462" s="1174"/>
      <c r="S462" s="1174"/>
    </row>
    <row r="463" spans="3:19" s="1171" customFormat="1" ht="20.100000000000001" customHeight="1">
      <c r="C463" s="1175"/>
      <c r="E463" s="1172"/>
      <c r="G463" s="1172"/>
      <c r="I463" s="1172"/>
      <c r="K463" s="1172"/>
      <c r="M463" s="1172"/>
      <c r="N463" s="1173"/>
      <c r="O463" s="1174"/>
      <c r="P463" s="1174"/>
      <c r="Q463" s="1174"/>
      <c r="R463" s="1174"/>
      <c r="S463" s="1174"/>
    </row>
    <row r="464" spans="3:19" s="1171" customFormat="1" ht="20.100000000000001" customHeight="1">
      <c r="C464" s="1175"/>
      <c r="E464" s="1172"/>
      <c r="G464" s="1172"/>
      <c r="I464" s="1172"/>
      <c r="K464" s="1172"/>
      <c r="M464" s="1172"/>
      <c r="N464" s="1173"/>
      <c r="O464" s="1174"/>
      <c r="P464" s="1174"/>
      <c r="Q464" s="1174"/>
      <c r="R464" s="1174"/>
      <c r="S464" s="1174"/>
    </row>
    <row r="465" spans="3:19" s="1171" customFormat="1" ht="20.100000000000001" customHeight="1">
      <c r="C465" s="1175"/>
      <c r="E465" s="1172"/>
      <c r="G465" s="1172"/>
      <c r="I465" s="1172"/>
      <c r="K465" s="1172"/>
      <c r="M465" s="1172"/>
      <c r="N465" s="1173"/>
      <c r="O465" s="1174"/>
      <c r="P465" s="1174"/>
      <c r="Q465" s="1174"/>
      <c r="R465" s="1174"/>
      <c r="S465" s="1174"/>
    </row>
    <row r="466" spans="3:19" s="1171" customFormat="1" ht="20.100000000000001" customHeight="1">
      <c r="C466" s="1175"/>
      <c r="E466" s="1172"/>
      <c r="G466" s="1172"/>
      <c r="I466" s="1172"/>
      <c r="K466" s="1172"/>
      <c r="M466" s="1172"/>
      <c r="N466" s="1173"/>
      <c r="O466" s="1174"/>
      <c r="P466" s="1174"/>
      <c r="Q466" s="1174"/>
      <c r="R466" s="1174"/>
      <c r="S466" s="1174"/>
    </row>
    <row r="467" spans="3:19" s="1171" customFormat="1" ht="20.100000000000001" customHeight="1">
      <c r="C467" s="1175"/>
      <c r="E467" s="1172"/>
      <c r="G467" s="1172"/>
      <c r="I467" s="1172"/>
      <c r="K467" s="1172"/>
      <c r="M467" s="1172"/>
      <c r="N467" s="1173"/>
      <c r="O467" s="1174"/>
      <c r="P467" s="1174"/>
      <c r="Q467" s="1174"/>
      <c r="R467" s="1174"/>
      <c r="S467" s="1174"/>
    </row>
    <row r="468" spans="3:19" s="1171" customFormat="1" ht="20.100000000000001" customHeight="1">
      <c r="C468" s="1175"/>
      <c r="E468" s="1172"/>
      <c r="G468" s="1172"/>
      <c r="I468" s="1172"/>
      <c r="K468" s="1172"/>
      <c r="M468" s="1172"/>
      <c r="N468" s="1173"/>
      <c r="O468" s="1174"/>
      <c r="P468" s="1174"/>
      <c r="Q468" s="1174"/>
      <c r="R468" s="1174"/>
      <c r="S468" s="1174"/>
    </row>
    <row r="469" spans="3:19" s="1171" customFormat="1" ht="20.100000000000001" customHeight="1">
      <c r="C469" s="1175"/>
      <c r="E469" s="1172"/>
      <c r="G469" s="1172"/>
      <c r="I469" s="1172"/>
      <c r="K469" s="1172"/>
      <c r="M469" s="1172"/>
      <c r="N469" s="1173"/>
      <c r="O469" s="1174"/>
      <c r="P469" s="1174"/>
      <c r="Q469" s="1174"/>
      <c r="R469" s="1174"/>
      <c r="S469" s="1174"/>
    </row>
    <row r="470" spans="3:19" s="1171" customFormat="1" ht="20.100000000000001" customHeight="1">
      <c r="C470" s="1175"/>
      <c r="E470" s="1172"/>
      <c r="G470" s="1172"/>
      <c r="I470" s="1172"/>
      <c r="K470" s="1172"/>
      <c r="M470" s="1172"/>
      <c r="N470" s="1173"/>
      <c r="O470" s="1174"/>
      <c r="P470" s="1174"/>
      <c r="Q470" s="1174"/>
      <c r="R470" s="1174"/>
      <c r="S470" s="1174"/>
    </row>
    <row r="471" spans="3:19" s="1171" customFormat="1" ht="20.100000000000001" customHeight="1">
      <c r="C471" s="1175"/>
      <c r="E471" s="1172"/>
      <c r="G471" s="1172"/>
      <c r="I471" s="1172"/>
      <c r="K471" s="1172"/>
      <c r="M471" s="1172"/>
      <c r="N471" s="1173"/>
      <c r="O471" s="1174"/>
      <c r="P471" s="1174"/>
      <c r="Q471" s="1174"/>
      <c r="R471" s="1174"/>
      <c r="S471" s="1174"/>
    </row>
    <row r="472" spans="3:19" s="1171" customFormat="1" ht="20.100000000000001" customHeight="1">
      <c r="C472" s="1175"/>
      <c r="E472" s="1172"/>
      <c r="G472" s="1172"/>
      <c r="I472" s="1172"/>
      <c r="K472" s="1172"/>
      <c r="M472" s="1172"/>
      <c r="N472" s="1173"/>
      <c r="O472" s="1174"/>
      <c r="P472" s="1174"/>
      <c r="Q472" s="1174"/>
      <c r="R472" s="1174"/>
      <c r="S472" s="1174"/>
    </row>
    <row r="473" spans="3:19" s="1171" customFormat="1" ht="20.100000000000001" customHeight="1">
      <c r="C473" s="1175"/>
      <c r="E473" s="1172"/>
      <c r="G473" s="1172"/>
      <c r="I473" s="1172"/>
      <c r="K473" s="1172"/>
      <c r="M473" s="1172"/>
      <c r="N473" s="1173"/>
      <c r="O473" s="1174"/>
      <c r="P473" s="1174"/>
      <c r="Q473" s="1174"/>
      <c r="R473" s="1174"/>
      <c r="S473" s="1174"/>
    </row>
    <row r="474" spans="3:19" s="1171" customFormat="1" ht="20.100000000000001" customHeight="1">
      <c r="C474" s="1175"/>
      <c r="E474" s="1172"/>
      <c r="G474" s="1172"/>
      <c r="I474" s="1172"/>
      <c r="K474" s="1172"/>
      <c r="M474" s="1172"/>
      <c r="N474" s="1173"/>
      <c r="O474" s="1174"/>
      <c r="P474" s="1174"/>
      <c r="Q474" s="1174"/>
      <c r="R474" s="1174"/>
      <c r="S474" s="1174"/>
    </row>
    <row r="475" spans="3:19" s="1171" customFormat="1" ht="20.100000000000001" customHeight="1">
      <c r="C475" s="1175"/>
      <c r="E475" s="1172"/>
      <c r="G475" s="1172"/>
      <c r="I475" s="1172"/>
      <c r="K475" s="1172"/>
      <c r="M475" s="1172"/>
      <c r="N475" s="1173"/>
      <c r="O475" s="1174"/>
      <c r="P475" s="1174"/>
      <c r="Q475" s="1174"/>
      <c r="R475" s="1174"/>
      <c r="S475" s="1174"/>
    </row>
    <row r="476" spans="3:19" s="1171" customFormat="1" ht="20.100000000000001" customHeight="1">
      <c r="C476" s="1175"/>
      <c r="E476" s="1172"/>
      <c r="G476" s="1172"/>
      <c r="I476" s="1172"/>
      <c r="K476" s="1172"/>
      <c r="M476" s="1172"/>
      <c r="N476" s="1173"/>
      <c r="O476" s="1174"/>
      <c r="P476" s="1174"/>
      <c r="Q476" s="1174"/>
      <c r="R476" s="1174"/>
      <c r="S476" s="1174"/>
    </row>
    <row r="477" spans="3:19" s="1171" customFormat="1" ht="20.100000000000001" customHeight="1">
      <c r="C477" s="1175"/>
      <c r="E477" s="1172"/>
      <c r="G477" s="1172"/>
      <c r="I477" s="1172"/>
      <c r="K477" s="1172"/>
      <c r="M477" s="1172"/>
      <c r="N477" s="1173"/>
      <c r="O477" s="1174"/>
      <c r="P477" s="1174"/>
      <c r="Q477" s="1174"/>
      <c r="R477" s="1174"/>
      <c r="S477" s="1174"/>
    </row>
    <row r="478" spans="3:19" s="1171" customFormat="1" ht="20.100000000000001" customHeight="1">
      <c r="C478" s="1175"/>
      <c r="E478" s="1172"/>
      <c r="G478" s="1172"/>
      <c r="I478" s="1172"/>
      <c r="K478" s="1172"/>
      <c r="M478" s="1172"/>
      <c r="N478" s="1173"/>
      <c r="O478" s="1174"/>
      <c r="P478" s="1174"/>
      <c r="Q478" s="1174"/>
      <c r="R478" s="1174"/>
      <c r="S478" s="1174"/>
    </row>
    <row r="479" spans="3:19" s="1171" customFormat="1" ht="20.100000000000001" customHeight="1">
      <c r="C479" s="1175"/>
      <c r="E479" s="1172"/>
      <c r="G479" s="1172"/>
      <c r="I479" s="1172"/>
      <c r="K479" s="1172"/>
      <c r="M479" s="1172"/>
      <c r="N479" s="1173"/>
      <c r="O479" s="1174"/>
      <c r="P479" s="1174"/>
      <c r="Q479" s="1174"/>
      <c r="R479" s="1174"/>
      <c r="S479" s="1174"/>
    </row>
    <row r="480" spans="3:19" s="1171" customFormat="1" ht="20.100000000000001" customHeight="1">
      <c r="C480" s="1175"/>
      <c r="E480" s="1172"/>
      <c r="G480" s="1172"/>
      <c r="I480" s="1172"/>
      <c r="K480" s="1172"/>
      <c r="M480" s="1172"/>
      <c r="N480" s="1173"/>
      <c r="O480" s="1174"/>
      <c r="P480" s="1174"/>
      <c r="Q480" s="1174"/>
      <c r="R480" s="1174"/>
      <c r="S480" s="1174"/>
    </row>
    <row r="481" spans="3:19" s="1171" customFormat="1" ht="20.100000000000001" customHeight="1">
      <c r="C481" s="1175"/>
      <c r="E481" s="1172"/>
      <c r="G481" s="1172"/>
      <c r="I481" s="1172"/>
      <c r="K481" s="1172"/>
      <c r="M481" s="1172"/>
      <c r="N481" s="1173"/>
      <c r="O481" s="1174"/>
      <c r="P481" s="1174"/>
      <c r="Q481" s="1174"/>
      <c r="R481" s="1174"/>
      <c r="S481" s="1174"/>
    </row>
    <row r="482" spans="3:19" s="1171" customFormat="1" ht="20.100000000000001" customHeight="1">
      <c r="C482" s="1175"/>
      <c r="E482" s="1172"/>
      <c r="G482" s="1172"/>
      <c r="I482" s="1172"/>
      <c r="K482" s="1172"/>
      <c r="M482" s="1172"/>
      <c r="N482" s="1173"/>
      <c r="O482" s="1174"/>
      <c r="P482" s="1174"/>
      <c r="Q482" s="1174"/>
      <c r="R482" s="1174"/>
      <c r="S482" s="1174"/>
    </row>
    <row r="483" spans="3:19" s="1171" customFormat="1" ht="20.100000000000001" customHeight="1">
      <c r="C483" s="1175"/>
      <c r="E483" s="1172"/>
      <c r="G483" s="1172"/>
      <c r="I483" s="1172"/>
      <c r="K483" s="1172"/>
      <c r="M483" s="1172"/>
      <c r="N483" s="1173"/>
      <c r="O483" s="1174"/>
      <c r="P483" s="1174"/>
      <c r="Q483" s="1174"/>
      <c r="R483" s="1174"/>
      <c r="S483" s="1174"/>
    </row>
    <row r="484" spans="3:19" s="1171" customFormat="1" ht="20.100000000000001" customHeight="1">
      <c r="C484" s="1175"/>
      <c r="E484" s="1172"/>
      <c r="G484" s="1172"/>
      <c r="I484" s="1172"/>
      <c r="K484" s="1172"/>
      <c r="M484" s="1172"/>
      <c r="N484" s="1173"/>
      <c r="O484" s="1174"/>
      <c r="P484" s="1174"/>
      <c r="Q484" s="1174"/>
      <c r="R484" s="1174"/>
      <c r="S484" s="1174"/>
    </row>
    <row r="485" spans="3:19" s="1171" customFormat="1" ht="20.100000000000001" customHeight="1">
      <c r="C485" s="1175"/>
      <c r="E485" s="1172"/>
      <c r="G485" s="1172"/>
      <c r="I485" s="1172"/>
      <c r="K485" s="1172"/>
      <c r="M485" s="1172"/>
      <c r="N485" s="1173"/>
      <c r="O485" s="1174"/>
      <c r="P485" s="1174"/>
      <c r="Q485" s="1174"/>
      <c r="R485" s="1174"/>
      <c r="S485" s="1174"/>
    </row>
    <row r="486" spans="3:19" s="1171" customFormat="1" ht="20.100000000000001" customHeight="1">
      <c r="C486" s="1175"/>
      <c r="E486" s="1172"/>
      <c r="G486" s="1172"/>
      <c r="I486" s="1172"/>
      <c r="K486" s="1172"/>
      <c r="M486" s="1172"/>
      <c r="N486" s="1173"/>
      <c r="O486" s="1174"/>
      <c r="P486" s="1174"/>
      <c r="Q486" s="1174"/>
      <c r="R486" s="1174"/>
      <c r="S486" s="1174"/>
    </row>
    <row r="487" spans="3:19" s="1171" customFormat="1" ht="20.100000000000001" customHeight="1">
      <c r="C487" s="1175"/>
      <c r="E487" s="1172"/>
      <c r="G487" s="1172"/>
      <c r="I487" s="1172"/>
      <c r="K487" s="1172"/>
      <c r="M487" s="1172"/>
      <c r="N487" s="1173"/>
      <c r="O487" s="1174"/>
      <c r="P487" s="1174"/>
      <c r="Q487" s="1174"/>
      <c r="R487" s="1174"/>
      <c r="S487" s="1174"/>
    </row>
    <row r="488" spans="3:19" s="1171" customFormat="1" ht="20.100000000000001" customHeight="1">
      <c r="C488" s="1175"/>
      <c r="E488" s="1172"/>
      <c r="G488" s="1172"/>
      <c r="I488" s="1172"/>
      <c r="K488" s="1172"/>
      <c r="M488" s="1172"/>
      <c r="N488" s="1173"/>
      <c r="O488" s="1174"/>
      <c r="P488" s="1174"/>
      <c r="Q488" s="1174"/>
      <c r="R488" s="1174"/>
      <c r="S488" s="1174"/>
    </row>
    <row r="489" spans="3:19" s="1171" customFormat="1" ht="20.100000000000001" customHeight="1">
      <c r="C489" s="1175"/>
      <c r="E489" s="1172"/>
      <c r="G489" s="1172"/>
      <c r="I489" s="1172"/>
      <c r="K489" s="1172"/>
      <c r="M489" s="1172"/>
      <c r="N489" s="1173"/>
      <c r="O489" s="1174"/>
      <c r="P489" s="1174"/>
      <c r="Q489" s="1174"/>
      <c r="R489" s="1174"/>
      <c r="S489" s="1174"/>
    </row>
    <row r="490" spans="3:19" s="1171" customFormat="1" ht="20.100000000000001" customHeight="1">
      <c r="C490" s="1175"/>
      <c r="E490" s="1172"/>
      <c r="G490" s="1172"/>
      <c r="I490" s="1172"/>
      <c r="K490" s="1172"/>
      <c r="M490" s="1172"/>
      <c r="N490" s="1173"/>
      <c r="O490" s="1174"/>
      <c r="P490" s="1174"/>
      <c r="Q490" s="1174"/>
      <c r="R490" s="1174"/>
      <c r="S490" s="1174"/>
    </row>
    <row r="491" spans="3:19" s="1171" customFormat="1" ht="20.100000000000001" customHeight="1">
      <c r="C491" s="1175"/>
      <c r="E491" s="1172"/>
      <c r="G491" s="1172"/>
      <c r="I491" s="1172"/>
      <c r="K491" s="1172"/>
      <c r="M491" s="1172"/>
      <c r="N491" s="1173"/>
      <c r="O491" s="1174"/>
      <c r="P491" s="1174"/>
      <c r="Q491" s="1174"/>
      <c r="R491" s="1174"/>
      <c r="S491" s="1174"/>
    </row>
    <row r="492" spans="3:19" s="1171" customFormat="1" ht="20.100000000000001" customHeight="1">
      <c r="C492" s="1175"/>
      <c r="E492" s="1172"/>
      <c r="G492" s="1172"/>
      <c r="I492" s="1172"/>
      <c r="K492" s="1172"/>
      <c r="M492" s="1172"/>
      <c r="N492" s="1173"/>
      <c r="O492" s="1174"/>
      <c r="P492" s="1174"/>
      <c r="Q492" s="1174"/>
      <c r="R492" s="1174"/>
      <c r="S492" s="1174"/>
    </row>
    <row r="493" spans="3:19" s="1171" customFormat="1" ht="20.100000000000001" customHeight="1">
      <c r="C493" s="1175"/>
      <c r="E493" s="1172"/>
      <c r="G493" s="1172"/>
      <c r="I493" s="1172"/>
      <c r="K493" s="1172"/>
      <c r="M493" s="1172"/>
      <c r="N493" s="1173"/>
      <c r="O493" s="1174"/>
      <c r="P493" s="1174"/>
      <c r="Q493" s="1174"/>
      <c r="R493" s="1174"/>
      <c r="S493" s="1174"/>
    </row>
    <row r="494" spans="3:19" s="1171" customFormat="1" ht="20.100000000000001" customHeight="1">
      <c r="C494" s="1175"/>
      <c r="E494" s="1172"/>
      <c r="G494" s="1172"/>
      <c r="I494" s="1172"/>
      <c r="K494" s="1172"/>
      <c r="M494" s="1172"/>
      <c r="N494" s="1173"/>
      <c r="O494" s="1174"/>
      <c r="P494" s="1174"/>
      <c r="Q494" s="1174"/>
      <c r="R494" s="1174"/>
      <c r="S494" s="1174"/>
    </row>
    <row r="495" spans="3:19" s="1171" customFormat="1" ht="20.100000000000001" customHeight="1">
      <c r="C495" s="1175"/>
      <c r="E495" s="1172"/>
      <c r="G495" s="1172"/>
      <c r="I495" s="1172"/>
      <c r="K495" s="1172"/>
      <c r="M495" s="1172"/>
      <c r="N495" s="1173"/>
      <c r="O495" s="1174"/>
      <c r="P495" s="1174"/>
      <c r="Q495" s="1174"/>
      <c r="R495" s="1174"/>
      <c r="S495" s="1174"/>
    </row>
    <row r="496" spans="3:19" s="1171" customFormat="1" ht="20.100000000000001" customHeight="1">
      <c r="C496" s="1175"/>
      <c r="E496" s="1172"/>
      <c r="G496" s="1172"/>
      <c r="I496" s="1172"/>
      <c r="K496" s="1172"/>
      <c r="M496" s="1172"/>
      <c r="N496" s="1173"/>
      <c r="O496" s="1174"/>
      <c r="P496" s="1174"/>
      <c r="Q496" s="1174"/>
      <c r="R496" s="1174"/>
      <c r="S496" s="1174"/>
    </row>
    <row r="497" spans="3:19" s="1171" customFormat="1" ht="20.100000000000001" customHeight="1">
      <c r="C497" s="1175"/>
      <c r="E497" s="1172"/>
      <c r="G497" s="1172"/>
      <c r="I497" s="1172"/>
      <c r="K497" s="1172"/>
      <c r="M497" s="1172"/>
      <c r="N497" s="1173"/>
      <c r="O497" s="1174"/>
      <c r="P497" s="1174"/>
      <c r="Q497" s="1174"/>
      <c r="R497" s="1174"/>
      <c r="S497" s="1174"/>
    </row>
    <row r="498" spans="3:19" s="1171" customFormat="1" ht="20.100000000000001" customHeight="1">
      <c r="C498" s="1175"/>
      <c r="E498" s="1172"/>
      <c r="G498" s="1172"/>
      <c r="I498" s="1172"/>
      <c r="K498" s="1172"/>
      <c r="M498" s="1172"/>
      <c r="N498" s="1173"/>
      <c r="O498" s="1174"/>
      <c r="P498" s="1174"/>
      <c r="Q498" s="1174"/>
      <c r="R498" s="1174"/>
      <c r="S498" s="1174"/>
    </row>
    <row r="499" spans="3:19" s="1171" customFormat="1" ht="20.100000000000001" customHeight="1">
      <c r="C499" s="1175"/>
      <c r="E499" s="1172"/>
      <c r="G499" s="1172"/>
      <c r="I499" s="1172"/>
      <c r="K499" s="1172"/>
      <c r="M499" s="1172"/>
      <c r="N499" s="1173"/>
      <c r="O499" s="1174"/>
      <c r="P499" s="1174"/>
      <c r="Q499" s="1174"/>
      <c r="R499" s="1174"/>
      <c r="S499" s="1174"/>
    </row>
    <row r="500" spans="3:19" s="1171" customFormat="1" ht="20.100000000000001" customHeight="1">
      <c r="C500" s="1175"/>
      <c r="E500" s="1172"/>
      <c r="G500" s="1172"/>
      <c r="I500" s="1172"/>
      <c r="K500" s="1172"/>
      <c r="M500" s="1172"/>
      <c r="N500" s="1173"/>
      <c r="O500" s="1174"/>
      <c r="P500" s="1174"/>
      <c r="Q500" s="1174"/>
      <c r="R500" s="1174"/>
      <c r="S500" s="1174"/>
    </row>
    <row r="501" spans="3:19" s="1171" customFormat="1" ht="20.100000000000001" customHeight="1">
      <c r="C501" s="1175"/>
      <c r="E501" s="1172"/>
      <c r="G501" s="1172"/>
      <c r="I501" s="1172"/>
      <c r="K501" s="1172"/>
      <c r="M501" s="1172"/>
      <c r="N501" s="1173"/>
      <c r="O501" s="1174"/>
      <c r="P501" s="1174"/>
      <c r="Q501" s="1174"/>
      <c r="R501" s="1174"/>
      <c r="S501" s="1174"/>
    </row>
    <row r="502" spans="3:19" s="1171" customFormat="1" ht="20.100000000000001" customHeight="1">
      <c r="C502" s="1175"/>
      <c r="E502" s="1172"/>
      <c r="G502" s="1172"/>
      <c r="I502" s="1172"/>
      <c r="K502" s="1172"/>
      <c r="M502" s="1172"/>
      <c r="N502" s="1173"/>
      <c r="O502" s="1174"/>
      <c r="P502" s="1174"/>
      <c r="Q502" s="1174"/>
      <c r="R502" s="1174"/>
      <c r="S502" s="1174"/>
    </row>
    <row r="503" spans="3:19" s="1171" customFormat="1" ht="20.100000000000001" customHeight="1">
      <c r="C503" s="1175"/>
      <c r="E503" s="1172"/>
      <c r="G503" s="1172"/>
      <c r="I503" s="1172"/>
      <c r="K503" s="1172"/>
      <c r="M503" s="1172"/>
      <c r="N503" s="1173"/>
      <c r="O503" s="1174"/>
      <c r="P503" s="1174"/>
      <c r="Q503" s="1174"/>
      <c r="R503" s="1174"/>
      <c r="S503" s="1174"/>
    </row>
    <row r="504" spans="3:19" s="1171" customFormat="1" ht="20.100000000000001" customHeight="1">
      <c r="C504" s="1175"/>
      <c r="E504" s="1172"/>
      <c r="G504" s="1172"/>
      <c r="I504" s="1172"/>
      <c r="K504" s="1172"/>
      <c r="M504" s="1172"/>
      <c r="N504" s="1173"/>
      <c r="O504" s="1174"/>
      <c r="P504" s="1174"/>
      <c r="Q504" s="1174"/>
      <c r="R504" s="1174"/>
      <c r="S504" s="1174"/>
    </row>
    <row r="505" spans="3:19" s="1171" customFormat="1" ht="20.100000000000001" customHeight="1">
      <c r="C505" s="1175"/>
      <c r="E505" s="1172"/>
      <c r="G505" s="1172"/>
      <c r="I505" s="1172"/>
      <c r="K505" s="1172"/>
      <c r="M505" s="1172"/>
      <c r="N505" s="1173"/>
      <c r="O505" s="1174"/>
      <c r="P505" s="1174"/>
      <c r="Q505" s="1174"/>
      <c r="R505" s="1174"/>
      <c r="S505" s="1174"/>
    </row>
    <row r="506" spans="3:19" s="1171" customFormat="1" ht="20.100000000000001" customHeight="1">
      <c r="C506" s="1175"/>
      <c r="E506" s="1172"/>
      <c r="G506" s="1172"/>
      <c r="I506" s="1172"/>
      <c r="K506" s="1172"/>
      <c r="M506" s="1172"/>
      <c r="N506" s="1173"/>
      <c r="O506" s="1174"/>
      <c r="P506" s="1174"/>
      <c r="Q506" s="1174"/>
      <c r="R506" s="1174"/>
      <c r="S506" s="1174"/>
    </row>
    <row r="507" spans="3:19" s="1171" customFormat="1" ht="20.100000000000001" customHeight="1">
      <c r="C507" s="1175"/>
      <c r="E507" s="1172"/>
      <c r="G507" s="1172"/>
      <c r="I507" s="1172"/>
      <c r="K507" s="1172"/>
      <c r="M507" s="1172"/>
      <c r="N507" s="1173"/>
      <c r="O507" s="1174"/>
      <c r="P507" s="1174"/>
      <c r="Q507" s="1174"/>
      <c r="R507" s="1174"/>
      <c r="S507" s="1174"/>
    </row>
    <row r="508" spans="3:19" s="1171" customFormat="1" ht="20.100000000000001" customHeight="1">
      <c r="C508" s="1175"/>
      <c r="E508" s="1172"/>
      <c r="G508" s="1172"/>
      <c r="I508" s="1172"/>
      <c r="K508" s="1172"/>
      <c r="M508" s="1172"/>
      <c r="N508" s="1173"/>
      <c r="O508" s="1174"/>
      <c r="P508" s="1174"/>
      <c r="Q508" s="1174"/>
      <c r="R508" s="1174"/>
      <c r="S508" s="1174"/>
    </row>
    <row r="509" spans="3:19" s="1171" customFormat="1" ht="20.100000000000001" customHeight="1">
      <c r="C509" s="1175"/>
      <c r="E509" s="1172"/>
      <c r="G509" s="1172"/>
      <c r="I509" s="1172"/>
      <c r="K509" s="1172"/>
      <c r="M509" s="1172"/>
      <c r="N509" s="1173"/>
      <c r="O509" s="1174"/>
      <c r="P509" s="1174"/>
      <c r="Q509" s="1174"/>
      <c r="R509" s="1174"/>
      <c r="S509" s="1174"/>
    </row>
    <row r="510" spans="3:19" s="1171" customFormat="1" ht="20.100000000000001" customHeight="1">
      <c r="C510" s="1175"/>
      <c r="E510" s="1172"/>
      <c r="G510" s="1172"/>
      <c r="I510" s="1172"/>
      <c r="K510" s="1172"/>
      <c r="M510" s="1172"/>
      <c r="N510" s="1173"/>
      <c r="O510" s="1174"/>
      <c r="P510" s="1174"/>
      <c r="Q510" s="1174"/>
      <c r="R510" s="1174"/>
      <c r="S510" s="1174"/>
    </row>
    <row r="511" spans="3:19" s="1171" customFormat="1" ht="20.100000000000001" customHeight="1">
      <c r="C511" s="1175"/>
      <c r="E511" s="1172"/>
      <c r="G511" s="1172"/>
      <c r="I511" s="1172"/>
      <c r="K511" s="1172"/>
      <c r="M511" s="1172"/>
      <c r="N511" s="1173"/>
      <c r="O511" s="1174"/>
      <c r="P511" s="1174"/>
      <c r="Q511" s="1174"/>
      <c r="R511" s="1174"/>
      <c r="S511" s="1174"/>
    </row>
    <row r="512" spans="3:19" s="1171" customFormat="1" ht="20.100000000000001" customHeight="1">
      <c r="C512" s="1175"/>
      <c r="E512" s="1172"/>
      <c r="G512" s="1172"/>
      <c r="I512" s="1172"/>
      <c r="K512" s="1172"/>
      <c r="M512" s="1172"/>
      <c r="N512" s="1173"/>
      <c r="O512" s="1174"/>
      <c r="P512" s="1174"/>
      <c r="Q512" s="1174"/>
      <c r="R512" s="1174"/>
      <c r="S512" s="1174"/>
    </row>
    <row r="513" spans="3:19" s="1171" customFormat="1" ht="20.100000000000001" customHeight="1">
      <c r="C513" s="1175"/>
      <c r="E513" s="1172"/>
      <c r="G513" s="1172"/>
      <c r="I513" s="1172"/>
      <c r="K513" s="1172"/>
      <c r="M513" s="1172"/>
      <c r="N513" s="1173"/>
      <c r="O513" s="1174"/>
      <c r="P513" s="1174"/>
      <c r="Q513" s="1174"/>
      <c r="R513" s="1174"/>
      <c r="S513" s="1174"/>
    </row>
    <row r="514" spans="3:19" s="1171" customFormat="1" ht="20.100000000000001" customHeight="1">
      <c r="C514" s="1175"/>
      <c r="E514" s="1172"/>
      <c r="G514" s="1172"/>
      <c r="I514" s="1172"/>
      <c r="K514" s="1172"/>
      <c r="M514" s="1172"/>
      <c r="N514" s="1173"/>
      <c r="O514" s="1174"/>
      <c r="P514" s="1174"/>
      <c r="Q514" s="1174"/>
      <c r="R514" s="1174"/>
      <c r="S514" s="1174"/>
    </row>
    <row r="515" spans="3:19" s="1171" customFormat="1" ht="20.100000000000001" customHeight="1">
      <c r="C515" s="1175"/>
      <c r="E515" s="1172"/>
      <c r="G515" s="1172"/>
      <c r="I515" s="1172"/>
      <c r="K515" s="1172"/>
      <c r="M515" s="1172"/>
      <c r="N515" s="1173"/>
      <c r="O515" s="1174"/>
      <c r="P515" s="1174"/>
      <c r="Q515" s="1174"/>
      <c r="R515" s="1174"/>
      <c r="S515" s="1174"/>
    </row>
    <row r="516" spans="3:19" s="1171" customFormat="1" ht="20.100000000000001" customHeight="1">
      <c r="C516" s="1175"/>
      <c r="E516" s="1172"/>
      <c r="G516" s="1172"/>
      <c r="I516" s="1172"/>
      <c r="K516" s="1172"/>
      <c r="M516" s="1172"/>
      <c r="N516" s="1173"/>
      <c r="O516" s="1174"/>
      <c r="P516" s="1174"/>
      <c r="Q516" s="1174"/>
      <c r="R516" s="1174"/>
      <c r="S516" s="1174"/>
    </row>
    <row r="517" spans="3:19" s="1171" customFormat="1" ht="20.100000000000001" customHeight="1">
      <c r="C517" s="1175"/>
      <c r="E517" s="1172"/>
      <c r="G517" s="1172"/>
      <c r="I517" s="1172"/>
      <c r="K517" s="1172"/>
      <c r="M517" s="1172"/>
      <c r="N517" s="1173"/>
      <c r="O517" s="1174"/>
      <c r="P517" s="1174"/>
      <c r="Q517" s="1174"/>
      <c r="R517" s="1174"/>
      <c r="S517" s="1174"/>
    </row>
    <row r="518" spans="3:19" s="1171" customFormat="1" ht="20.100000000000001" customHeight="1">
      <c r="C518" s="1175"/>
      <c r="E518" s="1172"/>
      <c r="G518" s="1172"/>
      <c r="I518" s="1172"/>
      <c r="K518" s="1172"/>
      <c r="M518" s="1172"/>
      <c r="N518" s="1173"/>
      <c r="O518" s="1174"/>
      <c r="P518" s="1174"/>
      <c r="Q518" s="1174"/>
      <c r="R518" s="1174"/>
      <c r="S518" s="1174"/>
    </row>
    <row r="519" spans="3:19" s="1171" customFormat="1" ht="20.100000000000001" customHeight="1">
      <c r="C519" s="1175"/>
      <c r="E519" s="1172"/>
      <c r="G519" s="1172"/>
      <c r="I519" s="1172"/>
      <c r="K519" s="1172"/>
      <c r="M519" s="1172"/>
      <c r="N519" s="1173"/>
      <c r="O519" s="1174"/>
      <c r="P519" s="1174"/>
      <c r="Q519" s="1174"/>
      <c r="R519" s="1174"/>
      <c r="S519" s="1174"/>
    </row>
    <row r="520" spans="3:19" s="1171" customFormat="1" ht="20.100000000000001" customHeight="1">
      <c r="C520" s="1175"/>
      <c r="E520" s="1172"/>
      <c r="G520" s="1172"/>
      <c r="I520" s="1172"/>
      <c r="K520" s="1172"/>
      <c r="M520" s="1172"/>
      <c r="N520" s="1173"/>
      <c r="O520" s="1174"/>
      <c r="P520" s="1174"/>
      <c r="Q520" s="1174"/>
      <c r="R520" s="1174"/>
      <c r="S520" s="1174"/>
    </row>
    <row r="521" spans="3:19" s="1171" customFormat="1" ht="20.100000000000001" customHeight="1">
      <c r="C521" s="1175"/>
      <c r="E521" s="1172"/>
      <c r="G521" s="1172"/>
      <c r="I521" s="1172"/>
      <c r="K521" s="1172"/>
      <c r="M521" s="1172"/>
      <c r="N521" s="1173"/>
      <c r="O521" s="1174"/>
      <c r="P521" s="1174"/>
      <c r="Q521" s="1174"/>
      <c r="R521" s="1174"/>
      <c r="S521" s="1174"/>
    </row>
    <row r="522" spans="3:19" s="1171" customFormat="1" ht="20.100000000000001" customHeight="1">
      <c r="C522" s="1175"/>
      <c r="E522" s="1172"/>
      <c r="G522" s="1172"/>
      <c r="I522" s="1172"/>
      <c r="K522" s="1172"/>
      <c r="M522" s="1172"/>
      <c r="N522" s="1173"/>
      <c r="O522" s="1174"/>
      <c r="P522" s="1174"/>
      <c r="Q522" s="1174"/>
      <c r="R522" s="1174"/>
      <c r="S522" s="1174"/>
    </row>
    <row r="523" spans="3:19" s="1171" customFormat="1" ht="20.100000000000001" customHeight="1">
      <c r="C523" s="1175"/>
      <c r="E523" s="1172"/>
      <c r="G523" s="1172"/>
      <c r="I523" s="1172"/>
      <c r="K523" s="1172"/>
      <c r="M523" s="1172"/>
      <c r="N523" s="1173"/>
      <c r="O523" s="1174"/>
      <c r="P523" s="1174"/>
      <c r="Q523" s="1174"/>
      <c r="R523" s="1174"/>
      <c r="S523" s="1174"/>
    </row>
    <row r="524" spans="3:19" s="1171" customFormat="1" ht="20.100000000000001" customHeight="1">
      <c r="C524" s="1175"/>
      <c r="E524" s="1172"/>
      <c r="G524" s="1172"/>
      <c r="I524" s="1172"/>
      <c r="K524" s="1172"/>
      <c r="M524" s="1172"/>
      <c r="N524" s="1173"/>
      <c r="O524" s="1174"/>
      <c r="P524" s="1174"/>
      <c r="Q524" s="1174"/>
      <c r="R524" s="1174"/>
      <c r="S524" s="1174"/>
    </row>
    <row r="525" spans="3:19" s="1171" customFormat="1" ht="20.100000000000001" customHeight="1">
      <c r="C525" s="1175"/>
      <c r="E525" s="1172"/>
      <c r="G525" s="1172"/>
      <c r="I525" s="1172"/>
      <c r="K525" s="1172"/>
      <c r="M525" s="1172"/>
      <c r="N525" s="1173"/>
      <c r="O525" s="1174"/>
      <c r="P525" s="1174"/>
      <c r="Q525" s="1174"/>
      <c r="R525" s="1174"/>
      <c r="S525" s="1174"/>
    </row>
    <row r="526" spans="3:19" s="1171" customFormat="1" ht="20.100000000000001" customHeight="1">
      <c r="C526" s="1175"/>
      <c r="E526" s="1172"/>
      <c r="G526" s="1172"/>
      <c r="I526" s="1172"/>
      <c r="K526" s="1172"/>
      <c r="M526" s="1172"/>
      <c r="N526" s="1173"/>
      <c r="O526" s="1174"/>
      <c r="P526" s="1174"/>
      <c r="Q526" s="1174"/>
      <c r="R526" s="1174"/>
      <c r="S526" s="1174"/>
    </row>
    <row r="527" spans="3:19" s="1171" customFormat="1" ht="20.100000000000001" customHeight="1">
      <c r="C527" s="1175"/>
      <c r="E527" s="1172"/>
      <c r="G527" s="1172"/>
      <c r="I527" s="1172"/>
      <c r="K527" s="1172"/>
      <c r="M527" s="1172"/>
      <c r="N527" s="1173"/>
      <c r="O527" s="1174"/>
      <c r="P527" s="1174"/>
      <c r="Q527" s="1174"/>
      <c r="R527" s="1174"/>
      <c r="S527" s="1174"/>
    </row>
    <row r="528" spans="3:19" s="1171" customFormat="1" ht="20.100000000000001" customHeight="1">
      <c r="C528" s="1175"/>
      <c r="E528" s="1172"/>
      <c r="G528" s="1172"/>
      <c r="I528" s="1172"/>
      <c r="K528" s="1172"/>
      <c r="M528" s="1172"/>
      <c r="N528" s="1173"/>
      <c r="O528" s="1174"/>
      <c r="P528" s="1174"/>
      <c r="Q528" s="1174"/>
      <c r="R528" s="1174"/>
      <c r="S528" s="1174"/>
    </row>
    <row r="529" spans="3:19" s="1171" customFormat="1" ht="20.100000000000001" customHeight="1">
      <c r="C529" s="1175"/>
      <c r="E529" s="1172"/>
      <c r="G529" s="1172"/>
      <c r="I529" s="1172"/>
      <c r="K529" s="1172"/>
      <c r="M529" s="1172"/>
      <c r="N529" s="1173"/>
      <c r="O529" s="1174"/>
      <c r="P529" s="1174"/>
      <c r="Q529" s="1174"/>
      <c r="R529" s="1174"/>
      <c r="S529" s="1174"/>
    </row>
    <row r="530" spans="3:19" s="1171" customFormat="1" ht="20.100000000000001" customHeight="1">
      <c r="C530" s="1175"/>
      <c r="E530" s="1172"/>
      <c r="G530" s="1172"/>
      <c r="I530" s="1172"/>
      <c r="K530" s="1172"/>
      <c r="M530" s="1172"/>
      <c r="N530" s="1173"/>
      <c r="O530" s="1174"/>
      <c r="P530" s="1174"/>
      <c r="Q530" s="1174"/>
      <c r="R530" s="1174"/>
      <c r="S530" s="1174"/>
    </row>
    <row r="531" spans="3:19" s="1171" customFormat="1" ht="20.100000000000001" customHeight="1">
      <c r="C531" s="1175"/>
      <c r="E531" s="1172"/>
      <c r="G531" s="1172"/>
      <c r="I531" s="1172"/>
      <c r="K531" s="1172"/>
      <c r="M531" s="1172"/>
      <c r="N531" s="1173"/>
      <c r="O531" s="1174"/>
      <c r="P531" s="1174"/>
      <c r="Q531" s="1174"/>
      <c r="R531" s="1174"/>
      <c r="S531" s="1174"/>
    </row>
    <row r="532" spans="3:19" s="1171" customFormat="1" ht="20.100000000000001" customHeight="1">
      <c r="C532" s="1175"/>
      <c r="E532" s="1172"/>
      <c r="G532" s="1172"/>
      <c r="I532" s="1172"/>
      <c r="K532" s="1172"/>
      <c r="M532" s="1172"/>
      <c r="N532" s="1173"/>
      <c r="O532" s="1174"/>
      <c r="P532" s="1174"/>
      <c r="Q532" s="1174"/>
      <c r="R532" s="1174"/>
      <c r="S532" s="1174"/>
    </row>
    <row r="533" spans="3:19" s="1171" customFormat="1" ht="20.100000000000001" customHeight="1">
      <c r="C533" s="1175"/>
      <c r="E533" s="1172"/>
      <c r="G533" s="1172"/>
      <c r="I533" s="1172"/>
      <c r="K533" s="1172"/>
      <c r="M533" s="1172"/>
      <c r="N533" s="1173"/>
      <c r="O533" s="1174"/>
      <c r="P533" s="1174"/>
      <c r="Q533" s="1174"/>
      <c r="R533" s="1174"/>
      <c r="S533" s="1174"/>
    </row>
    <row r="534" spans="3:19" s="1171" customFormat="1" ht="20.100000000000001" customHeight="1">
      <c r="C534" s="1175"/>
      <c r="E534" s="1172"/>
      <c r="G534" s="1172"/>
      <c r="I534" s="1172"/>
      <c r="K534" s="1172"/>
      <c r="M534" s="1172"/>
      <c r="N534" s="1173"/>
      <c r="O534" s="1174"/>
      <c r="P534" s="1174"/>
      <c r="Q534" s="1174"/>
      <c r="R534" s="1174"/>
      <c r="S534" s="1174"/>
    </row>
    <row r="535" spans="3:19" s="1171" customFormat="1" ht="20.100000000000001" customHeight="1">
      <c r="C535" s="1175"/>
      <c r="E535" s="1172"/>
      <c r="G535" s="1172"/>
      <c r="I535" s="1172"/>
      <c r="K535" s="1172"/>
      <c r="M535" s="1172"/>
      <c r="N535" s="1173"/>
      <c r="O535" s="1174"/>
      <c r="P535" s="1174"/>
      <c r="Q535" s="1174"/>
      <c r="R535" s="1174"/>
      <c r="S535" s="1174"/>
    </row>
    <row r="536" spans="3:19" s="1171" customFormat="1" ht="20.100000000000001" customHeight="1">
      <c r="C536" s="1175"/>
      <c r="E536" s="1172"/>
      <c r="G536" s="1172"/>
      <c r="I536" s="1172"/>
      <c r="K536" s="1172"/>
      <c r="M536" s="1172"/>
      <c r="N536" s="1173"/>
      <c r="O536" s="1174"/>
      <c r="P536" s="1174"/>
      <c r="Q536" s="1174"/>
      <c r="R536" s="1174"/>
      <c r="S536" s="1174"/>
    </row>
    <row r="537" spans="3:19" s="1171" customFormat="1" ht="20.100000000000001" customHeight="1">
      <c r="C537" s="1175"/>
      <c r="E537" s="1172"/>
      <c r="G537" s="1172"/>
      <c r="I537" s="1172"/>
      <c r="K537" s="1172"/>
      <c r="M537" s="1172"/>
      <c r="N537" s="1173"/>
      <c r="O537" s="1174"/>
      <c r="P537" s="1174"/>
      <c r="Q537" s="1174"/>
      <c r="R537" s="1174"/>
      <c r="S537" s="1174"/>
    </row>
    <row r="538" spans="3:19" s="1171" customFormat="1" ht="20.100000000000001" customHeight="1">
      <c r="C538" s="1175"/>
      <c r="E538" s="1172"/>
      <c r="G538" s="1172"/>
      <c r="I538" s="1172"/>
      <c r="K538" s="1172"/>
      <c r="M538" s="1172"/>
      <c r="N538" s="1173"/>
      <c r="O538" s="1174"/>
      <c r="P538" s="1174"/>
      <c r="Q538" s="1174"/>
      <c r="R538" s="1174"/>
      <c r="S538" s="1174"/>
    </row>
    <row r="539" spans="3:19" s="1171" customFormat="1" ht="20.100000000000001" customHeight="1">
      <c r="C539" s="1175"/>
      <c r="E539" s="1172"/>
      <c r="G539" s="1172"/>
      <c r="I539" s="1172"/>
      <c r="K539" s="1172"/>
      <c r="M539" s="1172"/>
      <c r="N539" s="1173"/>
      <c r="O539" s="1174"/>
      <c r="P539" s="1174"/>
      <c r="Q539" s="1174"/>
      <c r="R539" s="1174"/>
      <c r="S539" s="1174"/>
    </row>
    <row r="540" spans="3:19" s="1171" customFormat="1" ht="20.100000000000001" customHeight="1">
      <c r="C540" s="1175"/>
      <c r="E540" s="1172"/>
      <c r="G540" s="1172"/>
      <c r="I540" s="1172"/>
      <c r="K540" s="1172"/>
      <c r="M540" s="1172"/>
      <c r="N540" s="1173"/>
      <c r="O540" s="1174"/>
      <c r="P540" s="1174"/>
      <c r="Q540" s="1174"/>
      <c r="R540" s="1174"/>
      <c r="S540" s="1174"/>
    </row>
    <row r="541" spans="3:19" s="1171" customFormat="1" ht="20.100000000000001" customHeight="1">
      <c r="C541" s="1175"/>
      <c r="E541" s="1172"/>
      <c r="G541" s="1172"/>
      <c r="I541" s="1172"/>
      <c r="K541" s="1172"/>
      <c r="M541" s="1172"/>
      <c r="N541" s="1173"/>
      <c r="O541" s="1174"/>
      <c r="P541" s="1174"/>
      <c r="Q541" s="1174"/>
      <c r="R541" s="1174"/>
      <c r="S541" s="1174"/>
    </row>
    <row r="542" spans="3:19" s="1171" customFormat="1" ht="20.100000000000001" customHeight="1">
      <c r="C542" s="1175"/>
      <c r="E542" s="1172"/>
      <c r="G542" s="1172"/>
      <c r="I542" s="1172"/>
      <c r="K542" s="1172"/>
      <c r="M542" s="1172"/>
      <c r="N542" s="1173"/>
      <c r="O542" s="1174"/>
      <c r="P542" s="1174"/>
      <c r="Q542" s="1174"/>
      <c r="R542" s="1174"/>
      <c r="S542" s="1174"/>
    </row>
    <row r="543" spans="3:19" s="1171" customFormat="1" ht="20.100000000000001" customHeight="1">
      <c r="C543" s="1175"/>
      <c r="E543" s="1172"/>
      <c r="G543" s="1172"/>
      <c r="I543" s="1172"/>
      <c r="K543" s="1172"/>
      <c r="M543" s="1172"/>
      <c r="N543" s="1173"/>
      <c r="O543" s="1174"/>
      <c r="P543" s="1174"/>
      <c r="Q543" s="1174"/>
      <c r="R543" s="1174"/>
      <c r="S543" s="1174"/>
    </row>
    <row r="544" spans="3:19" s="1171" customFormat="1" ht="20.100000000000001" customHeight="1">
      <c r="C544" s="1175"/>
      <c r="E544" s="1172"/>
      <c r="G544" s="1172"/>
      <c r="I544" s="1172"/>
      <c r="K544" s="1172"/>
      <c r="M544" s="1172"/>
      <c r="N544" s="1173"/>
      <c r="O544" s="1174"/>
      <c r="P544" s="1174"/>
      <c r="Q544" s="1174"/>
      <c r="R544" s="1174"/>
      <c r="S544" s="1174"/>
    </row>
    <row r="545" spans="3:19" s="1171" customFormat="1" ht="20.100000000000001" customHeight="1">
      <c r="C545" s="1175"/>
      <c r="E545" s="1172"/>
      <c r="G545" s="1172"/>
      <c r="I545" s="1172"/>
      <c r="K545" s="1172"/>
      <c r="M545" s="1172"/>
      <c r="N545" s="1173"/>
      <c r="O545" s="1174"/>
      <c r="P545" s="1174"/>
      <c r="Q545" s="1174"/>
      <c r="R545" s="1174"/>
      <c r="S545" s="1174"/>
    </row>
    <row r="546" spans="3:19" s="1171" customFormat="1" ht="20.100000000000001" customHeight="1">
      <c r="C546" s="1175"/>
      <c r="E546" s="1172"/>
      <c r="G546" s="1172"/>
      <c r="I546" s="1172"/>
      <c r="K546" s="1172"/>
      <c r="M546" s="1172"/>
      <c r="N546" s="1173"/>
      <c r="O546" s="1174"/>
      <c r="P546" s="1174"/>
      <c r="Q546" s="1174"/>
      <c r="R546" s="1174"/>
      <c r="S546" s="1174"/>
    </row>
    <row r="547" spans="3:19" s="1171" customFormat="1" ht="20.100000000000001" customHeight="1">
      <c r="C547" s="1175"/>
      <c r="E547" s="1172"/>
      <c r="G547" s="1172"/>
      <c r="I547" s="1172"/>
      <c r="K547" s="1172"/>
      <c r="M547" s="1172"/>
      <c r="N547" s="1173"/>
      <c r="O547" s="1174"/>
      <c r="P547" s="1174"/>
      <c r="Q547" s="1174"/>
      <c r="R547" s="1174"/>
      <c r="S547" s="1174"/>
    </row>
    <row r="548" spans="3:19" s="1171" customFormat="1" ht="20.100000000000001" customHeight="1">
      <c r="C548" s="1175"/>
      <c r="E548" s="1172"/>
      <c r="G548" s="1172"/>
      <c r="I548" s="1172"/>
      <c r="K548" s="1172"/>
      <c r="M548" s="1172"/>
      <c r="N548" s="1173"/>
      <c r="O548" s="1174"/>
      <c r="P548" s="1174"/>
      <c r="Q548" s="1174"/>
      <c r="R548" s="1174"/>
      <c r="S548" s="1174"/>
    </row>
    <row r="549" spans="3:19" s="1171" customFormat="1" ht="20.100000000000001" customHeight="1">
      <c r="C549" s="1175"/>
      <c r="E549" s="1172"/>
      <c r="G549" s="1172"/>
      <c r="I549" s="1172"/>
      <c r="K549" s="1172"/>
      <c r="M549" s="1172"/>
      <c r="N549" s="1173"/>
      <c r="O549" s="1174"/>
      <c r="P549" s="1174"/>
      <c r="Q549" s="1174"/>
      <c r="R549" s="1174"/>
      <c r="S549" s="1174"/>
    </row>
    <row r="550" spans="3:19" s="1171" customFormat="1" ht="20.100000000000001" customHeight="1">
      <c r="C550" s="1175"/>
      <c r="E550" s="1172"/>
      <c r="G550" s="1172"/>
      <c r="I550" s="1172"/>
      <c r="K550" s="1172"/>
      <c r="M550" s="1172"/>
      <c r="N550" s="1173"/>
      <c r="O550" s="1174"/>
      <c r="P550" s="1174"/>
      <c r="Q550" s="1174"/>
      <c r="R550" s="1174"/>
      <c r="S550" s="1174"/>
    </row>
    <row r="551" spans="3:19" s="1171" customFormat="1" ht="20.100000000000001" customHeight="1">
      <c r="C551" s="1175"/>
      <c r="E551" s="1172"/>
      <c r="G551" s="1172"/>
      <c r="I551" s="1172"/>
      <c r="K551" s="1172"/>
      <c r="M551" s="1172"/>
      <c r="N551" s="1173"/>
      <c r="O551" s="1174"/>
      <c r="P551" s="1174"/>
      <c r="Q551" s="1174"/>
      <c r="R551" s="1174"/>
      <c r="S551" s="1174"/>
    </row>
    <row r="552" spans="3:19" s="1171" customFormat="1" ht="20.100000000000001" customHeight="1">
      <c r="C552" s="1175"/>
      <c r="E552" s="1172"/>
      <c r="G552" s="1172"/>
      <c r="I552" s="1172"/>
      <c r="K552" s="1172"/>
      <c r="M552" s="1172"/>
      <c r="N552" s="1173"/>
      <c r="O552" s="1174"/>
      <c r="P552" s="1174"/>
      <c r="Q552" s="1174"/>
      <c r="R552" s="1174"/>
      <c r="S552" s="1174"/>
    </row>
    <row r="553" spans="3:19" s="1171" customFormat="1" ht="20.100000000000001" customHeight="1">
      <c r="C553" s="1175"/>
      <c r="E553" s="1172"/>
      <c r="G553" s="1172"/>
      <c r="I553" s="1172"/>
      <c r="K553" s="1172"/>
      <c r="M553" s="1172"/>
      <c r="N553" s="1173"/>
      <c r="O553" s="1174"/>
      <c r="P553" s="1174"/>
      <c r="Q553" s="1174"/>
      <c r="R553" s="1174"/>
      <c r="S553" s="1174"/>
    </row>
    <row r="554" spans="3:19" s="1171" customFormat="1" ht="20.100000000000001" customHeight="1">
      <c r="C554" s="1175"/>
      <c r="E554" s="1172"/>
      <c r="G554" s="1172"/>
      <c r="I554" s="1172"/>
      <c r="K554" s="1172"/>
      <c r="M554" s="1172"/>
      <c r="N554" s="1173"/>
      <c r="O554" s="1174"/>
      <c r="P554" s="1174"/>
      <c r="Q554" s="1174"/>
      <c r="R554" s="1174"/>
      <c r="S554" s="1174"/>
    </row>
    <row r="555" spans="3:19" s="1171" customFormat="1" ht="20.100000000000001" customHeight="1">
      <c r="C555" s="1175"/>
      <c r="E555" s="1172"/>
      <c r="G555" s="1172"/>
      <c r="I555" s="1172"/>
      <c r="K555" s="1172"/>
      <c r="M555" s="1172"/>
      <c r="N555" s="1173"/>
      <c r="O555" s="1174"/>
      <c r="P555" s="1174"/>
      <c r="Q555" s="1174"/>
      <c r="R555" s="1174"/>
      <c r="S555" s="1174"/>
    </row>
    <row r="556" spans="3:19" s="1171" customFormat="1" ht="20.100000000000001" customHeight="1">
      <c r="C556" s="1175"/>
      <c r="E556" s="1172"/>
      <c r="G556" s="1172"/>
      <c r="I556" s="1172"/>
      <c r="K556" s="1172"/>
      <c r="M556" s="1172"/>
      <c r="N556" s="1173"/>
      <c r="O556" s="1174"/>
      <c r="P556" s="1174"/>
      <c r="Q556" s="1174"/>
      <c r="R556" s="1174"/>
      <c r="S556" s="1174"/>
    </row>
    <row r="557" spans="3:19" s="1171" customFormat="1" ht="20.100000000000001" customHeight="1">
      <c r="C557" s="1175"/>
      <c r="E557" s="1172"/>
      <c r="G557" s="1172"/>
      <c r="I557" s="1172"/>
      <c r="K557" s="1172"/>
      <c r="M557" s="1172"/>
      <c r="N557" s="1173"/>
      <c r="O557" s="1174"/>
      <c r="P557" s="1174"/>
      <c r="Q557" s="1174"/>
      <c r="R557" s="1174"/>
      <c r="S557" s="1174"/>
    </row>
    <row r="558" spans="3:19" s="1171" customFormat="1" ht="20.100000000000001" customHeight="1">
      <c r="C558" s="1175"/>
      <c r="E558" s="1172"/>
      <c r="G558" s="1172"/>
      <c r="I558" s="1172"/>
      <c r="K558" s="1172"/>
      <c r="M558" s="1172"/>
      <c r="N558" s="1173"/>
      <c r="O558" s="1174"/>
      <c r="P558" s="1174"/>
      <c r="Q558" s="1174"/>
      <c r="R558" s="1174"/>
      <c r="S558" s="1174"/>
    </row>
    <row r="559" spans="3:19" s="1171" customFormat="1" ht="20.100000000000001" customHeight="1">
      <c r="C559" s="1175"/>
      <c r="E559" s="1172"/>
      <c r="G559" s="1172"/>
      <c r="I559" s="1172"/>
      <c r="K559" s="1172"/>
      <c r="M559" s="1172"/>
      <c r="N559" s="1173"/>
      <c r="O559" s="1174"/>
      <c r="P559" s="1174"/>
      <c r="Q559" s="1174"/>
      <c r="R559" s="1174"/>
      <c r="S559" s="1174"/>
    </row>
    <row r="560" spans="3:19" s="1171" customFormat="1" ht="20.100000000000001" customHeight="1">
      <c r="C560" s="1175"/>
      <c r="E560" s="1172"/>
      <c r="G560" s="1172"/>
      <c r="I560" s="1172"/>
      <c r="K560" s="1172"/>
      <c r="M560" s="1172"/>
      <c r="N560" s="1173"/>
      <c r="O560" s="1174"/>
      <c r="P560" s="1174"/>
      <c r="Q560" s="1174"/>
      <c r="R560" s="1174"/>
      <c r="S560" s="1174"/>
    </row>
    <row r="561" spans="3:19" s="1171" customFormat="1" ht="20.100000000000001" customHeight="1">
      <c r="C561" s="1175"/>
      <c r="E561" s="1172"/>
      <c r="G561" s="1172"/>
      <c r="I561" s="1172"/>
      <c r="K561" s="1172"/>
      <c r="M561" s="1172"/>
      <c r="N561" s="1173"/>
      <c r="O561" s="1174"/>
      <c r="P561" s="1174"/>
      <c r="Q561" s="1174"/>
      <c r="R561" s="1174"/>
      <c r="S561" s="1174"/>
    </row>
    <row r="562" spans="3:19" s="1171" customFormat="1" ht="20.100000000000001" customHeight="1">
      <c r="C562" s="1175"/>
      <c r="E562" s="1172"/>
      <c r="G562" s="1172"/>
      <c r="I562" s="1172"/>
      <c r="K562" s="1172"/>
      <c r="M562" s="1172"/>
      <c r="N562" s="1173"/>
      <c r="O562" s="1174"/>
      <c r="P562" s="1174"/>
      <c r="Q562" s="1174"/>
      <c r="R562" s="1174"/>
      <c r="S562" s="1174"/>
    </row>
    <row r="563" spans="3:19" s="1171" customFormat="1" ht="20.100000000000001" customHeight="1">
      <c r="C563" s="1175"/>
      <c r="E563" s="1172"/>
      <c r="G563" s="1172"/>
      <c r="I563" s="1172"/>
      <c r="K563" s="1172"/>
      <c r="M563" s="1172"/>
      <c r="N563" s="1173"/>
      <c r="O563" s="1174"/>
      <c r="P563" s="1174"/>
      <c r="Q563" s="1174"/>
      <c r="R563" s="1174"/>
      <c r="S563" s="1174"/>
    </row>
    <row r="564" spans="3:19" s="1171" customFormat="1" ht="20.100000000000001" customHeight="1">
      <c r="C564" s="1175"/>
      <c r="E564" s="1172"/>
      <c r="G564" s="1172"/>
      <c r="I564" s="1172"/>
      <c r="K564" s="1172"/>
      <c r="M564" s="1172"/>
      <c r="N564" s="1173"/>
      <c r="O564" s="1174"/>
      <c r="P564" s="1174"/>
      <c r="Q564" s="1174"/>
      <c r="R564" s="1174"/>
      <c r="S564" s="1174"/>
    </row>
    <row r="565" spans="3:19" s="1171" customFormat="1" ht="20.100000000000001" customHeight="1">
      <c r="C565" s="1175"/>
      <c r="E565" s="1172"/>
      <c r="G565" s="1172"/>
      <c r="I565" s="1172"/>
      <c r="K565" s="1172"/>
      <c r="M565" s="1172"/>
      <c r="N565" s="1173"/>
      <c r="O565" s="1174"/>
      <c r="P565" s="1174"/>
      <c r="Q565" s="1174"/>
      <c r="R565" s="1174"/>
      <c r="S565" s="1174"/>
    </row>
    <row r="566" spans="3:19" s="1171" customFormat="1" ht="20.100000000000001" customHeight="1">
      <c r="C566" s="1175"/>
      <c r="E566" s="1172"/>
      <c r="G566" s="1172"/>
      <c r="I566" s="1172"/>
      <c r="K566" s="1172"/>
      <c r="M566" s="1172"/>
      <c r="N566" s="1173"/>
      <c r="O566" s="1174"/>
      <c r="P566" s="1174"/>
      <c r="Q566" s="1174"/>
      <c r="R566" s="1174"/>
      <c r="S566" s="1174"/>
    </row>
    <row r="567" spans="3:19" s="1171" customFormat="1" ht="20.100000000000001" customHeight="1">
      <c r="C567" s="1175"/>
      <c r="E567" s="1172"/>
      <c r="G567" s="1172"/>
      <c r="I567" s="1172"/>
      <c r="K567" s="1172"/>
      <c r="M567" s="1172"/>
      <c r="N567" s="1173"/>
      <c r="O567" s="1174"/>
      <c r="P567" s="1174"/>
      <c r="Q567" s="1174"/>
      <c r="R567" s="1174"/>
      <c r="S567" s="1174"/>
    </row>
    <row r="568" spans="3:19" s="1171" customFormat="1" ht="20.100000000000001" customHeight="1">
      <c r="C568" s="1175"/>
      <c r="E568" s="1172"/>
      <c r="G568" s="1172"/>
      <c r="I568" s="1172"/>
      <c r="K568" s="1172"/>
      <c r="M568" s="1172"/>
      <c r="N568" s="1173"/>
      <c r="O568" s="1174"/>
      <c r="P568" s="1174"/>
      <c r="Q568" s="1174"/>
      <c r="R568" s="1174"/>
      <c r="S568" s="1174"/>
    </row>
    <row r="569" spans="3:19" s="1171" customFormat="1" ht="20.100000000000001" customHeight="1">
      <c r="C569" s="1175"/>
      <c r="E569" s="1172"/>
      <c r="G569" s="1172"/>
      <c r="I569" s="1172"/>
      <c r="K569" s="1172"/>
      <c r="M569" s="1172"/>
      <c r="N569" s="1173"/>
      <c r="O569" s="1174"/>
      <c r="P569" s="1174"/>
      <c r="Q569" s="1174"/>
      <c r="R569" s="1174"/>
      <c r="S569" s="1174"/>
    </row>
    <row r="570" spans="3:19" s="1171" customFormat="1" ht="20.100000000000001" customHeight="1">
      <c r="C570" s="1175"/>
      <c r="E570" s="1172"/>
      <c r="G570" s="1172"/>
      <c r="I570" s="1172"/>
      <c r="K570" s="1172"/>
      <c r="M570" s="1172"/>
      <c r="N570" s="1173"/>
      <c r="O570" s="1174"/>
      <c r="P570" s="1174"/>
      <c r="Q570" s="1174"/>
      <c r="R570" s="1174"/>
      <c r="S570" s="1174"/>
    </row>
    <row r="571" spans="3:19" s="1171" customFormat="1" ht="20.100000000000001" customHeight="1">
      <c r="C571" s="1175"/>
      <c r="E571" s="1172"/>
      <c r="G571" s="1172"/>
      <c r="I571" s="1172"/>
      <c r="K571" s="1172"/>
      <c r="M571" s="1172"/>
      <c r="N571" s="1173"/>
      <c r="O571" s="1174"/>
      <c r="P571" s="1174"/>
      <c r="Q571" s="1174"/>
      <c r="R571" s="1174"/>
      <c r="S571" s="1174"/>
    </row>
    <row r="572" spans="3:19" s="1171" customFormat="1" ht="20.100000000000001" customHeight="1">
      <c r="C572" s="1175"/>
      <c r="E572" s="1172"/>
      <c r="G572" s="1172"/>
      <c r="I572" s="1172"/>
      <c r="K572" s="1172"/>
      <c r="M572" s="1172"/>
      <c r="N572" s="1173"/>
      <c r="O572" s="1174"/>
      <c r="P572" s="1174"/>
      <c r="Q572" s="1174"/>
      <c r="R572" s="1174"/>
      <c r="S572" s="1174"/>
    </row>
    <row r="573" spans="3:19" s="1171" customFormat="1" ht="20.100000000000001" customHeight="1">
      <c r="C573" s="1175"/>
      <c r="E573" s="1172"/>
      <c r="G573" s="1172"/>
      <c r="I573" s="1172"/>
      <c r="K573" s="1172"/>
      <c r="M573" s="1172"/>
      <c r="N573" s="1173"/>
      <c r="O573" s="1174"/>
      <c r="P573" s="1174"/>
      <c r="Q573" s="1174"/>
      <c r="R573" s="1174"/>
      <c r="S573" s="1174"/>
    </row>
    <row r="574" spans="3:19" s="1171" customFormat="1" ht="20.100000000000001" customHeight="1">
      <c r="C574" s="1175"/>
      <c r="E574" s="1172"/>
      <c r="G574" s="1172"/>
      <c r="I574" s="1172"/>
      <c r="K574" s="1172"/>
      <c r="M574" s="1172"/>
      <c r="N574" s="1173"/>
      <c r="O574" s="1174"/>
      <c r="P574" s="1174"/>
      <c r="Q574" s="1174"/>
      <c r="R574" s="1174"/>
      <c r="S574" s="1174"/>
    </row>
    <row r="575" spans="3:19" s="1171" customFormat="1" ht="20.100000000000001" customHeight="1">
      <c r="C575" s="1175"/>
      <c r="E575" s="1172"/>
      <c r="G575" s="1172"/>
      <c r="I575" s="1172"/>
      <c r="K575" s="1172"/>
      <c r="M575" s="1172"/>
      <c r="N575" s="1173"/>
      <c r="O575" s="1174"/>
      <c r="P575" s="1174"/>
      <c r="Q575" s="1174"/>
      <c r="R575" s="1174"/>
      <c r="S575" s="1174"/>
    </row>
    <row r="576" spans="3:19" s="1171" customFormat="1" ht="20.100000000000001" customHeight="1">
      <c r="C576" s="1175"/>
      <c r="E576" s="1172"/>
      <c r="G576" s="1172"/>
      <c r="I576" s="1172"/>
      <c r="K576" s="1172"/>
      <c r="M576" s="1172"/>
      <c r="N576" s="1173"/>
      <c r="O576" s="1174"/>
      <c r="P576" s="1174"/>
      <c r="Q576" s="1174"/>
      <c r="R576" s="1174"/>
      <c r="S576" s="1174"/>
    </row>
    <row r="577" spans="3:19" s="1171" customFormat="1" ht="20.100000000000001" customHeight="1">
      <c r="C577" s="1175"/>
      <c r="E577" s="1172"/>
      <c r="G577" s="1172"/>
      <c r="I577" s="1172"/>
      <c r="K577" s="1172"/>
      <c r="M577" s="1172"/>
      <c r="N577" s="1173"/>
      <c r="O577" s="1174"/>
      <c r="P577" s="1174"/>
      <c r="Q577" s="1174"/>
      <c r="R577" s="1174"/>
      <c r="S577" s="1174"/>
    </row>
    <row r="578" spans="3:19" s="1171" customFormat="1" ht="20.100000000000001" customHeight="1">
      <c r="C578" s="1175"/>
      <c r="E578" s="1172"/>
      <c r="G578" s="1172"/>
      <c r="I578" s="1172"/>
      <c r="K578" s="1172"/>
      <c r="M578" s="1172"/>
      <c r="N578" s="1173"/>
      <c r="O578" s="1174"/>
      <c r="P578" s="1174"/>
      <c r="Q578" s="1174"/>
      <c r="R578" s="1174"/>
      <c r="S578" s="1174"/>
    </row>
    <row r="579" spans="3:19" s="1171" customFormat="1" ht="20.100000000000001" customHeight="1">
      <c r="C579" s="1175"/>
      <c r="E579" s="1172"/>
      <c r="G579" s="1172"/>
      <c r="I579" s="1172"/>
      <c r="K579" s="1172"/>
      <c r="M579" s="1172"/>
      <c r="N579" s="1173"/>
      <c r="O579" s="1174"/>
      <c r="P579" s="1174"/>
      <c r="Q579" s="1174"/>
      <c r="R579" s="1174"/>
      <c r="S579" s="1174"/>
    </row>
    <row r="580" spans="3:19" s="1171" customFormat="1" ht="20.100000000000001" customHeight="1">
      <c r="C580" s="1175"/>
      <c r="E580" s="1172"/>
      <c r="G580" s="1172"/>
      <c r="I580" s="1172"/>
      <c r="K580" s="1172"/>
      <c r="M580" s="1172"/>
      <c r="N580" s="1173"/>
      <c r="O580" s="1174"/>
      <c r="P580" s="1174"/>
      <c r="Q580" s="1174"/>
      <c r="R580" s="1174"/>
      <c r="S580" s="1174"/>
    </row>
    <row r="581" spans="3:19" s="1171" customFormat="1" ht="20.100000000000001" customHeight="1">
      <c r="C581" s="1175"/>
      <c r="E581" s="1172"/>
      <c r="G581" s="1172"/>
      <c r="I581" s="1172"/>
      <c r="K581" s="1172"/>
      <c r="M581" s="1172"/>
      <c r="N581" s="1173"/>
      <c r="O581" s="1174"/>
      <c r="P581" s="1174"/>
      <c r="Q581" s="1174"/>
      <c r="R581" s="1174"/>
      <c r="S581" s="1174"/>
    </row>
    <row r="582" spans="3:19" s="1171" customFormat="1" ht="20.100000000000001" customHeight="1">
      <c r="C582" s="1175"/>
      <c r="E582" s="1172"/>
      <c r="G582" s="1172"/>
      <c r="I582" s="1172"/>
      <c r="K582" s="1172"/>
      <c r="M582" s="1172"/>
      <c r="N582" s="1173"/>
      <c r="O582" s="1174"/>
      <c r="P582" s="1174"/>
      <c r="Q582" s="1174"/>
      <c r="R582" s="1174"/>
      <c r="S582" s="1174"/>
    </row>
    <row r="583" spans="3:19" s="1171" customFormat="1" ht="20.100000000000001" customHeight="1">
      <c r="C583" s="1175"/>
      <c r="E583" s="1172"/>
      <c r="G583" s="1172"/>
      <c r="I583" s="1172"/>
      <c r="K583" s="1172"/>
      <c r="M583" s="1172"/>
      <c r="N583" s="1173"/>
      <c r="O583" s="1174"/>
      <c r="P583" s="1174"/>
      <c r="Q583" s="1174"/>
      <c r="R583" s="1174"/>
      <c r="S583" s="1174"/>
    </row>
    <row r="584" spans="3:19" s="1171" customFormat="1" ht="20.100000000000001" customHeight="1">
      <c r="C584" s="1175"/>
      <c r="E584" s="1172"/>
      <c r="G584" s="1172"/>
      <c r="I584" s="1172"/>
      <c r="K584" s="1172"/>
      <c r="M584" s="1172"/>
      <c r="N584" s="1173"/>
      <c r="O584" s="1174"/>
      <c r="P584" s="1174"/>
      <c r="Q584" s="1174"/>
      <c r="R584" s="1174"/>
      <c r="S584" s="1174"/>
    </row>
    <row r="585" spans="3:19" s="1171" customFormat="1" ht="20.100000000000001" customHeight="1">
      <c r="C585" s="1175"/>
      <c r="E585" s="1172"/>
      <c r="G585" s="1172"/>
      <c r="I585" s="1172"/>
      <c r="K585" s="1172"/>
      <c r="M585" s="1172"/>
      <c r="N585" s="1173"/>
      <c r="O585" s="1174"/>
      <c r="P585" s="1174"/>
      <c r="Q585" s="1174"/>
      <c r="R585" s="1174"/>
      <c r="S585" s="1174"/>
    </row>
    <row r="586" spans="3:19" s="1171" customFormat="1" ht="20.100000000000001" customHeight="1">
      <c r="C586" s="1175"/>
      <c r="E586" s="1172"/>
      <c r="G586" s="1172"/>
      <c r="I586" s="1172"/>
      <c r="K586" s="1172"/>
      <c r="M586" s="1172"/>
      <c r="N586" s="1173"/>
      <c r="O586" s="1174"/>
      <c r="P586" s="1174"/>
      <c r="Q586" s="1174"/>
      <c r="R586" s="1174"/>
      <c r="S586" s="1174"/>
    </row>
    <row r="587" spans="3:19" s="1171" customFormat="1" ht="20.100000000000001" customHeight="1">
      <c r="C587" s="1175"/>
      <c r="E587" s="1172"/>
      <c r="G587" s="1172"/>
      <c r="I587" s="1172"/>
      <c r="K587" s="1172"/>
      <c r="M587" s="1172"/>
      <c r="N587" s="1173"/>
      <c r="O587" s="1174"/>
      <c r="P587" s="1174"/>
      <c r="Q587" s="1174"/>
      <c r="R587" s="1174"/>
      <c r="S587" s="1174"/>
    </row>
    <row r="588" spans="3:19" s="1171" customFormat="1" ht="20.100000000000001" customHeight="1">
      <c r="C588" s="1175"/>
      <c r="E588" s="1172"/>
      <c r="G588" s="1172"/>
      <c r="I588" s="1172"/>
      <c r="K588" s="1172"/>
      <c r="M588" s="1172"/>
      <c r="N588" s="1173"/>
      <c r="O588" s="1174"/>
      <c r="P588" s="1174"/>
      <c r="Q588" s="1174"/>
      <c r="R588" s="1174"/>
      <c r="S588" s="1174"/>
    </row>
    <row r="589" spans="3:19" s="1171" customFormat="1" ht="20.100000000000001" customHeight="1">
      <c r="C589" s="1175"/>
      <c r="E589" s="1172"/>
      <c r="G589" s="1172"/>
      <c r="I589" s="1172"/>
      <c r="K589" s="1172"/>
      <c r="M589" s="1172"/>
      <c r="N589" s="1173"/>
      <c r="O589" s="1174"/>
      <c r="P589" s="1174"/>
      <c r="Q589" s="1174"/>
      <c r="R589" s="1174"/>
      <c r="S589" s="1174"/>
    </row>
    <row r="590" spans="3:19" s="1171" customFormat="1" ht="20.100000000000001" customHeight="1">
      <c r="C590" s="1175"/>
      <c r="E590" s="1172"/>
      <c r="G590" s="1172"/>
      <c r="I590" s="1172"/>
      <c r="K590" s="1172"/>
      <c r="M590" s="1172"/>
      <c r="N590" s="1173"/>
      <c r="O590" s="1174"/>
      <c r="P590" s="1174"/>
      <c r="Q590" s="1174"/>
      <c r="R590" s="1174"/>
      <c r="S590" s="1174"/>
    </row>
    <row r="591" spans="3:19" s="1171" customFormat="1" ht="20.100000000000001" customHeight="1">
      <c r="C591" s="1175"/>
      <c r="E591" s="1172"/>
      <c r="G591" s="1172"/>
      <c r="I591" s="1172"/>
      <c r="K591" s="1172"/>
      <c r="M591" s="1172"/>
      <c r="N591" s="1173"/>
      <c r="O591" s="1174"/>
      <c r="P591" s="1174"/>
      <c r="Q591" s="1174"/>
      <c r="R591" s="1174"/>
      <c r="S591" s="1174"/>
    </row>
    <row r="592" spans="3:19" s="1171" customFormat="1" ht="20.100000000000001" customHeight="1">
      <c r="C592" s="1175"/>
      <c r="E592" s="1172"/>
      <c r="G592" s="1172"/>
      <c r="I592" s="1172"/>
      <c r="K592" s="1172"/>
      <c r="M592" s="1172"/>
      <c r="N592" s="1173"/>
      <c r="O592" s="1174"/>
      <c r="P592" s="1174"/>
      <c r="Q592" s="1174"/>
      <c r="R592" s="1174"/>
      <c r="S592" s="1174"/>
    </row>
    <row r="593" spans="3:19" s="1171" customFormat="1" ht="20.100000000000001" customHeight="1">
      <c r="C593" s="1175"/>
      <c r="E593" s="1172"/>
      <c r="G593" s="1172"/>
      <c r="I593" s="1172"/>
      <c r="K593" s="1172"/>
      <c r="M593" s="1172"/>
      <c r="N593" s="1173"/>
      <c r="O593" s="1174"/>
      <c r="P593" s="1174"/>
      <c r="Q593" s="1174"/>
      <c r="R593" s="1174"/>
      <c r="S593" s="1174"/>
    </row>
    <row r="594" spans="3:19" s="1171" customFormat="1" ht="20.100000000000001" customHeight="1">
      <c r="C594" s="1175"/>
      <c r="E594" s="1172"/>
      <c r="G594" s="1172"/>
      <c r="I594" s="1172"/>
      <c r="K594" s="1172"/>
      <c r="M594" s="1172"/>
      <c r="N594" s="1173"/>
      <c r="O594" s="1174"/>
      <c r="P594" s="1174"/>
      <c r="Q594" s="1174"/>
      <c r="R594" s="1174"/>
      <c r="S594" s="1174"/>
    </row>
    <row r="595" spans="3:19" s="1171" customFormat="1" ht="20.100000000000001" customHeight="1">
      <c r="C595" s="1175"/>
      <c r="E595" s="1172"/>
      <c r="G595" s="1172"/>
      <c r="I595" s="1172"/>
      <c r="K595" s="1172"/>
      <c r="M595" s="1172"/>
      <c r="N595" s="1173"/>
      <c r="O595" s="1174"/>
      <c r="P595" s="1174"/>
      <c r="Q595" s="1174"/>
      <c r="R595" s="1174"/>
      <c r="S595" s="1174"/>
    </row>
    <row r="596" spans="3:19" s="1171" customFormat="1" ht="20.100000000000001" customHeight="1">
      <c r="C596" s="1175"/>
      <c r="E596" s="1172"/>
      <c r="G596" s="1172"/>
      <c r="I596" s="1172"/>
      <c r="K596" s="1172"/>
      <c r="M596" s="1172"/>
      <c r="N596" s="1173"/>
      <c r="O596" s="1174"/>
      <c r="P596" s="1174"/>
      <c r="Q596" s="1174"/>
      <c r="R596" s="1174"/>
      <c r="S596" s="1174"/>
    </row>
    <row r="597" spans="3:19" s="1171" customFormat="1" ht="20.100000000000001" customHeight="1">
      <c r="C597" s="1175"/>
      <c r="E597" s="1172"/>
      <c r="G597" s="1172"/>
      <c r="I597" s="1172"/>
      <c r="K597" s="1172"/>
      <c r="M597" s="1172"/>
      <c r="N597" s="1173"/>
      <c r="O597" s="1174"/>
      <c r="P597" s="1174"/>
      <c r="Q597" s="1174"/>
      <c r="R597" s="1174"/>
      <c r="S597" s="1174"/>
    </row>
    <row r="598" spans="3:19" s="1171" customFormat="1" ht="20.100000000000001" customHeight="1">
      <c r="C598" s="1175"/>
      <c r="E598" s="1172"/>
      <c r="G598" s="1172"/>
      <c r="I598" s="1172"/>
      <c r="K598" s="1172"/>
      <c r="M598" s="1172"/>
      <c r="N598" s="1173"/>
      <c r="O598" s="1174"/>
      <c r="P598" s="1174"/>
      <c r="Q598" s="1174"/>
      <c r="R598" s="1174"/>
      <c r="S598" s="1174"/>
    </row>
    <row r="599" spans="3:19" s="1171" customFormat="1" ht="20.100000000000001" customHeight="1">
      <c r="C599" s="1175"/>
      <c r="E599" s="1172"/>
      <c r="G599" s="1172"/>
      <c r="I599" s="1172"/>
      <c r="K599" s="1172"/>
      <c r="M599" s="1172"/>
      <c r="N599" s="1173"/>
      <c r="O599" s="1174"/>
      <c r="P599" s="1174"/>
      <c r="Q599" s="1174"/>
      <c r="R599" s="1174"/>
      <c r="S599" s="1174"/>
    </row>
    <row r="600" spans="3:19" s="1171" customFormat="1" ht="20.100000000000001" customHeight="1">
      <c r="C600" s="1175"/>
      <c r="E600" s="1172"/>
      <c r="G600" s="1172"/>
      <c r="I600" s="1172"/>
      <c r="K600" s="1172"/>
      <c r="M600" s="1172"/>
      <c r="N600" s="1173"/>
      <c r="O600" s="1174"/>
      <c r="P600" s="1174"/>
      <c r="Q600" s="1174"/>
      <c r="R600" s="1174"/>
      <c r="S600" s="1174"/>
    </row>
    <row r="601" spans="3:19" s="1171" customFormat="1" ht="20.100000000000001" customHeight="1">
      <c r="C601" s="1175"/>
      <c r="E601" s="1172"/>
      <c r="G601" s="1172"/>
      <c r="I601" s="1172"/>
      <c r="K601" s="1172"/>
      <c r="M601" s="1172"/>
      <c r="N601" s="1173"/>
      <c r="O601" s="1174"/>
      <c r="P601" s="1174"/>
      <c r="Q601" s="1174"/>
      <c r="R601" s="1174"/>
      <c r="S601" s="1174"/>
    </row>
    <row r="602" spans="3:19" s="1171" customFormat="1" ht="20.100000000000001" customHeight="1">
      <c r="C602" s="1175"/>
      <c r="E602" s="1172"/>
      <c r="G602" s="1172"/>
      <c r="I602" s="1172"/>
      <c r="K602" s="1172"/>
      <c r="M602" s="1172"/>
      <c r="N602" s="1173"/>
      <c r="O602" s="1174"/>
      <c r="P602" s="1174"/>
      <c r="Q602" s="1174"/>
      <c r="R602" s="1174"/>
      <c r="S602" s="1174"/>
    </row>
    <row r="603" spans="3:19" s="1171" customFormat="1" ht="20.100000000000001" customHeight="1">
      <c r="C603" s="1175"/>
      <c r="E603" s="1172"/>
      <c r="G603" s="1172"/>
      <c r="I603" s="1172"/>
      <c r="K603" s="1172"/>
      <c r="M603" s="1172"/>
      <c r="N603" s="1173"/>
      <c r="O603" s="1174"/>
      <c r="P603" s="1174"/>
      <c r="Q603" s="1174"/>
      <c r="R603" s="1174"/>
      <c r="S603" s="1174"/>
    </row>
    <row r="604" spans="3:19" s="1171" customFormat="1" ht="20.100000000000001" customHeight="1">
      <c r="C604" s="1175"/>
      <c r="E604" s="1172"/>
      <c r="G604" s="1172"/>
      <c r="I604" s="1172"/>
      <c r="K604" s="1172"/>
      <c r="M604" s="1172"/>
      <c r="N604" s="1173"/>
      <c r="O604" s="1174"/>
      <c r="P604" s="1174"/>
      <c r="Q604" s="1174"/>
      <c r="R604" s="1174"/>
      <c r="S604" s="1174"/>
    </row>
    <row r="605" spans="3:19" s="1171" customFormat="1" ht="20.100000000000001" customHeight="1">
      <c r="C605" s="1175"/>
      <c r="E605" s="1172"/>
      <c r="G605" s="1172"/>
      <c r="I605" s="1172"/>
      <c r="K605" s="1172"/>
      <c r="M605" s="1172"/>
      <c r="N605" s="1173"/>
      <c r="O605" s="1174"/>
      <c r="P605" s="1174"/>
      <c r="Q605" s="1174"/>
      <c r="R605" s="1174"/>
      <c r="S605" s="1174"/>
    </row>
    <row r="606" spans="3:19" s="1171" customFormat="1" ht="20.100000000000001" customHeight="1">
      <c r="C606" s="1175"/>
      <c r="E606" s="1172"/>
      <c r="G606" s="1172"/>
      <c r="I606" s="1172"/>
      <c r="K606" s="1172"/>
      <c r="M606" s="1172"/>
      <c r="N606" s="1173"/>
      <c r="O606" s="1174"/>
      <c r="P606" s="1174"/>
      <c r="Q606" s="1174"/>
      <c r="R606" s="1174"/>
      <c r="S606" s="1174"/>
    </row>
    <row r="607" spans="3:19" s="1171" customFormat="1" ht="20.100000000000001" customHeight="1">
      <c r="C607" s="1175"/>
      <c r="E607" s="1172"/>
      <c r="G607" s="1172"/>
      <c r="I607" s="1172"/>
      <c r="K607" s="1172"/>
      <c r="M607" s="1172"/>
      <c r="N607" s="1173"/>
      <c r="O607" s="1174"/>
      <c r="P607" s="1174"/>
      <c r="Q607" s="1174"/>
      <c r="R607" s="1174"/>
      <c r="S607" s="1174"/>
    </row>
    <row r="608" spans="3:19" s="1171" customFormat="1" ht="20.100000000000001" customHeight="1">
      <c r="C608" s="1175"/>
      <c r="E608" s="1172"/>
      <c r="G608" s="1172"/>
      <c r="I608" s="1172"/>
      <c r="K608" s="1172"/>
      <c r="M608" s="1172"/>
      <c r="N608" s="1173"/>
      <c r="O608" s="1174"/>
      <c r="P608" s="1174"/>
      <c r="Q608" s="1174"/>
      <c r="R608" s="1174"/>
      <c r="S608" s="1174"/>
    </row>
    <row r="609" spans="3:19" s="1171" customFormat="1" ht="20.100000000000001" customHeight="1">
      <c r="C609" s="1175"/>
      <c r="E609" s="1172"/>
      <c r="G609" s="1172"/>
      <c r="I609" s="1172"/>
      <c r="K609" s="1172"/>
      <c r="M609" s="1172"/>
      <c r="N609" s="1173"/>
      <c r="O609" s="1174"/>
      <c r="P609" s="1174"/>
      <c r="Q609" s="1174"/>
      <c r="R609" s="1174"/>
      <c r="S609" s="1174"/>
    </row>
    <row r="610" spans="3:19" s="1171" customFormat="1" ht="20.100000000000001" customHeight="1">
      <c r="C610" s="1175"/>
      <c r="E610" s="1172"/>
      <c r="G610" s="1172"/>
      <c r="I610" s="1172"/>
      <c r="K610" s="1172"/>
      <c r="M610" s="1172"/>
      <c r="N610" s="1173"/>
      <c r="O610" s="1174"/>
      <c r="P610" s="1174"/>
      <c r="Q610" s="1174"/>
      <c r="R610" s="1174"/>
      <c r="S610" s="1174"/>
    </row>
    <row r="611" spans="3:19" s="1171" customFormat="1" ht="20.100000000000001" customHeight="1">
      <c r="C611" s="1175"/>
      <c r="E611" s="1172"/>
      <c r="G611" s="1172"/>
      <c r="I611" s="1172"/>
      <c r="K611" s="1172"/>
      <c r="M611" s="1172"/>
      <c r="N611" s="1173"/>
      <c r="O611" s="1174"/>
      <c r="P611" s="1174"/>
      <c r="Q611" s="1174"/>
      <c r="R611" s="1174"/>
      <c r="S611" s="1174"/>
    </row>
    <row r="612" spans="3:19" s="1171" customFormat="1" ht="20.100000000000001" customHeight="1">
      <c r="C612" s="1175"/>
      <c r="E612" s="1172"/>
      <c r="G612" s="1172"/>
      <c r="I612" s="1172"/>
      <c r="K612" s="1172"/>
      <c r="M612" s="1172"/>
      <c r="N612" s="1173"/>
      <c r="O612" s="1174"/>
      <c r="P612" s="1174"/>
      <c r="Q612" s="1174"/>
      <c r="R612" s="1174"/>
      <c r="S612" s="1174"/>
    </row>
    <row r="613" spans="3:19" s="1171" customFormat="1" ht="20.100000000000001" customHeight="1">
      <c r="C613" s="1175"/>
      <c r="E613" s="1172"/>
      <c r="G613" s="1172"/>
      <c r="I613" s="1172"/>
      <c r="K613" s="1172"/>
      <c r="M613" s="1172"/>
      <c r="N613" s="1173"/>
      <c r="O613" s="1174"/>
      <c r="P613" s="1174"/>
      <c r="Q613" s="1174"/>
      <c r="R613" s="1174"/>
      <c r="S613" s="1174"/>
    </row>
    <row r="614" spans="3:19" s="1171" customFormat="1" ht="20.100000000000001" customHeight="1">
      <c r="C614" s="1175"/>
      <c r="E614" s="1172"/>
      <c r="G614" s="1172"/>
      <c r="I614" s="1172"/>
      <c r="K614" s="1172"/>
      <c r="M614" s="1172"/>
      <c r="N614" s="1173"/>
      <c r="O614" s="1174"/>
      <c r="P614" s="1174"/>
      <c r="Q614" s="1174"/>
      <c r="R614" s="1174"/>
      <c r="S614" s="1174"/>
    </row>
    <row r="615" spans="3:19" s="1171" customFormat="1" ht="20.100000000000001" customHeight="1">
      <c r="C615" s="1175"/>
      <c r="E615" s="1172"/>
      <c r="G615" s="1172"/>
      <c r="I615" s="1172"/>
      <c r="K615" s="1172"/>
      <c r="M615" s="1172"/>
      <c r="N615" s="1173"/>
      <c r="O615" s="1174"/>
      <c r="P615" s="1174"/>
      <c r="Q615" s="1174"/>
      <c r="R615" s="1174"/>
      <c r="S615" s="1174"/>
    </row>
    <row r="616" spans="3:19" s="1171" customFormat="1" ht="20.100000000000001" customHeight="1">
      <c r="C616" s="1175"/>
      <c r="E616" s="1172"/>
      <c r="G616" s="1172"/>
      <c r="I616" s="1172"/>
      <c r="K616" s="1172"/>
      <c r="M616" s="1172"/>
      <c r="N616" s="1173"/>
      <c r="O616" s="1174"/>
      <c r="P616" s="1174"/>
      <c r="Q616" s="1174"/>
      <c r="R616" s="1174"/>
      <c r="S616" s="1174"/>
    </row>
    <row r="617" spans="3:19" s="1171" customFormat="1" ht="20.100000000000001" customHeight="1">
      <c r="C617" s="1175"/>
      <c r="E617" s="1172"/>
      <c r="G617" s="1172"/>
      <c r="I617" s="1172"/>
      <c r="K617" s="1172"/>
      <c r="M617" s="1172"/>
      <c r="N617" s="1173"/>
      <c r="O617" s="1174"/>
      <c r="P617" s="1174"/>
      <c r="Q617" s="1174"/>
      <c r="R617" s="1174"/>
      <c r="S617" s="1174"/>
    </row>
    <row r="618" spans="3:19" s="1171" customFormat="1" ht="20.100000000000001" customHeight="1">
      <c r="C618" s="1175"/>
      <c r="E618" s="1172"/>
      <c r="G618" s="1172"/>
      <c r="I618" s="1172"/>
      <c r="K618" s="1172"/>
      <c r="M618" s="1172"/>
      <c r="N618" s="1173"/>
      <c r="O618" s="1174"/>
      <c r="P618" s="1174"/>
      <c r="Q618" s="1174"/>
      <c r="R618" s="1174"/>
      <c r="S618" s="1174"/>
    </row>
    <row r="619" spans="3:19" s="1171" customFormat="1" ht="20.100000000000001" customHeight="1">
      <c r="C619" s="1175"/>
      <c r="E619" s="1172"/>
      <c r="G619" s="1172"/>
      <c r="I619" s="1172"/>
      <c r="K619" s="1172"/>
      <c r="M619" s="1172"/>
      <c r="N619" s="1173"/>
      <c r="O619" s="1174"/>
      <c r="P619" s="1174"/>
      <c r="Q619" s="1174"/>
      <c r="R619" s="1174"/>
      <c r="S619" s="1174"/>
    </row>
    <row r="620" spans="3:19" s="1171" customFormat="1" ht="20.100000000000001" customHeight="1">
      <c r="C620" s="1175"/>
      <c r="E620" s="1172"/>
      <c r="G620" s="1172"/>
      <c r="I620" s="1172"/>
      <c r="K620" s="1172"/>
      <c r="M620" s="1172"/>
      <c r="N620" s="1173"/>
      <c r="O620" s="1174"/>
      <c r="P620" s="1174"/>
      <c r="Q620" s="1174"/>
      <c r="R620" s="1174"/>
      <c r="S620" s="1174"/>
    </row>
    <row r="621" spans="3:19" s="1171" customFormat="1" ht="20.100000000000001" customHeight="1">
      <c r="C621" s="1175"/>
      <c r="E621" s="1172"/>
      <c r="G621" s="1172"/>
      <c r="I621" s="1172"/>
      <c r="K621" s="1172"/>
      <c r="M621" s="1172"/>
      <c r="N621" s="1173"/>
      <c r="O621" s="1174"/>
      <c r="P621" s="1174"/>
      <c r="Q621" s="1174"/>
      <c r="R621" s="1174"/>
      <c r="S621" s="1174"/>
    </row>
    <row r="622" spans="3:19" s="1171" customFormat="1" ht="20.100000000000001" customHeight="1">
      <c r="C622" s="1175"/>
      <c r="E622" s="1172"/>
      <c r="G622" s="1172"/>
      <c r="I622" s="1172"/>
      <c r="K622" s="1172"/>
      <c r="M622" s="1172"/>
      <c r="N622" s="1173"/>
      <c r="O622" s="1174"/>
      <c r="P622" s="1174"/>
      <c r="Q622" s="1174"/>
      <c r="R622" s="1174"/>
      <c r="S622" s="1174"/>
    </row>
    <row r="623" spans="3:19" s="1171" customFormat="1" ht="20.100000000000001" customHeight="1">
      <c r="C623" s="1175"/>
      <c r="E623" s="1172"/>
      <c r="G623" s="1172"/>
      <c r="I623" s="1172"/>
      <c r="K623" s="1172"/>
      <c r="M623" s="1172"/>
      <c r="N623" s="1173"/>
      <c r="O623" s="1174"/>
      <c r="P623" s="1174"/>
      <c r="Q623" s="1174"/>
      <c r="R623" s="1174"/>
      <c r="S623" s="1174"/>
    </row>
    <row r="624" spans="3:19" s="1171" customFormat="1" ht="20.100000000000001" customHeight="1">
      <c r="C624" s="1175"/>
      <c r="E624" s="1172"/>
      <c r="G624" s="1172"/>
      <c r="I624" s="1172"/>
      <c r="K624" s="1172"/>
      <c r="M624" s="1172"/>
      <c r="N624" s="1173"/>
      <c r="O624" s="1174"/>
      <c r="P624" s="1174"/>
      <c r="Q624" s="1174"/>
      <c r="R624" s="1174"/>
      <c r="S624" s="1174"/>
    </row>
    <row r="625" spans="3:19" s="1171" customFormat="1" ht="20.100000000000001" customHeight="1">
      <c r="C625" s="1175"/>
      <c r="E625" s="1172"/>
      <c r="G625" s="1172"/>
      <c r="I625" s="1172"/>
      <c r="K625" s="1172"/>
      <c r="M625" s="1172"/>
      <c r="N625" s="1173"/>
      <c r="O625" s="1174"/>
      <c r="P625" s="1174"/>
      <c r="Q625" s="1174"/>
      <c r="R625" s="1174"/>
      <c r="S625" s="1174"/>
    </row>
    <row r="626" spans="3:19" s="1171" customFormat="1" ht="20.100000000000001" customHeight="1">
      <c r="C626" s="1175"/>
      <c r="E626" s="1172"/>
      <c r="G626" s="1172"/>
      <c r="I626" s="1172"/>
      <c r="K626" s="1172"/>
      <c r="M626" s="1172"/>
      <c r="N626" s="1173"/>
      <c r="O626" s="1174"/>
      <c r="P626" s="1174"/>
      <c r="Q626" s="1174"/>
      <c r="R626" s="1174"/>
      <c r="S626" s="1174"/>
    </row>
    <row r="627" spans="3:19" s="1171" customFormat="1" ht="20.100000000000001" customHeight="1">
      <c r="C627" s="1175"/>
      <c r="E627" s="1172"/>
      <c r="G627" s="1172"/>
      <c r="I627" s="1172"/>
      <c r="K627" s="1172"/>
      <c r="M627" s="1172"/>
      <c r="N627" s="1173"/>
      <c r="O627" s="1174"/>
      <c r="P627" s="1174"/>
      <c r="Q627" s="1174"/>
      <c r="R627" s="1174"/>
      <c r="S627" s="1174"/>
    </row>
    <row r="628" spans="3:19" s="1171" customFormat="1" ht="20.100000000000001" customHeight="1">
      <c r="C628" s="1175"/>
      <c r="E628" s="1172"/>
      <c r="G628" s="1172"/>
      <c r="I628" s="1172"/>
      <c r="K628" s="1172"/>
      <c r="M628" s="1172"/>
      <c r="N628" s="1173"/>
      <c r="O628" s="1174"/>
      <c r="P628" s="1174"/>
      <c r="Q628" s="1174"/>
      <c r="R628" s="1174"/>
      <c r="S628" s="1174"/>
    </row>
    <row r="629" spans="3:19" s="1171" customFormat="1" ht="20.100000000000001" customHeight="1">
      <c r="C629" s="1175"/>
      <c r="E629" s="1172"/>
      <c r="G629" s="1172"/>
      <c r="I629" s="1172"/>
      <c r="K629" s="1172"/>
      <c r="M629" s="1172"/>
      <c r="N629" s="1173"/>
      <c r="O629" s="1174"/>
      <c r="P629" s="1174"/>
      <c r="Q629" s="1174"/>
      <c r="R629" s="1174"/>
      <c r="S629" s="1174"/>
    </row>
    <row r="630" spans="3:19" s="1171" customFormat="1" ht="20.100000000000001" customHeight="1">
      <c r="C630" s="1175"/>
      <c r="E630" s="1172"/>
      <c r="G630" s="1172"/>
      <c r="I630" s="1172"/>
      <c r="K630" s="1172"/>
      <c r="M630" s="1172"/>
      <c r="N630" s="1173"/>
      <c r="O630" s="1174"/>
      <c r="P630" s="1174"/>
      <c r="Q630" s="1174"/>
      <c r="R630" s="1174"/>
      <c r="S630" s="1174"/>
    </row>
    <row r="631" spans="3:19" s="1171" customFormat="1" ht="20.100000000000001" customHeight="1">
      <c r="C631" s="1175"/>
      <c r="E631" s="1172"/>
      <c r="G631" s="1172"/>
      <c r="I631" s="1172"/>
      <c r="K631" s="1172"/>
      <c r="M631" s="1172"/>
      <c r="N631" s="1173"/>
      <c r="O631" s="1174"/>
      <c r="P631" s="1174"/>
      <c r="Q631" s="1174"/>
      <c r="R631" s="1174"/>
      <c r="S631" s="1174"/>
    </row>
    <row r="632" spans="3:19" s="1171" customFormat="1" ht="20.100000000000001" customHeight="1">
      <c r="C632" s="1175"/>
      <c r="E632" s="1172"/>
      <c r="G632" s="1172"/>
      <c r="I632" s="1172"/>
      <c r="K632" s="1172"/>
      <c r="M632" s="1172"/>
      <c r="N632" s="1173"/>
      <c r="O632" s="1174"/>
      <c r="P632" s="1174"/>
      <c r="Q632" s="1174"/>
      <c r="R632" s="1174"/>
      <c r="S632" s="1174"/>
    </row>
    <row r="633" spans="3:19" s="1171" customFormat="1" ht="20.100000000000001" customHeight="1">
      <c r="C633" s="1175"/>
      <c r="E633" s="1172"/>
      <c r="G633" s="1172"/>
      <c r="I633" s="1172"/>
      <c r="K633" s="1172"/>
      <c r="M633" s="1172"/>
      <c r="N633" s="1173"/>
      <c r="O633" s="1174"/>
      <c r="P633" s="1174"/>
      <c r="Q633" s="1174"/>
      <c r="R633" s="1174"/>
      <c r="S633" s="1174"/>
    </row>
    <row r="634" spans="3:19" s="1171" customFormat="1" ht="20.100000000000001" customHeight="1">
      <c r="C634" s="1175"/>
      <c r="E634" s="1172"/>
      <c r="G634" s="1172"/>
      <c r="I634" s="1172"/>
      <c r="K634" s="1172"/>
      <c r="M634" s="1172"/>
      <c r="N634" s="1173"/>
      <c r="O634" s="1174"/>
      <c r="P634" s="1174"/>
      <c r="Q634" s="1174"/>
      <c r="R634" s="1174"/>
      <c r="S634" s="1174"/>
    </row>
    <row r="635" spans="3:19" s="1171" customFormat="1" ht="20.100000000000001" customHeight="1">
      <c r="C635" s="1175"/>
      <c r="E635" s="1172"/>
      <c r="G635" s="1172"/>
      <c r="I635" s="1172"/>
      <c r="K635" s="1172"/>
      <c r="M635" s="1172"/>
      <c r="N635" s="1173"/>
      <c r="O635" s="1174"/>
      <c r="P635" s="1174"/>
      <c r="Q635" s="1174"/>
      <c r="R635" s="1174"/>
      <c r="S635" s="1174"/>
    </row>
    <row r="636" spans="3:19" s="1171" customFormat="1" ht="20.100000000000001" customHeight="1">
      <c r="C636" s="1175"/>
      <c r="E636" s="1172"/>
      <c r="G636" s="1172"/>
      <c r="I636" s="1172"/>
      <c r="K636" s="1172"/>
      <c r="M636" s="1172"/>
      <c r="N636" s="1173"/>
      <c r="O636" s="1174"/>
      <c r="P636" s="1174"/>
      <c r="Q636" s="1174"/>
      <c r="R636" s="1174"/>
      <c r="S636" s="1174"/>
    </row>
    <row r="637" spans="3:19" s="1171" customFormat="1" ht="20.100000000000001" customHeight="1">
      <c r="C637" s="1175"/>
      <c r="E637" s="1172"/>
      <c r="G637" s="1172"/>
      <c r="I637" s="1172"/>
      <c r="K637" s="1172"/>
      <c r="M637" s="1172"/>
      <c r="N637" s="1173"/>
      <c r="O637" s="1174"/>
      <c r="P637" s="1174"/>
      <c r="Q637" s="1174"/>
      <c r="R637" s="1174"/>
      <c r="S637" s="1174"/>
    </row>
    <row r="638" spans="3:19" s="1171" customFormat="1" ht="20.100000000000001" customHeight="1">
      <c r="C638" s="1175"/>
      <c r="E638" s="1172"/>
      <c r="G638" s="1172"/>
      <c r="I638" s="1172"/>
      <c r="K638" s="1172"/>
      <c r="M638" s="1172"/>
      <c r="N638" s="1173"/>
      <c r="O638" s="1174"/>
      <c r="P638" s="1174"/>
      <c r="Q638" s="1174"/>
      <c r="R638" s="1174"/>
      <c r="S638" s="1174"/>
    </row>
    <row r="639" spans="3:19" s="1171" customFormat="1" ht="20.100000000000001" customHeight="1">
      <c r="C639" s="1175"/>
      <c r="E639" s="1172"/>
      <c r="G639" s="1172"/>
      <c r="I639" s="1172"/>
      <c r="K639" s="1172"/>
      <c r="M639" s="1172"/>
      <c r="N639" s="1173"/>
      <c r="O639" s="1174"/>
      <c r="P639" s="1174"/>
      <c r="Q639" s="1174"/>
      <c r="R639" s="1174"/>
      <c r="S639" s="1174"/>
    </row>
    <row r="640" spans="3:19" s="1171" customFormat="1" ht="20.100000000000001" customHeight="1">
      <c r="C640" s="1175"/>
      <c r="E640" s="1172"/>
      <c r="G640" s="1172"/>
      <c r="I640" s="1172"/>
      <c r="K640" s="1172"/>
      <c r="M640" s="1172"/>
      <c r="N640" s="1173"/>
      <c r="O640" s="1174"/>
      <c r="P640" s="1174"/>
      <c r="Q640" s="1174"/>
      <c r="R640" s="1174"/>
      <c r="S640" s="1174"/>
    </row>
    <row r="641" spans="3:19" s="1171" customFormat="1" ht="20.100000000000001" customHeight="1">
      <c r="C641" s="1175"/>
      <c r="E641" s="1172"/>
      <c r="G641" s="1172"/>
      <c r="I641" s="1172"/>
      <c r="K641" s="1172"/>
      <c r="M641" s="1172"/>
      <c r="N641" s="1173"/>
      <c r="O641" s="1174"/>
      <c r="P641" s="1174"/>
      <c r="Q641" s="1174"/>
      <c r="R641" s="1174"/>
      <c r="S641" s="1174"/>
    </row>
    <row r="642" spans="3:19" s="1171" customFormat="1" ht="20.100000000000001" customHeight="1">
      <c r="C642" s="1175"/>
      <c r="E642" s="1172"/>
      <c r="G642" s="1172"/>
      <c r="I642" s="1172"/>
      <c r="K642" s="1172"/>
      <c r="M642" s="1172"/>
      <c r="N642" s="1173"/>
      <c r="O642" s="1174"/>
      <c r="P642" s="1174"/>
      <c r="Q642" s="1174"/>
      <c r="R642" s="1174"/>
      <c r="S642" s="1174"/>
    </row>
    <row r="643" spans="3:19" s="1171" customFormat="1" ht="20.100000000000001" customHeight="1">
      <c r="C643" s="1175"/>
      <c r="E643" s="1172"/>
      <c r="G643" s="1172"/>
      <c r="I643" s="1172"/>
      <c r="K643" s="1172"/>
      <c r="M643" s="1172"/>
      <c r="N643" s="1173"/>
      <c r="O643" s="1174"/>
      <c r="P643" s="1174"/>
      <c r="Q643" s="1174"/>
      <c r="R643" s="1174"/>
      <c r="S643" s="1174"/>
    </row>
    <row r="644" spans="3:19" s="1171" customFormat="1" ht="20.100000000000001" customHeight="1">
      <c r="C644" s="1175"/>
      <c r="E644" s="1172"/>
      <c r="G644" s="1172"/>
      <c r="I644" s="1172"/>
      <c r="K644" s="1172"/>
      <c r="M644" s="1172"/>
      <c r="N644" s="1173"/>
      <c r="O644" s="1174"/>
      <c r="P644" s="1174"/>
      <c r="Q644" s="1174"/>
      <c r="R644" s="1174"/>
      <c r="S644" s="1174"/>
    </row>
    <row r="645" spans="3:19" s="1171" customFormat="1" ht="20.100000000000001" customHeight="1">
      <c r="C645" s="1175"/>
      <c r="E645" s="1172"/>
      <c r="G645" s="1172"/>
      <c r="I645" s="1172"/>
      <c r="K645" s="1172"/>
      <c r="M645" s="1172"/>
      <c r="N645" s="1173"/>
      <c r="O645" s="1174"/>
      <c r="P645" s="1174"/>
      <c r="Q645" s="1174"/>
      <c r="R645" s="1174"/>
      <c r="S645" s="1174"/>
    </row>
    <row r="646" spans="3:19" s="1171" customFormat="1" ht="20.100000000000001" customHeight="1">
      <c r="C646" s="1175"/>
      <c r="E646" s="1172"/>
      <c r="G646" s="1172"/>
      <c r="I646" s="1172"/>
      <c r="K646" s="1172"/>
      <c r="M646" s="1172"/>
      <c r="N646" s="1173"/>
      <c r="O646" s="1174"/>
      <c r="P646" s="1174"/>
      <c r="Q646" s="1174"/>
      <c r="R646" s="1174"/>
      <c r="S646" s="1174"/>
    </row>
    <row r="647" spans="3:19" s="1171" customFormat="1" ht="20.100000000000001" customHeight="1">
      <c r="C647" s="1175"/>
      <c r="E647" s="1172"/>
      <c r="G647" s="1172"/>
      <c r="I647" s="1172"/>
      <c r="K647" s="1172"/>
      <c r="M647" s="1172"/>
      <c r="N647" s="1173"/>
      <c r="O647" s="1174"/>
      <c r="P647" s="1174"/>
      <c r="Q647" s="1174"/>
      <c r="R647" s="1174"/>
      <c r="S647" s="1174"/>
    </row>
    <row r="648" spans="3:19" s="1171" customFormat="1" ht="20.100000000000001" customHeight="1">
      <c r="C648" s="1175"/>
      <c r="E648" s="1172"/>
      <c r="G648" s="1172"/>
      <c r="I648" s="1172"/>
      <c r="K648" s="1172"/>
      <c r="M648" s="1172"/>
      <c r="N648" s="1173"/>
      <c r="O648" s="1174"/>
      <c r="P648" s="1174"/>
      <c r="Q648" s="1174"/>
      <c r="R648" s="1174"/>
      <c r="S648" s="1174"/>
    </row>
    <row r="649" spans="3:19" s="1171" customFormat="1" ht="20.100000000000001" customHeight="1">
      <c r="C649" s="1175"/>
      <c r="E649" s="1172"/>
      <c r="G649" s="1172"/>
      <c r="I649" s="1172"/>
      <c r="K649" s="1172"/>
      <c r="M649" s="1172"/>
      <c r="N649" s="1173"/>
      <c r="O649" s="1174"/>
      <c r="P649" s="1174"/>
      <c r="Q649" s="1174"/>
      <c r="R649" s="1174"/>
      <c r="S649" s="1174"/>
    </row>
    <row r="650" spans="3:19" s="1171" customFormat="1" ht="20.100000000000001" customHeight="1">
      <c r="C650" s="1175"/>
      <c r="E650" s="1172"/>
      <c r="G650" s="1172"/>
      <c r="I650" s="1172"/>
      <c r="K650" s="1172"/>
      <c r="M650" s="1172"/>
      <c r="N650" s="1173"/>
      <c r="O650" s="1174"/>
      <c r="P650" s="1174"/>
      <c r="Q650" s="1174"/>
      <c r="R650" s="1174"/>
      <c r="S650" s="1174"/>
    </row>
    <row r="651" spans="3:19" s="1171" customFormat="1" ht="20.100000000000001" customHeight="1">
      <c r="C651" s="1175"/>
      <c r="E651" s="1172"/>
      <c r="G651" s="1172"/>
      <c r="I651" s="1172"/>
      <c r="K651" s="1172"/>
      <c r="M651" s="1172"/>
      <c r="N651" s="1173"/>
      <c r="O651" s="1174"/>
      <c r="P651" s="1174"/>
      <c r="Q651" s="1174"/>
      <c r="R651" s="1174"/>
      <c r="S651" s="1174"/>
    </row>
    <row r="652" spans="3:19" s="1171" customFormat="1" ht="20.100000000000001" customHeight="1">
      <c r="C652" s="1175"/>
      <c r="E652" s="1172"/>
      <c r="G652" s="1172"/>
      <c r="I652" s="1172"/>
      <c r="K652" s="1172"/>
      <c r="M652" s="1172"/>
      <c r="N652" s="1173"/>
      <c r="O652" s="1174"/>
      <c r="P652" s="1174"/>
      <c r="Q652" s="1174"/>
      <c r="R652" s="1174"/>
      <c r="S652" s="1174"/>
    </row>
    <row r="653" spans="3:19" s="1171" customFormat="1" ht="20.100000000000001" customHeight="1">
      <c r="C653" s="1175"/>
      <c r="E653" s="1172"/>
      <c r="G653" s="1172"/>
      <c r="I653" s="1172"/>
      <c r="K653" s="1172"/>
      <c r="M653" s="1172"/>
      <c r="N653" s="1173"/>
      <c r="O653" s="1174"/>
      <c r="P653" s="1174"/>
      <c r="Q653" s="1174"/>
      <c r="R653" s="1174"/>
      <c r="S653" s="1174"/>
    </row>
    <row r="654" spans="3:19" s="1171" customFormat="1" ht="20.100000000000001" customHeight="1">
      <c r="C654" s="1175"/>
      <c r="E654" s="1172"/>
      <c r="G654" s="1172"/>
      <c r="I654" s="1172"/>
      <c r="K654" s="1172"/>
      <c r="M654" s="1172"/>
      <c r="N654" s="1173"/>
      <c r="O654" s="1174"/>
      <c r="P654" s="1174"/>
      <c r="Q654" s="1174"/>
      <c r="R654" s="1174"/>
      <c r="S654" s="1174"/>
    </row>
    <row r="655" spans="3:19" s="1171" customFormat="1" ht="20.100000000000001" customHeight="1">
      <c r="C655" s="1175"/>
      <c r="E655" s="1172"/>
      <c r="G655" s="1172"/>
      <c r="I655" s="1172"/>
      <c r="K655" s="1172"/>
      <c r="M655" s="1172"/>
      <c r="N655" s="1173"/>
      <c r="O655" s="1174"/>
      <c r="P655" s="1174"/>
      <c r="Q655" s="1174"/>
      <c r="R655" s="1174"/>
      <c r="S655" s="1174"/>
    </row>
    <row r="656" spans="3:19" s="1171" customFormat="1" ht="20.100000000000001" customHeight="1">
      <c r="C656" s="1175"/>
      <c r="E656" s="1172"/>
      <c r="G656" s="1172"/>
      <c r="I656" s="1172"/>
      <c r="K656" s="1172"/>
      <c r="M656" s="1172"/>
      <c r="N656" s="1173"/>
      <c r="O656" s="1174"/>
      <c r="P656" s="1174"/>
      <c r="Q656" s="1174"/>
      <c r="R656" s="1174"/>
      <c r="S656" s="1174"/>
    </row>
    <row r="657" spans="3:19" s="1171" customFormat="1" ht="20.100000000000001" customHeight="1">
      <c r="C657" s="1175"/>
      <c r="E657" s="1172"/>
      <c r="G657" s="1172"/>
      <c r="I657" s="1172"/>
      <c r="K657" s="1172"/>
      <c r="M657" s="1172"/>
      <c r="N657" s="1173"/>
      <c r="O657" s="1174"/>
      <c r="P657" s="1174"/>
      <c r="Q657" s="1174"/>
      <c r="R657" s="1174"/>
      <c r="S657" s="1174"/>
    </row>
    <row r="658" spans="3:19" s="1171" customFormat="1" ht="20.100000000000001" customHeight="1">
      <c r="C658" s="1175"/>
      <c r="E658" s="1172"/>
      <c r="G658" s="1172"/>
      <c r="I658" s="1172"/>
      <c r="K658" s="1172"/>
      <c r="M658" s="1172"/>
      <c r="N658" s="1173"/>
      <c r="O658" s="1174"/>
      <c r="P658" s="1174"/>
      <c r="Q658" s="1174"/>
      <c r="R658" s="1174"/>
      <c r="S658" s="1174"/>
    </row>
    <row r="659" spans="3:19" s="1171" customFormat="1" ht="20.100000000000001" customHeight="1">
      <c r="C659" s="1175"/>
      <c r="E659" s="1172"/>
      <c r="G659" s="1172"/>
      <c r="I659" s="1172"/>
      <c r="K659" s="1172"/>
      <c r="M659" s="1172"/>
      <c r="N659" s="1173"/>
      <c r="O659" s="1174"/>
      <c r="P659" s="1174"/>
      <c r="Q659" s="1174"/>
      <c r="R659" s="1174"/>
      <c r="S659" s="1174"/>
    </row>
    <row r="660" spans="3:19" s="1171" customFormat="1" ht="20.100000000000001" customHeight="1">
      <c r="C660" s="1175"/>
      <c r="E660" s="1172"/>
      <c r="G660" s="1172"/>
      <c r="I660" s="1172"/>
      <c r="K660" s="1172"/>
      <c r="M660" s="1172"/>
      <c r="N660" s="1173"/>
      <c r="O660" s="1174"/>
      <c r="P660" s="1174"/>
      <c r="Q660" s="1174"/>
      <c r="R660" s="1174"/>
      <c r="S660" s="1174"/>
    </row>
    <row r="661" spans="3:19" s="1171" customFormat="1" ht="20.100000000000001" customHeight="1">
      <c r="C661" s="1175"/>
      <c r="E661" s="1172"/>
      <c r="G661" s="1172"/>
      <c r="I661" s="1172"/>
      <c r="K661" s="1172"/>
      <c r="M661" s="1172"/>
      <c r="N661" s="1173"/>
      <c r="O661" s="1174"/>
      <c r="P661" s="1174"/>
      <c r="Q661" s="1174"/>
      <c r="R661" s="1174"/>
      <c r="S661" s="1174"/>
    </row>
    <row r="662" spans="3:19" s="1171" customFormat="1" ht="20.100000000000001" customHeight="1">
      <c r="C662" s="1175"/>
      <c r="E662" s="1172"/>
      <c r="G662" s="1172"/>
      <c r="I662" s="1172"/>
      <c r="K662" s="1172"/>
      <c r="M662" s="1172"/>
      <c r="N662" s="1173"/>
      <c r="O662" s="1174"/>
      <c r="P662" s="1174"/>
      <c r="Q662" s="1174"/>
      <c r="R662" s="1174"/>
      <c r="S662" s="1174"/>
    </row>
    <row r="663" spans="3:19" s="1171" customFormat="1" ht="20.100000000000001" customHeight="1">
      <c r="C663" s="1175"/>
      <c r="E663" s="1172"/>
      <c r="G663" s="1172"/>
      <c r="I663" s="1172"/>
      <c r="K663" s="1172"/>
      <c r="M663" s="1172"/>
      <c r="N663" s="1173"/>
      <c r="O663" s="1174"/>
      <c r="P663" s="1174"/>
      <c r="Q663" s="1174"/>
      <c r="R663" s="1174"/>
      <c r="S663" s="1174"/>
    </row>
    <row r="664" spans="3:19" s="1171" customFormat="1" ht="20.100000000000001" customHeight="1">
      <c r="C664" s="1175"/>
      <c r="E664" s="1172"/>
      <c r="G664" s="1172"/>
      <c r="I664" s="1172"/>
      <c r="K664" s="1172"/>
      <c r="M664" s="1172"/>
      <c r="N664" s="1173"/>
      <c r="O664" s="1174"/>
      <c r="P664" s="1174"/>
      <c r="Q664" s="1174"/>
      <c r="R664" s="1174"/>
      <c r="S664" s="1174"/>
    </row>
    <row r="665" spans="3:19" s="1171" customFormat="1" ht="20.100000000000001" customHeight="1">
      <c r="C665" s="1175"/>
      <c r="E665" s="1172"/>
      <c r="G665" s="1172"/>
      <c r="I665" s="1172"/>
      <c r="K665" s="1172"/>
      <c r="M665" s="1172"/>
      <c r="N665" s="1173"/>
      <c r="O665" s="1174"/>
      <c r="P665" s="1174"/>
      <c r="Q665" s="1174"/>
      <c r="R665" s="1174"/>
      <c r="S665" s="1174"/>
    </row>
    <row r="666" spans="3:19" s="1171" customFormat="1" ht="20.100000000000001" customHeight="1">
      <c r="C666" s="1175"/>
      <c r="E666" s="1172"/>
      <c r="G666" s="1172"/>
      <c r="I666" s="1172"/>
      <c r="K666" s="1172"/>
      <c r="M666" s="1172"/>
      <c r="N666" s="1173"/>
      <c r="O666" s="1174"/>
      <c r="P666" s="1174"/>
      <c r="Q666" s="1174"/>
      <c r="R666" s="1174"/>
      <c r="S666" s="1174"/>
    </row>
    <row r="667" spans="3:19" s="1171" customFormat="1" ht="20.100000000000001" customHeight="1">
      <c r="C667" s="1175"/>
      <c r="E667" s="1172"/>
      <c r="G667" s="1172"/>
      <c r="I667" s="1172"/>
      <c r="K667" s="1172"/>
      <c r="M667" s="1172"/>
      <c r="N667" s="1173"/>
      <c r="O667" s="1174"/>
      <c r="P667" s="1174"/>
      <c r="Q667" s="1174"/>
      <c r="R667" s="1174"/>
      <c r="S667" s="1174"/>
    </row>
    <row r="668" spans="3:19" s="1171" customFormat="1" ht="20.100000000000001" customHeight="1">
      <c r="C668" s="1175"/>
      <c r="E668" s="1172"/>
      <c r="G668" s="1172"/>
      <c r="I668" s="1172"/>
      <c r="K668" s="1172"/>
      <c r="M668" s="1172"/>
      <c r="N668" s="1173"/>
      <c r="O668" s="1174"/>
      <c r="P668" s="1174"/>
      <c r="Q668" s="1174"/>
      <c r="R668" s="1174"/>
      <c r="S668" s="1174"/>
    </row>
    <row r="669" spans="3:19" s="1171" customFormat="1" ht="20.100000000000001" customHeight="1">
      <c r="C669" s="1175"/>
      <c r="E669" s="1172"/>
      <c r="G669" s="1172"/>
      <c r="I669" s="1172"/>
      <c r="K669" s="1172"/>
      <c r="M669" s="1172"/>
      <c r="N669" s="1173"/>
      <c r="O669" s="1174"/>
      <c r="P669" s="1174"/>
      <c r="Q669" s="1174"/>
      <c r="R669" s="1174"/>
      <c r="S669" s="1174"/>
    </row>
    <row r="670" spans="3:19" s="1171" customFormat="1" ht="20.100000000000001" customHeight="1">
      <c r="C670" s="1175"/>
      <c r="E670" s="1172"/>
      <c r="G670" s="1172"/>
      <c r="I670" s="1172"/>
      <c r="K670" s="1172"/>
      <c r="M670" s="1172"/>
      <c r="N670" s="1173"/>
      <c r="O670" s="1174"/>
      <c r="P670" s="1174"/>
      <c r="Q670" s="1174"/>
      <c r="R670" s="1174"/>
      <c r="S670" s="1174"/>
    </row>
    <row r="671" spans="3:19" s="1171" customFormat="1" ht="20.100000000000001" customHeight="1">
      <c r="C671" s="1175"/>
      <c r="E671" s="1172"/>
      <c r="G671" s="1172"/>
      <c r="I671" s="1172"/>
      <c r="K671" s="1172"/>
      <c r="M671" s="1172"/>
      <c r="N671" s="1173"/>
      <c r="O671" s="1174"/>
      <c r="P671" s="1174"/>
      <c r="Q671" s="1174"/>
      <c r="R671" s="1174"/>
      <c r="S671" s="1174"/>
    </row>
    <row r="672" spans="3:19" s="1171" customFormat="1" ht="20.100000000000001" customHeight="1">
      <c r="C672" s="1175"/>
      <c r="E672" s="1172"/>
      <c r="G672" s="1172"/>
      <c r="I672" s="1172"/>
      <c r="K672" s="1172"/>
      <c r="M672" s="1172"/>
      <c r="N672" s="1173"/>
      <c r="O672" s="1174"/>
      <c r="P672" s="1174"/>
      <c r="Q672" s="1174"/>
      <c r="R672" s="1174"/>
      <c r="S672" s="1174"/>
    </row>
    <row r="673" spans="3:19" s="1171" customFormat="1" ht="20.100000000000001" customHeight="1">
      <c r="C673" s="1175"/>
      <c r="E673" s="1172"/>
      <c r="G673" s="1172"/>
      <c r="I673" s="1172"/>
      <c r="K673" s="1172"/>
      <c r="M673" s="1172"/>
      <c r="N673" s="1173"/>
      <c r="O673" s="1174"/>
      <c r="P673" s="1174"/>
      <c r="Q673" s="1174"/>
      <c r="R673" s="1174"/>
      <c r="S673" s="1174"/>
    </row>
    <row r="674" spans="3:19" s="1171" customFormat="1" ht="20.100000000000001" customHeight="1">
      <c r="C674" s="1175"/>
      <c r="E674" s="1172"/>
      <c r="G674" s="1172"/>
      <c r="I674" s="1172"/>
      <c r="K674" s="1172"/>
      <c r="M674" s="1172"/>
      <c r="N674" s="1173"/>
      <c r="O674" s="1174"/>
      <c r="P674" s="1174"/>
      <c r="Q674" s="1174"/>
      <c r="R674" s="1174"/>
      <c r="S674" s="1174"/>
    </row>
    <row r="675" spans="3:19" s="1171" customFormat="1" ht="20.100000000000001" customHeight="1">
      <c r="C675" s="1175"/>
      <c r="E675" s="1172"/>
      <c r="G675" s="1172"/>
      <c r="I675" s="1172"/>
      <c r="K675" s="1172"/>
      <c r="M675" s="1172"/>
      <c r="N675" s="1173"/>
      <c r="O675" s="1174"/>
      <c r="P675" s="1174"/>
      <c r="Q675" s="1174"/>
      <c r="R675" s="1174"/>
      <c r="S675" s="1174"/>
    </row>
    <row r="676" spans="3:19" s="1171" customFormat="1" ht="20.100000000000001" customHeight="1">
      <c r="C676" s="1175"/>
      <c r="E676" s="1172"/>
      <c r="G676" s="1172"/>
      <c r="I676" s="1172"/>
      <c r="K676" s="1172"/>
      <c r="M676" s="1172"/>
      <c r="N676" s="1173"/>
      <c r="O676" s="1174"/>
      <c r="P676" s="1174"/>
      <c r="Q676" s="1174"/>
      <c r="R676" s="1174"/>
      <c r="S676" s="1174"/>
    </row>
    <row r="677" spans="3:19" s="1171" customFormat="1" ht="20.100000000000001" customHeight="1">
      <c r="C677" s="1175"/>
      <c r="E677" s="1172"/>
      <c r="G677" s="1172"/>
      <c r="I677" s="1172"/>
      <c r="K677" s="1172"/>
      <c r="M677" s="1172"/>
      <c r="N677" s="1173"/>
      <c r="O677" s="1174"/>
      <c r="P677" s="1174"/>
      <c r="Q677" s="1174"/>
      <c r="R677" s="1174"/>
      <c r="S677" s="1174"/>
    </row>
    <row r="678" spans="3:19" s="1171" customFormat="1" ht="20.100000000000001" customHeight="1">
      <c r="C678" s="1175"/>
      <c r="E678" s="1172"/>
      <c r="G678" s="1172"/>
      <c r="I678" s="1172"/>
      <c r="K678" s="1172"/>
      <c r="M678" s="1172"/>
      <c r="N678" s="1173"/>
      <c r="O678" s="1174"/>
      <c r="P678" s="1174"/>
      <c r="Q678" s="1174"/>
      <c r="R678" s="1174"/>
      <c r="S678" s="1174"/>
    </row>
    <row r="679" spans="3:19" s="1171" customFormat="1" ht="20.100000000000001" customHeight="1">
      <c r="C679" s="1175"/>
      <c r="E679" s="1172"/>
      <c r="G679" s="1172"/>
      <c r="I679" s="1172"/>
      <c r="K679" s="1172"/>
      <c r="M679" s="1172"/>
      <c r="N679" s="1173"/>
      <c r="O679" s="1174"/>
      <c r="P679" s="1174"/>
      <c r="Q679" s="1174"/>
      <c r="R679" s="1174"/>
      <c r="S679" s="1174"/>
    </row>
    <row r="680" spans="3:19" s="1171" customFormat="1" ht="20.100000000000001" customHeight="1">
      <c r="C680" s="1175"/>
      <c r="E680" s="1172"/>
      <c r="G680" s="1172"/>
      <c r="I680" s="1172"/>
      <c r="K680" s="1172"/>
      <c r="M680" s="1172"/>
      <c r="N680" s="1173"/>
      <c r="O680" s="1174"/>
      <c r="P680" s="1174"/>
      <c r="Q680" s="1174"/>
      <c r="R680" s="1174"/>
      <c r="S680" s="1174"/>
    </row>
    <row r="681" spans="3:19" s="1171" customFormat="1" ht="20.100000000000001" customHeight="1">
      <c r="C681" s="1175"/>
      <c r="E681" s="1172"/>
      <c r="G681" s="1172"/>
      <c r="I681" s="1172"/>
      <c r="K681" s="1172"/>
      <c r="M681" s="1172"/>
      <c r="N681" s="1173"/>
      <c r="O681" s="1174"/>
      <c r="P681" s="1174"/>
      <c r="Q681" s="1174"/>
      <c r="R681" s="1174"/>
      <c r="S681" s="1174"/>
    </row>
    <row r="682" spans="3:19" s="1171" customFormat="1" ht="20.100000000000001" customHeight="1">
      <c r="C682" s="1175"/>
      <c r="E682" s="1172"/>
      <c r="G682" s="1172"/>
      <c r="I682" s="1172"/>
      <c r="K682" s="1172"/>
      <c r="M682" s="1172"/>
      <c r="N682" s="1173"/>
      <c r="O682" s="1174"/>
      <c r="P682" s="1174"/>
      <c r="Q682" s="1174"/>
      <c r="R682" s="1174"/>
      <c r="S682" s="1174"/>
    </row>
    <row r="683" spans="3:19" s="1171" customFormat="1" ht="20.100000000000001" customHeight="1">
      <c r="C683" s="1175"/>
      <c r="E683" s="1172"/>
      <c r="G683" s="1172"/>
      <c r="I683" s="1172"/>
      <c r="K683" s="1172"/>
      <c r="M683" s="1172"/>
      <c r="N683" s="1173"/>
      <c r="O683" s="1174"/>
      <c r="P683" s="1174"/>
      <c r="Q683" s="1174"/>
      <c r="R683" s="1174"/>
      <c r="S683" s="1174"/>
    </row>
    <row r="684" spans="3:19" s="1171" customFormat="1" ht="20.100000000000001" customHeight="1">
      <c r="C684" s="1175"/>
      <c r="E684" s="1172"/>
      <c r="G684" s="1172"/>
      <c r="I684" s="1172"/>
      <c r="K684" s="1172"/>
      <c r="M684" s="1172"/>
      <c r="N684" s="1173"/>
      <c r="O684" s="1174"/>
      <c r="P684" s="1174"/>
      <c r="Q684" s="1174"/>
      <c r="R684" s="1174"/>
      <c r="S684" s="1174"/>
    </row>
    <row r="685" spans="3:19" s="1171" customFormat="1" ht="20.100000000000001" customHeight="1">
      <c r="C685" s="1175"/>
      <c r="E685" s="1172"/>
      <c r="G685" s="1172"/>
      <c r="I685" s="1172"/>
      <c r="K685" s="1172"/>
      <c r="M685" s="1172"/>
      <c r="N685" s="1173"/>
      <c r="O685" s="1174"/>
      <c r="P685" s="1174"/>
      <c r="Q685" s="1174"/>
      <c r="R685" s="1174"/>
      <c r="S685" s="1174"/>
    </row>
    <row r="686" spans="3:19" s="1171" customFormat="1" ht="20.100000000000001" customHeight="1">
      <c r="C686" s="1175"/>
      <c r="E686" s="1172"/>
      <c r="G686" s="1172"/>
      <c r="I686" s="1172"/>
      <c r="K686" s="1172"/>
      <c r="M686" s="1172"/>
      <c r="N686" s="1173"/>
      <c r="O686" s="1174"/>
      <c r="P686" s="1174"/>
      <c r="Q686" s="1174"/>
      <c r="R686" s="1174"/>
      <c r="S686" s="1174"/>
    </row>
    <row r="687" spans="3:19" s="1171" customFormat="1" ht="20.100000000000001" customHeight="1">
      <c r="C687" s="1175"/>
      <c r="E687" s="1172"/>
      <c r="G687" s="1172"/>
      <c r="I687" s="1172"/>
      <c r="K687" s="1172"/>
      <c r="M687" s="1172"/>
      <c r="N687" s="1173"/>
      <c r="O687" s="1174"/>
      <c r="P687" s="1174"/>
      <c r="Q687" s="1174"/>
      <c r="R687" s="1174"/>
      <c r="S687" s="1174"/>
    </row>
    <row r="688" spans="3:19" s="1171" customFormat="1" ht="20.100000000000001" customHeight="1">
      <c r="C688" s="1175"/>
      <c r="E688" s="1172"/>
      <c r="G688" s="1172"/>
      <c r="I688" s="1172"/>
      <c r="K688" s="1172"/>
      <c r="M688" s="1172"/>
      <c r="N688" s="1173"/>
      <c r="O688" s="1174"/>
      <c r="P688" s="1174"/>
      <c r="Q688" s="1174"/>
      <c r="R688" s="1174"/>
      <c r="S688" s="1174"/>
    </row>
    <row r="689" spans="3:19" s="1171" customFormat="1" ht="20.100000000000001" customHeight="1">
      <c r="C689" s="1175"/>
      <c r="E689" s="1172"/>
      <c r="G689" s="1172"/>
      <c r="I689" s="1172"/>
      <c r="K689" s="1172"/>
      <c r="M689" s="1172"/>
      <c r="N689" s="1173"/>
      <c r="O689" s="1174"/>
      <c r="P689" s="1174"/>
      <c r="Q689" s="1174"/>
      <c r="R689" s="1174"/>
      <c r="S689" s="1174"/>
    </row>
    <row r="690" spans="3:19" s="1171" customFormat="1" ht="20.100000000000001" customHeight="1">
      <c r="C690" s="1175"/>
      <c r="E690" s="1172"/>
      <c r="G690" s="1172"/>
      <c r="I690" s="1172"/>
      <c r="K690" s="1172"/>
      <c r="M690" s="1172"/>
      <c r="N690" s="1173"/>
      <c r="O690" s="1174"/>
      <c r="P690" s="1174"/>
      <c r="Q690" s="1174"/>
      <c r="R690" s="1174"/>
      <c r="S690" s="1174"/>
    </row>
    <row r="691" spans="3:19" s="1171" customFormat="1" ht="20.100000000000001" customHeight="1">
      <c r="C691" s="1175"/>
      <c r="E691" s="1172"/>
      <c r="G691" s="1172"/>
      <c r="I691" s="1172"/>
      <c r="K691" s="1172"/>
      <c r="M691" s="1172"/>
      <c r="N691" s="1173"/>
      <c r="O691" s="1174"/>
      <c r="P691" s="1174"/>
      <c r="Q691" s="1174"/>
      <c r="R691" s="1174"/>
      <c r="S691" s="1174"/>
    </row>
    <row r="692" spans="3:19" s="1171" customFormat="1" ht="20.100000000000001" customHeight="1">
      <c r="C692" s="1175"/>
      <c r="E692" s="1172"/>
      <c r="G692" s="1172"/>
      <c r="I692" s="1172"/>
      <c r="K692" s="1172"/>
      <c r="M692" s="1172"/>
      <c r="N692" s="1173"/>
      <c r="O692" s="1174"/>
      <c r="P692" s="1174"/>
      <c r="Q692" s="1174"/>
      <c r="R692" s="1174"/>
      <c r="S692" s="1174"/>
    </row>
    <row r="693" spans="3:19" s="1171" customFormat="1" ht="20.100000000000001" customHeight="1">
      <c r="C693" s="1175"/>
      <c r="E693" s="1172"/>
      <c r="G693" s="1172"/>
      <c r="I693" s="1172"/>
      <c r="K693" s="1172"/>
      <c r="M693" s="1172"/>
      <c r="N693" s="1173"/>
      <c r="O693" s="1174"/>
      <c r="P693" s="1174"/>
      <c r="Q693" s="1174"/>
      <c r="R693" s="1174"/>
      <c r="S693" s="1174"/>
    </row>
    <row r="694" spans="3:19" s="1171" customFormat="1" ht="20.100000000000001" customHeight="1">
      <c r="C694" s="1175"/>
      <c r="E694" s="1172"/>
      <c r="G694" s="1172"/>
      <c r="I694" s="1172"/>
      <c r="K694" s="1172"/>
      <c r="M694" s="1172"/>
      <c r="N694" s="1173"/>
      <c r="O694" s="1174"/>
      <c r="P694" s="1174"/>
      <c r="Q694" s="1174"/>
      <c r="R694" s="1174"/>
      <c r="S694" s="1174"/>
    </row>
    <row r="695" spans="3:19" s="1171" customFormat="1" ht="20.100000000000001" customHeight="1">
      <c r="C695" s="1175"/>
      <c r="E695" s="1172"/>
      <c r="G695" s="1172"/>
      <c r="I695" s="1172"/>
      <c r="K695" s="1172"/>
      <c r="M695" s="1172"/>
      <c r="N695" s="1173"/>
      <c r="O695" s="1174"/>
      <c r="P695" s="1174"/>
      <c r="Q695" s="1174"/>
      <c r="R695" s="1174"/>
      <c r="S695" s="1174"/>
    </row>
    <row r="696" spans="3:19" s="1171" customFormat="1" ht="20.100000000000001" customHeight="1">
      <c r="C696" s="1175"/>
      <c r="E696" s="1172"/>
      <c r="G696" s="1172"/>
      <c r="I696" s="1172"/>
      <c r="K696" s="1172"/>
      <c r="M696" s="1172"/>
      <c r="N696" s="1173"/>
      <c r="O696" s="1174"/>
      <c r="P696" s="1174"/>
      <c r="Q696" s="1174"/>
      <c r="R696" s="1174"/>
      <c r="S696" s="1174"/>
    </row>
    <row r="697" spans="3:19" s="1171" customFormat="1" ht="20.100000000000001" customHeight="1">
      <c r="C697" s="1175"/>
      <c r="E697" s="1172"/>
      <c r="G697" s="1172"/>
      <c r="I697" s="1172"/>
      <c r="K697" s="1172"/>
      <c r="M697" s="1172"/>
      <c r="N697" s="1173"/>
      <c r="O697" s="1174"/>
      <c r="P697" s="1174"/>
      <c r="Q697" s="1174"/>
      <c r="R697" s="1174"/>
      <c r="S697" s="1174"/>
    </row>
    <row r="698" spans="3:19" s="1171" customFormat="1" ht="20.100000000000001" customHeight="1">
      <c r="C698" s="1175"/>
      <c r="E698" s="1172"/>
      <c r="G698" s="1172"/>
      <c r="I698" s="1172"/>
      <c r="K698" s="1172"/>
      <c r="M698" s="1172"/>
      <c r="N698" s="1173"/>
      <c r="O698" s="1174"/>
      <c r="P698" s="1174"/>
      <c r="Q698" s="1174"/>
      <c r="R698" s="1174"/>
      <c r="S698" s="1174"/>
    </row>
    <row r="699" spans="3:19" s="1171" customFormat="1" ht="20.100000000000001" customHeight="1">
      <c r="C699" s="1175"/>
      <c r="E699" s="1172"/>
      <c r="G699" s="1172"/>
      <c r="I699" s="1172"/>
      <c r="K699" s="1172"/>
      <c r="M699" s="1172"/>
      <c r="N699" s="1173"/>
      <c r="O699" s="1174"/>
      <c r="P699" s="1174"/>
      <c r="Q699" s="1174"/>
      <c r="R699" s="1174"/>
      <c r="S699" s="1174"/>
    </row>
    <row r="700" spans="3:19" s="1171" customFormat="1" ht="20.100000000000001" customHeight="1">
      <c r="C700" s="1175"/>
      <c r="E700" s="1172"/>
      <c r="G700" s="1172"/>
      <c r="I700" s="1172"/>
      <c r="K700" s="1172"/>
      <c r="M700" s="1172"/>
      <c r="N700" s="1173"/>
      <c r="O700" s="1174"/>
      <c r="P700" s="1174"/>
      <c r="Q700" s="1174"/>
      <c r="R700" s="1174"/>
      <c r="S700" s="1174"/>
    </row>
    <row r="701" spans="3:19" s="1171" customFormat="1" ht="20.100000000000001" customHeight="1">
      <c r="C701" s="1175"/>
      <c r="E701" s="1172"/>
      <c r="G701" s="1172"/>
      <c r="I701" s="1172"/>
      <c r="K701" s="1172"/>
      <c r="M701" s="1172"/>
      <c r="N701" s="1173"/>
      <c r="O701" s="1174"/>
      <c r="P701" s="1174"/>
      <c r="Q701" s="1174"/>
      <c r="R701" s="1174"/>
      <c r="S701" s="1174"/>
    </row>
    <row r="702" spans="3:19" s="1171" customFormat="1" ht="20.100000000000001" customHeight="1">
      <c r="C702" s="1175"/>
      <c r="E702" s="1172"/>
      <c r="G702" s="1172"/>
      <c r="I702" s="1172"/>
      <c r="K702" s="1172"/>
      <c r="M702" s="1172"/>
      <c r="N702" s="1173"/>
      <c r="O702" s="1174"/>
      <c r="P702" s="1174"/>
      <c r="Q702" s="1174"/>
      <c r="R702" s="1174"/>
      <c r="S702" s="1174"/>
    </row>
    <row r="703" spans="3:19" s="1171" customFormat="1" ht="20.100000000000001" customHeight="1">
      <c r="C703" s="1175"/>
      <c r="E703" s="1172"/>
      <c r="G703" s="1172"/>
      <c r="I703" s="1172"/>
      <c r="K703" s="1172"/>
      <c r="M703" s="1172"/>
      <c r="N703" s="1173"/>
      <c r="O703" s="1174"/>
      <c r="P703" s="1174"/>
      <c r="Q703" s="1174"/>
      <c r="R703" s="1174"/>
      <c r="S703" s="1174"/>
    </row>
    <row r="704" spans="3:19" s="1171" customFormat="1" ht="20.100000000000001" customHeight="1">
      <c r="C704" s="1175"/>
      <c r="E704" s="1172"/>
      <c r="G704" s="1172"/>
      <c r="I704" s="1172"/>
      <c r="K704" s="1172"/>
      <c r="M704" s="1172"/>
      <c r="N704" s="1173"/>
      <c r="O704" s="1174"/>
      <c r="P704" s="1174"/>
      <c r="Q704" s="1174"/>
      <c r="R704" s="1174"/>
      <c r="S704" s="1174"/>
    </row>
    <row r="705" spans="3:19" s="1171" customFormat="1" ht="20.100000000000001" customHeight="1">
      <c r="C705" s="1175"/>
      <c r="E705" s="1172"/>
      <c r="G705" s="1172"/>
      <c r="I705" s="1172"/>
      <c r="K705" s="1172"/>
      <c r="M705" s="1172"/>
      <c r="N705" s="1173"/>
      <c r="O705" s="1174"/>
      <c r="P705" s="1174"/>
      <c r="Q705" s="1174"/>
      <c r="R705" s="1174"/>
      <c r="S705" s="1174"/>
    </row>
    <row r="706" spans="3:19" s="1171" customFormat="1" ht="20.100000000000001" customHeight="1">
      <c r="C706" s="1175"/>
      <c r="E706" s="1172"/>
      <c r="G706" s="1172"/>
      <c r="I706" s="1172"/>
      <c r="K706" s="1172"/>
      <c r="M706" s="1172"/>
      <c r="N706" s="1173"/>
      <c r="O706" s="1174"/>
      <c r="P706" s="1174"/>
      <c r="Q706" s="1174"/>
      <c r="R706" s="1174"/>
      <c r="S706" s="1174"/>
    </row>
    <row r="707" spans="3:19" s="1171" customFormat="1" ht="20.100000000000001" customHeight="1">
      <c r="C707" s="1175"/>
      <c r="E707" s="1172"/>
      <c r="G707" s="1172"/>
      <c r="I707" s="1172"/>
      <c r="K707" s="1172"/>
      <c r="M707" s="1172"/>
      <c r="N707" s="1173"/>
      <c r="O707" s="1174"/>
      <c r="P707" s="1174"/>
      <c r="Q707" s="1174"/>
      <c r="R707" s="1174"/>
      <c r="S707" s="1174"/>
    </row>
    <row r="708" spans="3:19" s="1171" customFormat="1" ht="20.100000000000001" customHeight="1">
      <c r="C708" s="1175"/>
      <c r="E708" s="1172"/>
      <c r="G708" s="1172"/>
      <c r="I708" s="1172"/>
      <c r="K708" s="1172"/>
      <c r="M708" s="1172"/>
      <c r="N708" s="1173"/>
      <c r="O708" s="1174"/>
      <c r="P708" s="1174"/>
      <c r="Q708" s="1174"/>
      <c r="R708" s="1174"/>
      <c r="S708" s="1174"/>
    </row>
    <row r="709" spans="3:19" s="1171" customFormat="1" ht="20.100000000000001" customHeight="1">
      <c r="C709" s="1175"/>
      <c r="E709" s="1172"/>
      <c r="G709" s="1172"/>
      <c r="I709" s="1172"/>
      <c r="K709" s="1172"/>
      <c r="M709" s="1172"/>
      <c r="N709" s="1173"/>
      <c r="O709" s="1174"/>
      <c r="P709" s="1174"/>
      <c r="Q709" s="1174"/>
      <c r="R709" s="1174"/>
      <c r="S709" s="1174"/>
    </row>
    <row r="710" spans="3:19" s="1171" customFormat="1" ht="20.100000000000001" customHeight="1">
      <c r="C710" s="1175"/>
      <c r="E710" s="1172"/>
      <c r="G710" s="1172"/>
      <c r="I710" s="1172"/>
      <c r="K710" s="1172"/>
      <c r="M710" s="1172"/>
      <c r="N710" s="1173"/>
      <c r="O710" s="1174"/>
      <c r="P710" s="1174"/>
      <c r="Q710" s="1174"/>
      <c r="R710" s="1174"/>
      <c r="S710" s="1174"/>
    </row>
    <row r="711" spans="3:19" s="1171" customFormat="1" ht="20.100000000000001" customHeight="1">
      <c r="C711" s="1175"/>
      <c r="E711" s="1172"/>
      <c r="G711" s="1172"/>
      <c r="I711" s="1172"/>
      <c r="K711" s="1172"/>
      <c r="M711" s="1172"/>
      <c r="N711" s="1173"/>
      <c r="O711" s="1174"/>
      <c r="P711" s="1174"/>
      <c r="Q711" s="1174"/>
      <c r="R711" s="1174"/>
      <c r="S711" s="1174"/>
    </row>
    <row r="712" spans="3:19" s="1171" customFormat="1" ht="20.100000000000001" customHeight="1">
      <c r="C712" s="1175"/>
      <c r="E712" s="1172"/>
      <c r="G712" s="1172"/>
      <c r="I712" s="1172"/>
      <c r="K712" s="1172"/>
      <c r="M712" s="1172"/>
      <c r="N712" s="1173"/>
      <c r="O712" s="1174"/>
      <c r="P712" s="1174"/>
      <c r="Q712" s="1174"/>
      <c r="R712" s="1174"/>
      <c r="S712" s="1174"/>
    </row>
    <row r="713" spans="3:19" s="1171" customFormat="1" ht="20.100000000000001" customHeight="1">
      <c r="C713" s="1175"/>
      <c r="E713" s="1172"/>
      <c r="G713" s="1172"/>
      <c r="I713" s="1172"/>
      <c r="K713" s="1172"/>
      <c r="M713" s="1172"/>
      <c r="N713" s="1173"/>
      <c r="O713" s="1174"/>
      <c r="P713" s="1174"/>
      <c r="Q713" s="1174"/>
      <c r="R713" s="1174"/>
      <c r="S713" s="1174"/>
    </row>
    <row r="714" spans="3:19" s="1171" customFormat="1" ht="20.100000000000001" customHeight="1">
      <c r="C714" s="1175"/>
      <c r="E714" s="1172"/>
      <c r="G714" s="1172"/>
      <c r="I714" s="1172"/>
      <c r="K714" s="1172"/>
      <c r="M714" s="1172"/>
      <c r="N714" s="1173"/>
      <c r="O714" s="1174"/>
      <c r="P714" s="1174"/>
      <c r="Q714" s="1174"/>
      <c r="R714" s="1174"/>
      <c r="S714" s="1174"/>
    </row>
    <row r="715" spans="3:19" s="1171" customFormat="1" ht="20.100000000000001" customHeight="1">
      <c r="C715" s="1175"/>
      <c r="E715" s="1172"/>
      <c r="G715" s="1172"/>
      <c r="I715" s="1172"/>
      <c r="K715" s="1172"/>
      <c r="M715" s="1172"/>
      <c r="N715" s="1173"/>
      <c r="O715" s="1174"/>
      <c r="P715" s="1174"/>
      <c r="Q715" s="1174"/>
      <c r="R715" s="1174"/>
      <c r="S715" s="1174"/>
    </row>
    <row r="716" spans="3:19" s="1171" customFormat="1" ht="20.100000000000001" customHeight="1">
      <c r="C716" s="1175"/>
      <c r="E716" s="1172"/>
      <c r="G716" s="1172"/>
      <c r="I716" s="1172"/>
      <c r="K716" s="1172"/>
      <c r="M716" s="1172"/>
      <c r="N716" s="1173"/>
      <c r="O716" s="1174"/>
      <c r="P716" s="1174"/>
      <c r="Q716" s="1174"/>
      <c r="R716" s="1174"/>
      <c r="S716" s="1174"/>
    </row>
    <row r="717" spans="3:19" s="1171" customFormat="1" ht="20.100000000000001" customHeight="1">
      <c r="C717" s="1175"/>
      <c r="E717" s="1172"/>
      <c r="G717" s="1172"/>
      <c r="I717" s="1172"/>
      <c r="K717" s="1172"/>
      <c r="M717" s="1172"/>
      <c r="N717" s="1173"/>
      <c r="O717" s="1174"/>
      <c r="P717" s="1174"/>
      <c r="Q717" s="1174"/>
      <c r="R717" s="1174"/>
      <c r="S717" s="1174"/>
    </row>
    <row r="718" spans="3:19" s="1171" customFormat="1" ht="20.100000000000001" customHeight="1">
      <c r="C718" s="1175"/>
      <c r="E718" s="1172"/>
      <c r="G718" s="1172"/>
      <c r="I718" s="1172"/>
      <c r="K718" s="1172"/>
      <c r="M718" s="1172"/>
      <c r="N718" s="1173"/>
      <c r="O718" s="1174"/>
      <c r="P718" s="1174"/>
      <c r="Q718" s="1174"/>
      <c r="R718" s="1174"/>
      <c r="S718" s="1174"/>
    </row>
    <row r="719" spans="3:19" s="1171" customFormat="1" ht="20.100000000000001" customHeight="1">
      <c r="C719" s="1175"/>
      <c r="E719" s="1172"/>
      <c r="G719" s="1172"/>
      <c r="I719" s="1172"/>
      <c r="K719" s="1172"/>
      <c r="M719" s="1172"/>
      <c r="N719" s="1173"/>
      <c r="O719" s="1174"/>
      <c r="P719" s="1174"/>
      <c r="Q719" s="1174"/>
      <c r="R719" s="1174"/>
      <c r="S719" s="1174"/>
    </row>
    <row r="720" spans="3:19" s="1171" customFormat="1" ht="20.100000000000001" customHeight="1">
      <c r="C720" s="1175"/>
      <c r="E720" s="1172"/>
      <c r="G720" s="1172"/>
      <c r="I720" s="1172"/>
      <c r="K720" s="1172"/>
      <c r="M720" s="1172"/>
      <c r="N720" s="1173"/>
      <c r="O720" s="1174"/>
      <c r="P720" s="1174"/>
      <c r="Q720" s="1174"/>
      <c r="R720" s="1174"/>
      <c r="S720" s="1174"/>
    </row>
    <row r="721" spans="3:19" s="1171" customFormat="1" ht="20.100000000000001" customHeight="1">
      <c r="C721" s="1175"/>
      <c r="E721" s="1172"/>
      <c r="G721" s="1172"/>
      <c r="I721" s="1172"/>
      <c r="K721" s="1172"/>
      <c r="M721" s="1172"/>
      <c r="N721" s="1173"/>
      <c r="O721" s="1174"/>
      <c r="P721" s="1174"/>
      <c r="Q721" s="1174"/>
      <c r="R721" s="1174"/>
      <c r="S721" s="1174"/>
    </row>
    <row r="722" spans="3:19" s="1171" customFormat="1" ht="20.100000000000001" customHeight="1">
      <c r="C722" s="1175"/>
      <c r="E722" s="1172"/>
      <c r="G722" s="1172"/>
      <c r="I722" s="1172"/>
      <c r="K722" s="1172"/>
      <c r="M722" s="1172"/>
      <c r="N722" s="1173"/>
      <c r="O722" s="1174"/>
      <c r="P722" s="1174"/>
      <c r="Q722" s="1174"/>
      <c r="R722" s="1174"/>
      <c r="S722" s="1174"/>
    </row>
    <row r="723" spans="3:19" s="1171" customFormat="1" ht="20.100000000000001" customHeight="1">
      <c r="C723" s="1175"/>
      <c r="E723" s="1172"/>
      <c r="G723" s="1172"/>
      <c r="I723" s="1172"/>
      <c r="K723" s="1172"/>
      <c r="M723" s="1172"/>
      <c r="N723" s="1173"/>
      <c r="O723" s="1174"/>
      <c r="P723" s="1174"/>
      <c r="Q723" s="1174"/>
      <c r="R723" s="1174"/>
      <c r="S723" s="1174"/>
    </row>
    <row r="724" spans="3:19" s="1171" customFormat="1" ht="20.100000000000001" customHeight="1">
      <c r="C724" s="1175"/>
      <c r="E724" s="1172"/>
      <c r="G724" s="1172"/>
      <c r="I724" s="1172"/>
      <c r="K724" s="1172"/>
      <c r="M724" s="1172"/>
      <c r="N724" s="1173"/>
      <c r="O724" s="1174"/>
      <c r="P724" s="1174"/>
      <c r="Q724" s="1174"/>
      <c r="R724" s="1174"/>
      <c r="S724" s="1174"/>
    </row>
    <row r="725" spans="3:19" s="1171" customFormat="1" ht="20.100000000000001" customHeight="1">
      <c r="C725" s="1175"/>
      <c r="E725" s="1172"/>
      <c r="G725" s="1172"/>
      <c r="I725" s="1172"/>
      <c r="K725" s="1172"/>
      <c r="M725" s="1172"/>
      <c r="N725" s="1173"/>
      <c r="O725" s="1174"/>
      <c r="P725" s="1174"/>
      <c r="Q725" s="1174"/>
      <c r="R725" s="1174"/>
      <c r="S725" s="1174"/>
    </row>
    <row r="726" spans="3:19" s="1171" customFormat="1" ht="20.100000000000001" customHeight="1">
      <c r="C726" s="1175"/>
      <c r="E726" s="1172"/>
      <c r="G726" s="1172"/>
      <c r="I726" s="1172"/>
      <c r="K726" s="1172"/>
      <c r="M726" s="1172"/>
      <c r="N726" s="1173"/>
      <c r="O726" s="1174"/>
      <c r="P726" s="1174"/>
      <c r="Q726" s="1174"/>
      <c r="R726" s="1174"/>
      <c r="S726" s="1174"/>
    </row>
    <row r="727" spans="3:19" s="1171" customFormat="1" ht="20.100000000000001" customHeight="1">
      <c r="C727" s="1175"/>
      <c r="E727" s="1172"/>
      <c r="G727" s="1172"/>
      <c r="I727" s="1172"/>
      <c r="K727" s="1172"/>
      <c r="M727" s="1172"/>
      <c r="N727" s="1173"/>
      <c r="O727" s="1174"/>
      <c r="P727" s="1174"/>
      <c r="Q727" s="1174"/>
      <c r="R727" s="1174"/>
      <c r="S727" s="1174"/>
    </row>
    <row r="728" spans="3:19" s="1171" customFormat="1" ht="20.100000000000001" customHeight="1">
      <c r="C728" s="1175"/>
      <c r="E728" s="1172"/>
      <c r="G728" s="1172"/>
      <c r="I728" s="1172"/>
      <c r="K728" s="1172"/>
      <c r="M728" s="1172"/>
      <c r="N728" s="1173"/>
      <c r="O728" s="1174"/>
      <c r="P728" s="1174"/>
      <c r="Q728" s="1174"/>
      <c r="R728" s="1174"/>
      <c r="S728" s="1174"/>
    </row>
    <row r="729" spans="3:19" s="1171" customFormat="1" ht="20.100000000000001" customHeight="1">
      <c r="C729" s="1175"/>
      <c r="E729" s="1172"/>
      <c r="G729" s="1172"/>
      <c r="I729" s="1172"/>
      <c r="K729" s="1172"/>
      <c r="M729" s="1172"/>
      <c r="N729" s="1173"/>
      <c r="O729" s="1174"/>
      <c r="P729" s="1174"/>
      <c r="Q729" s="1174"/>
      <c r="R729" s="1174"/>
      <c r="S729" s="1174"/>
    </row>
    <row r="730" spans="3:19" s="1171" customFormat="1" ht="20.100000000000001" customHeight="1">
      <c r="C730" s="1175"/>
      <c r="E730" s="1172"/>
      <c r="G730" s="1172"/>
      <c r="I730" s="1172"/>
      <c r="K730" s="1172"/>
      <c r="M730" s="1172"/>
      <c r="N730" s="1173"/>
      <c r="O730" s="1174"/>
      <c r="P730" s="1174"/>
      <c r="Q730" s="1174"/>
      <c r="R730" s="1174"/>
      <c r="S730" s="1174"/>
    </row>
    <row r="731" spans="3:19" s="1171" customFormat="1" ht="20.100000000000001" customHeight="1">
      <c r="C731" s="1175"/>
      <c r="E731" s="1172"/>
      <c r="G731" s="1172"/>
      <c r="I731" s="1172"/>
      <c r="K731" s="1172"/>
      <c r="M731" s="1172"/>
      <c r="N731" s="1173"/>
      <c r="O731" s="1174"/>
      <c r="P731" s="1174"/>
      <c r="Q731" s="1174"/>
      <c r="R731" s="1174"/>
      <c r="S731" s="1174"/>
    </row>
    <row r="732" spans="3:19" s="1171" customFormat="1" ht="20.100000000000001" customHeight="1">
      <c r="C732" s="1175"/>
      <c r="E732" s="1172"/>
      <c r="G732" s="1172"/>
      <c r="I732" s="1172"/>
      <c r="K732" s="1172"/>
      <c r="M732" s="1172"/>
      <c r="N732" s="1173"/>
      <c r="O732" s="1174"/>
      <c r="P732" s="1174"/>
      <c r="Q732" s="1174"/>
      <c r="R732" s="1174"/>
      <c r="S732" s="1174"/>
    </row>
    <row r="733" spans="3:19" s="1171" customFormat="1" ht="20.100000000000001" customHeight="1">
      <c r="C733" s="1175"/>
      <c r="E733" s="1172"/>
      <c r="G733" s="1172"/>
      <c r="I733" s="1172"/>
      <c r="K733" s="1172"/>
      <c r="M733" s="1172"/>
      <c r="N733" s="1173"/>
      <c r="O733" s="1174"/>
      <c r="P733" s="1174"/>
      <c r="Q733" s="1174"/>
      <c r="R733" s="1174"/>
      <c r="S733" s="1174"/>
    </row>
    <row r="734" spans="3:19" s="1171" customFormat="1" ht="20.100000000000001" customHeight="1">
      <c r="C734" s="1175"/>
      <c r="E734" s="1172"/>
      <c r="G734" s="1172"/>
      <c r="I734" s="1172"/>
      <c r="K734" s="1172"/>
      <c r="M734" s="1172"/>
      <c r="N734" s="1173"/>
      <c r="O734" s="1174"/>
      <c r="P734" s="1174"/>
      <c r="Q734" s="1174"/>
      <c r="R734" s="1174"/>
      <c r="S734" s="1174"/>
    </row>
    <row r="735" spans="3:19" s="1171" customFormat="1" ht="20.100000000000001" customHeight="1">
      <c r="C735" s="1175"/>
      <c r="E735" s="1172"/>
      <c r="G735" s="1172"/>
      <c r="I735" s="1172"/>
      <c r="K735" s="1172"/>
      <c r="M735" s="1172"/>
      <c r="N735" s="1173"/>
      <c r="O735" s="1174"/>
      <c r="P735" s="1174"/>
      <c r="Q735" s="1174"/>
      <c r="R735" s="1174"/>
      <c r="S735" s="1174"/>
    </row>
    <row r="736" spans="3:19" s="1171" customFormat="1" ht="20.100000000000001" customHeight="1">
      <c r="C736" s="1175"/>
      <c r="E736" s="1172"/>
      <c r="G736" s="1172"/>
      <c r="I736" s="1172"/>
      <c r="K736" s="1172"/>
      <c r="M736" s="1172"/>
      <c r="N736" s="1173"/>
      <c r="O736" s="1174"/>
      <c r="P736" s="1174"/>
      <c r="Q736" s="1174"/>
      <c r="R736" s="1174"/>
      <c r="S736" s="1174"/>
    </row>
    <row r="737" spans="3:19" s="1171" customFormat="1" ht="20.100000000000001" customHeight="1">
      <c r="C737" s="1175"/>
      <c r="E737" s="1172"/>
      <c r="G737" s="1172"/>
      <c r="I737" s="1172"/>
      <c r="K737" s="1172"/>
      <c r="M737" s="1172"/>
      <c r="N737" s="1173"/>
      <c r="O737" s="1174"/>
      <c r="P737" s="1174"/>
      <c r="Q737" s="1174"/>
      <c r="R737" s="1174"/>
      <c r="S737" s="1174"/>
    </row>
    <row r="738" spans="3:19" s="1171" customFormat="1" ht="20.100000000000001" customHeight="1">
      <c r="C738" s="1175"/>
      <c r="E738" s="1172"/>
      <c r="G738" s="1172"/>
      <c r="I738" s="1172"/>
      <c r="K738" s="1172"/>
      <c r="M738" s="1172"/>
      <c r="N738" s="1173"/>
      <c r="O738" s="1174"/>
      <c r="P738" s="1174"/>
      <c r="Q738" s="1174"/>
      <c r="R738" s="1174"/>
      <c r="S738" s="1174"/>
    </row>
    <row r="739" spans="3:19" s="1171" customFormat="1" ht="20.100000000000001" customHeight="1">
      <c r="C739" s="1175"/>
      <c r="E739" s="1172"/>
      <c r="G739" s="1172"/>
      <c r="I739" s="1172"/>
      <c r="K739" s="1172"/>
      <c r="M739" s="1172"/>
      <c r="N739" s="1173"/>
      <c r="O739" s="1174"/>
      <c r="P739" s="1174"/>
      <c r="Q739" s="1174"/>
      <c r="R739" s="1174"/>
      <c r="S739" s="1174"/>
    </row>
    <row r="740" spans="3:19" s="1171" customFormat="1" ht="20.100000000000001" customHeight="1">
      <c r="C740" s="1175"/>
      <c r="E740" s="1172"/>
      <c r="G740" s="1172"/>
      <c r="I740" s="1172"/>
      <c r="K740" s="1172"/>
      <c r="M740" s="1172"/>
      <c r="N740" s="1173"/>
      <c r="O740" s="1174"/>
      <c r="P740" s="1174"/>
      <c r="Q740" s="1174"/>
      <c r="R740" s="1174"/>
      <c r="S740" s="1174"/>
    </row>
    <row r="741" spans="3:19" s="1171" customFormat="1" ht="20.100000000000001" customHeight="1">
      <c r="C741" s="1175"/>
      <c r="E741" s="1172"/>
      <c r="G741" s="1172"/>
      <c r="I741" s="1172"/>
      <c r="K741" s="1172"/>
      <c r="M741" s="1172"/>
      <c r="N741" s="1173"/>
      <c r="O741" s="1174"/>
      <c r="P741" s="1174"/>
      <c r="Q741" s="1174"/>
      <c r="R741" s="1174"/>
      <c r="S741" s="1174"/>
    </row>
    <row r="742" spans="3:19" s="1171" customFormat="1" ht="20.100000000000001" customHeight="1">
      <c r="C742" s="1175"/>
      <c r="E742" s="1172"/>
      <c r="G742" s="1172"/>
      <c r="I742" s="1172"/>
      <c r="K742" s="1172"/>
      <c r="M742" s="1172"/>
      <c r="N742" s="1173"/>
      <c r="O742" s="1174"/>
      <c r="P742" s="1174"/>
      <c r="Q742" s="1174"/>
      <c r="R742" s="1174"/>
      <c r="S742" s="1174"/>
    </row>
    <row r="743" spans="3:19" s="1171" customFormat="1" ht="20.100000000000001" customHeight="1">
      <c r="C743" s="1175"/>
      <c r="E743" s="1172"/>
      <c r="G743" s="1172"/>
      <c r="I743" s="1172"/>
      <c r="K743" s="1172"/>
      <c r="M743" s="1172"/>
      <c r="N743" s="1173"/>
      <c r="O743" s="1174"/>
      <c r="P743" s="1174"/>
      <c r="Q743" s="1174"/>
      <c r="R743" s="1174"/>
      <c r="S743" s="1174"/>
    </row>
    <row r="744" spans="3:19" s="1171" customFormat="1" ht="20.100000000000001" customHeight="1">
      <c r="C744" s="1175"/>
      <c r="E744" s="1172"/>
      <c r="G744" s="1172"/>
      <c r="I744" s="1172"/>
      <c r="K744" s="1172"/>
      <c r="M744" s="1172"/>
      <c r="N744" s="1173"/>
      <c r="O744" s="1174"/>
      <c r="P744" s="1174"/>
      <c r="Q744" s="1174"/>
      <c r="R744" s="1174"/>
      <c r="S744" s="1174"/>
    </row>
    <row r="745" spans="3:19" s="1171" customFormat="1" ht="20.100000000000001" customHeight="1">
      <c r="C745" s="1175"/>
      <c r="E745" s="1172"/>
      <c r="G745" s="1172"/>
      <c r="I745" s="1172"/>
      <c r="K745" s="1172"/>
      <c r="M745" s="1172"/>
      <c r="N745" s="1173"/>
      <c r="O745" s="1174"/>
      <c r="P745" s="1174"/>
      <c r="Q745" s="1174"/>
      <c r="R745" s="1174"/>
      <c r="S745" s="1174"/>
    </row>
    <row r="746" spans="3:19" s="1171" customFormat="1" ht="20.100000000000001" customHeight="1">
      <c r="C746" s="1175"/>
      <c r="E746" s="1172"/>
      <c r="G746" s="1172"/>
      <c r="I746" s="1172"/>
      <c r="K746" s="1172"/>
      <c r="M746" s="1172"/>
      <c r="N746" s="1173"/>
      <c r="O746" s="1174"/>
      <c r="P746" s="1174"/>
      <c r="Q746" s="1174"/>
      <c r="R746" s="1174"/>
      <c r="S746" s="1174"/>
    </row>
    <row r="747" spans="3:19" s="1171" customFormat="1" ht="20.100000000000001" customHeight="1">
      <c r="C747" s="1175"/>
      <c r="E747" s="1172"/>
      <c r="G747" s="1172"/>
      <c r="I747" s="1172"/>
      <c r="K747" s="1172"/>
      <c r="M747" s="1172"/>
      <c r="N747" s="1173"/>
      <c r="O747" s="1174"/>
      <c r="P747" s="1174"/>
      <c r="Q747" s="1174"/>
      <c r="R747" s="1174"/>
      <c r="S747" s="1174"/>
    </row>
    <row r="748" spans="3:19" s="1171" customFormat="1" ht="20.100000000000001" customHeight="1">
      <c r="C748" s="1175"/>
      <c r="E748" s="1172"/>
      <c r="G748" s="1172"/>
      <c r="I748" s="1172"/>
      <c r="K748" s="1172"/>
      <c r="M748" s="1172"/>
      <c r="N748" s="1173"/>
      <c r="O748" s="1174"/>
      <c r="P748" s="1174"/>
      <c r="Q748" s="1174"/>
      <c r="R748" s="1174"/>
      <c r="S748" s="1174"/>
    </row>
    <row r="749" spans="3:19" s="1171" customFormat="1" ht="20.100000000000001" customHeight="1">
      <c r="C749" s="1175"/>
      <c r="E749" s="1172"/>
      <c r="G749" s="1172"/>
      <c r="I749" s="1172"/>
      <c r="K749" s="1172"/>
      <c r="M749" s="1172"/>
      <c r="N749" s="1173"/>
      <c r="O749" s="1174"/>
      <c r="P749" s="1174"/>
      <c r="Q749" s="1174"/>
      <c r="R749" s="1174"/>
      <c r="S749" s="1174"/>
    </row>
    <row r="750" spans="3:19" s="1171" customFormat="1" ht="20.100000000000001" customHeight="1">
      <c r="C750" s="1175"/>
      <c r="E750" s="1172"/>
      <c r="G750" s="1172"/>
      <c r="I750" s="1172"/>
      <c r="K750" s="1172"/>
      <c r="M750" s="1172"/>
      <c r="N750" s="1173"/>
      <c r="O750" s="1174"/>
      <c r="P750" s="1174"/>
      <c r="Q750" s="1174"/>
      <c r="R750" s="1174"/>
      <c r="S750" s="1174"/>
    </row>
    <row r="751" spans="3:19" s="1171" customFormat="1" ht="20.100000000000001" customHeight="1">
      <c r="C751" s="1175"/>
      <c r="E751" s="1172"/>
      <c r="G751" s="1172"/>
      <c r="I751" s="1172"/>
      <c r="K751" s="1172"/>
      <c r="M751" s="1172"/>
      <c r="N751" s="1173"/>
      <c r="O751" s="1174"/>
      <c r="P751" s="1174"/>
      <c r="Q751" s="1174"/>
      <c r="R751" s="1174"/>
      <c r="S751" s="1174"/>
    </row>
    <row r="752" spans="3:19" s="1171" customFormat="1" ht="20.100000000000001" customHeight="1">
      <c r="C752" s="1175"/>
      <c r="E752" s="1172"/>
      <c r="G752" s="1172"/>
      <c r="I752" s="1172"/>
      <c r="K752" s="1172"/>
      <c r="M752" s="1172"/>
      <c r="N752" s="1173"/>
      <c r="O752" s="1174"/>
      <c r="P752" s="1174"/>
      <c r="Q752" s="1174"/>
      <c r="R752" s="1174"/>
      <c r="S752" s="1174"/>
    </row>
    <row r="753" spans="3:19" s="1171" customFormat="1" ht="20.100000000000001" customHeight="1">
      <c r="C753" s="1175"/>
      <c r="E753" s="1172"/>
      <c r="G753" s="1172"/>
      <c r="I753" s="1172"/>
      <c r="K753" s="1172"/>
      <c r="M753" s="1172"/>
      <c r="N753" s="1173"/>
      <c r="O753" s="1174"/>
      <c r="P753" s="1174"/>
      <c r="Q753" s="1174"/>
      <c r="R753" s="1174"/>
      <c r="S753" s="1174"/>
    </row>
    <row r="754" spans="3:19" s="1171" customFormat="1" ht="20.100000000000001" customHeight="1">
      <c r="C754" s="1175"/>
      <c r="E754" s="1172"/>
      <c r="G754" s="1172"/>
      <c r="I754" s="1172"/>
      <c r="K754" s="1172"/>
      <c r="M754" s="1172"/>
      <c r="N754" s="1173"/>
      <c r="O754" s="1174"/>
      <c r="P754" s="1174"/>
      <c r="Q754" s="1174"/>
      <c r="R754" s="1174"/>
      <c r="S754" s="1174"/>
    </row>
    <row r="755" spans="3:19" s="1171" customFormat="1" ht="20.100000000000001" customHeight="1">
      <c r="C755" s="1175"/>
      <c r="E755" s="1172"/>
      <c r="G755" s="1172"/>
      <c r="I755" s="1172"/>
      <c r="K755" s="1172"/>
      <c r="M755" s="1172"/>
      <c r="N755" s="1173"/>
      <c r="O755" s="1174"/>
      <c r="P755" s="1174"/>
      <c r="Q755" s="1174"/>
      <c r="R755" s="1174"/>
      <c r="S755" s="1174"/>
    </row>
    <row r="756" spans="3:19" s="1171" customFormat="1" ht="20.100000000000001" customHeight="1">
      <c r="C756" s="1175"/>
      <c r="E756" s="1172"/>
      <c r="G756" s="1172"/>
      <c r="I756" s="1172"/>
      <c r="K756" s="1172"/>
      <c r="M756" s="1172"/>
      <c r="N756" s="1173"/>
      <c r="O756" s="1174"/>
      <c r="P756" s="1174"/>
      <c r="Q756" s="1174"/>
      <c r="R756" s="1174"/>
      <c r="S756" s="1174"/>
    </row>
    <row r="757" spans="3:19" s="1171" customFormat="1" ht="20.100000000000001" customHeight="1">
      <c r="C757" s="1175"/>
      <c r="E757" s="1172"/>
      <c r="G757" s="1172"/>
      <c r="I757" s="1172"/>
      <c r="K757" s="1172"/>
      <c r="M757" s="1172"/>
      <c r="N757" s="1173"/>
      <c r="O757" s="1174"/>
      <c r="P757" s="1174"/>
      <c r="Q757" s="1174"/>
      <c r="R757" s="1174"/>
      <c r="S757" s="1174"/>
    </row>
    <row r="758" spans="3:19" s="1171" customFormat="1" ht="20.100000000000001" customHeight="1">
      <c r="C758" s="1175"/>
      <c r="E758" s="1172"/>
      <c r="G758" s="1172"/>
      <c r="I758" s="1172"/>
      <c r="K758" s="1172"/>
      <c r="M758" s="1172"/>
      <c r="N758" s="1173"/>
      <c r="O758" s="1174"/>
      <c r="P758" s="1174"/>
      <c r="Q758" s="1174"/>
      <c r="R758" s="1174"/>
      <c r="S758" s="1174"/>
    </row>
    <row r="759" spans="3:19" s="1171" customFormat="1" ht="20.100000000000001" customHeight="1">
      <c r="C759" s="1175"/>
      <c r="E759" s="1172"/>
      <c r="G759" s="1172"/>
      <c r="I759" s="1172"/>
      <c r="K759" s="1172"/>
      <c r="M759" s="1172"/>
      <c r="N759" s="1173"/>
      <c r="O759" s="1174"/>
      <c r="P759" s="1174"/>
      <c r="Q759" s="1174"/>
      <c r="R759" s="1174"/>
      <c r="S759" s="1174"/>
    </row>
    <row r="760" spans="3:19" s="1171" customFormat="1" ht="20.100000000000001" customHeight="1">
      <c r="C760" s="1175"/>
      <c r="E760" s="1172"/>
      <c r="G760" s="1172"/>
      <c r="I760" s="1172"/>
      <c r="K760" s="1172"/>
      <c r="M760" s="1172"/>
      <c r="N760" s="1173"/>
      <c r="O760" s="1174"/>
      <c r="P760" s="1174"/>
      <c r="Q760" s="1174"/>
      <c r="R760" s="1174"/>
      <c r="S760" s="1174"/>
    </row>
    <row r="761" spans="3:19" s="1171" customFormat="1" ht="20.100000000000001" customHeight="1">
      <c r="C761" s="1175"/>
      <c r="E761" s="1172"/>
      <c r="G761" s="1172"/>
      <c r="I761" s="1172"/>
      <c r="K761" s="1172"/>
      <c r="M761" s="1172"/>
      <c r="N761" s="1173"/>
      <c r="O761" s="1174"/>
      <c r="P761" s="1174"/>
      <c r="Q761" s="1174"/>
      <c r="R761" s="1174"/>
      <c r="S761" s="1174"/>
    </row>
    <row r="762" spans="3:19" s="1171" customFormat="1" ht="20.100000000000001" customHeight="1">
      <c r="C762" s="1175"/>
      <c r="E762" s="1172"/>
      <c r="G762" s="1172"/>
      <c r="I762" s="1172"/>
      <c r="K762" s="1172"/>
      <c r="M762" s="1172"/>
      <c r="N762" s="1173"/>
      <c r="O762" s="1174"/>
      <c r="P762" s="1174"/>
      <c r="Q762" s="1174"/>
      <c r="R762" s="1174"/>
      <c r="S762" s="1174"/>
    </row>
    <row r="763" spans="3:19" s="1171" customFormat="1" ht="20.100000000000001" customHeight="1">
      <c r="C763" s="1175"/>
      <c r="E763" s="1172"/>
      <c r="G763" s="1172"/>
      <c r="I763" s="1172"/>
      <c r="K763" s="1172"/>
      <c r="M763" s="1172"/>
      <c r="N763" s="1173"/>
      <c r="O763" s="1174"/>
      <c r="P763" s="1174"/>
      <c r="Q763" s="1174"/>
      <c r="R763" s="1174"/>
      <c r="S763" s="1174"/>
    </row>
    <row r="764" spans="3:19" s="1171" customFormat="1" ht="20.100000000000001" customHeight="1">
      <c r="C764" s="1175"/>
      <c r="E764" s="1172"/>
      <c r="G764" s="1172"/>
      <c r="I764" s="1172"/>
      <c r="K764" s="1172"/>
      <c r="M764" s="1172"/>
      <c r="N764" s="1173"/>
      <c r="O764" s="1174"/>
      <c r="P764" s="1174"/>
      <c r="Q764" s="1174"/>
      <c r="R764" s="1174"/>
      <c r="S764" s="1174"/>
    </row>
    <row r="765" spans="3:19" s="1171" customFormat="1" ht="20.100000000000001" customHeight="1">
      <c r="C765" s="1175"/>
      <c r="E765" s="1172"/>
      <c r="G765" s="1172"/>
      <c r="I765" s="1172"/>
      <c r="K765" s="1172"/>
      <c r="M765" s="1172"/>
      <c r="N765" s="1173"/>
      <c r="O765" s="1174"/>
      <c r="P765" s="1174"/>
      <c r="Q765" s="1174"/>
      <c r="R765" s="1174"/>
      <c r="S765" s="1174"/>
    </row>
    <row r="766" spans="3:19" s="1171" customFormat="1" ht="20.100000000000001" customHeight="1">
      <c r="C766" s="1175"/>
      <c r="E766" s="1172"/>
      <c r="G766" s="1172"/>
      <c r="I766" s="1172"/>
      <c r="K766" s="1172"/>
      <c r="M766" s="1172"/>
      <c r="N766" s="1173"/>
      <c r="O766" s="1174"/>
      <c r="P766" s="1174"/>
      <c r="Q766" s="1174"/>
      <c r="R766" s="1174"/>
      <c r="S766" s="1174"/>
    </row>
    <row r="767" spans="3:19" s="1171" customFormat="1" ht="20.100000000000001" customHeight="1">
      <c r="C767" s="1175"/>
      <c r="E767" s="1172"/>
      <c r="G767" s="1172"/>
      <c r="I767" s="1172"/>
      <c r="K767" s="1172"/>
      <c r="M767" s="1172"/>
      <c r="N767" s="1173"/>
      <c r="O767" s="1174"/>
      <c r="P767" s="1174"/>
      <c r="Q767" s="1174"/>
      <c r="R767" s="1174"/>
      <c r="S767" s="1174"/>
    </row>
    <row r="768" spans="3:19" s="1171" customFormat="1" ht="20.100000000000001" customHeight="1">
      <c r="C768" s="1175"/>
      <c r="E768" s="1172"/>
      <c r="G768" s="1172"/>
      <c r="I768" s="1172"/>
      <c r="K768" s="1172"/>
      <c r="M768" s="1172"/>
      <c r="N768" s="1173"/>
      <c r="O768" s="1174"/>
      <c r="P768" s="1174"/>
      <c r="Q768" s="1174"/>
      <c r="R768" s="1174"/>
      <c r="S768" s="1174"/>
    </row>
    <row r="769" spans="3:19" s="1171" customFormat="1" ht="20.100000000000001" customHeight="1">
      <c r="C769" s="1175"/>
      <c r="E769" s="1172"/>
      <c r="G769" s="1172"/>
      <c r="I769" s="1172"/>
      <c r="K769" s="1172"/>
      <c r="M769" s="1172"/>
      <c r="N769" s="1173"/>
      <c r="O769" s="1174"/>
      <c r="P769" s="1174"/>
      <c r="Q769" s="1174"/>
      <c r="R769" s="1174"/>
      <c r="S769" s="1174"/>
    </row>
    <row r="770" spans="3:19" s="1171" customFormat="1" ht="20.100000000000001" customHeight="1">
      <c r="C770" s="1175"/>
      <c r="E770" s="1172"/>
      <c r="G770" s="1172"/>
      <c r="I770" s="1172"/>
      <c r="K770" s="1172"/>
      <c r="M770" s="1172"/>
      <c r="N770" s="1173"/>
      <c r="O770" s="1174"/>
      <c r="P770" s="1174"/>
      <c r="Q770" s="1174"/>
      <c r="R770" s="1174"/>
      <c r="S770" s="1174"/>
    </row>
    <row r="771" spans="3:19" s="1171" customFormat="1" ht="20.100000000000001" customHeight="1">
      <c r="C771" s="1175"/>
      <c r="E771" s="1172"/>
      <c r="G771" s="1172"/>
      <c r="I771" s="1172"/>
      <c r="K771" s="1172"/>
      <c r="M771" s="1172"/>
      <c r="N771" s="1173"/>
      <c r="O771" s="1174"/>
      <c r="P771" s="1174"/>
      <c r="Q771" s="1174"/>
      <c r="R771" s="1174"/>
      <c r="S771" s="1174"/>
    </row>
    <row r="772" spans="3:19" s="1171" customFormat="1" ht="20.100000000000001" customHeight="1">
      <c r="C772" s="1175"/>
      <c r="E772" s="1172"/>
      <c r="G772" s="1172"/>
      <c r="I772" s="1172"/>
      <c r="K772" s="1172"/>
      <c r="M772" s="1172"/>
      <c r="N772" s="1173"/>
      <c r="O772" s="1174"/>
      <c r="P772" s="1174"/>
      <c r="Q772" s="1174"/>
      <c r="R772" s="1174"/>
      <c r="S772" s="1174"/>
    </row>
    <row r="773" spans="3:19" s="1171" customFormat="1" ht="20.100000000000001" customHeight="1">
      <c r="C773" s="1175"/>
      <c r="E773" s="1172"/>
      <c r="G773" s="1172"/>
      <c r="I773" s="1172"/>
      <c r="K773" s="1172"/>
      <c r="M773" s="1172"/>
      <c r="N773" s="1173"/>
      <c r="O773" s="1174"/>
      <c r="P773" s="1174"/>
      <c r="Q773" s="1174"/>
      <c r="R773" s="1174"/>
      <c r="S773" s="1174"/>
    </row>
    <row r="774" spans="3:19" s="1171" customFormat="1" ht="20.100000000000001" customHeight="1">
      <c r="C774" s="1175"/>
      <c r="E774" s="1172"/>
      <c r="G774" s="1172"/>
      <c r="I774" s="1172"/>
      <c r="K774" s="1172"/>
      <c r="M774" s="1172"/>
      <c r="N774" s="1173"/>
      <c r="O774" s="1174"/>
      <c r="P774" s="1174"/>
      <c r="Q774" s="1174"/>
      <c r="R774" s="1174"/>
      <c r="S774" s="1174"/>
    </row>
    <row r="775" spans="3:19" s="1171" customFormat="1" ht="20.100000000000001" customHeight="1">
      <c r="C775" s="1175"/>
      <c r="E775" s="1172"/>
      <c r="G775" s="1172"/>
      <c r="I775" s="1172"/>
      <c r="K775" s="1172"/>
      <c r="M775" s="1172"/>
      <c r="N775" s="1173"/>
      <c r="O775" s="1174"/>
      <c r="P775" s="1174"/>
      <c r="Q775" s="1174"/>
      <c r="R775" s="1174"/>
      <c r="S775" s="1174"/>
    </row>
    <row r="776" spans="3:19" s="1171" customFormat="1" ht="20.100000000000001" customHeight="1">
      <c r="C776" s="1175"/>
      <c r="E776" s="1172"/>
      <c r="G776" s="1172"/>
      <c r="I776" s="1172"/>
      <c r="K776" s="1172"/>
      <c r="M776" s="1172"/>
      <c r="N776" s="1173"/>
      <c r="O776" s="1174"/>
      <c r="P776" s="1174"/>
      <c r="Q776" s="1174"/>
      <c r="R776" s="1174"/>
      <c r="S776" s="1174"/>
    </row>
    <row r="777" spans="3:19" s="1171" customFormat="1" ht="20.100000000000001" customHeight="1">
      <c r="C777" s="1175"/>
      <c r="E777" s="1172"/>
      <c r="G777" s="1172"/>
      <c r="I777" s="1172"/>
      <c r="K777" s="1172"/>
      <c r="M777" s="1172"/>
      <c r="N777" s="1173"/>
      <c r="O777" s="1174"/>
      <c r="P777" s="1174"/>
      <c r="Q777" s="1174"/>
      <c r="R777" s="1174"/>
      <c r="S777" s="1174"/>
    </row>
    <row r="778" spans="3:19" s="1171" customFormat="1" ht="20.100000000000001" customHeight="1">
      <c r="C778" s="1175"/>
      <c r="E778" s="1172"/>
      <c r="G778" s="1172"/>
      <c r="I778" s="1172"/>
      <c r="K778" s="1172"/>
      <c r="M778" s="1172"/>
      <c r="N778" s="1173"/>
      <c r="O778" s="1174"/>
      <c r="P778" s="1174"/>
      <c r="Q778" s="1174"/>
      <c r="R778" s="1174"/>
      <c r="S778" s="1174"/>
    </row>
    <row r="779" spans="3:19" s="1171" customFormat="1" ht="20.100000000000001" customHeight="1">
      <c r="C779" s="1175"/>
      <c r="E779" s="1172"/>
      <c r="G779" s="1172"/>
      <c r="I779" s="1172"/>
      <c r="K779" s="1172"/>
      <c r="M779" s="1172"/>
      <c r="N779" s="1173"/>
      <c r="O779" s="1174"/>
      <c r="P779" s="1174"/>
      <c r="Q779" s="1174"/>
      <c r="R779" s="1174"/>
      <c r="S779" s="1174"/>
    </row>
    <row r="780" spans="3:19" s="1171" customFormat="1" ht="20.100000000000001" customHeight="1">
      <c r="C780" s="1175"/>
      <c r="E780" s="1172"/>
      <c r="G780" s="1172"/>
      <c r="I780" s="1172"/>
      <c r="K780" s="1172"/>
      <c r="M780" s="1172"/>
      <c r="N780" s="1173"/>
      <c r="O780" s="1174"/>
      <c r="P780" s="1174"/>
      <c r="Q780" s="1174"/>
      <c r="R780" s="1174"/>
      <c r="S780" s="1174"/>
    </row>
    <row r="781" spans="3:19" s="1171" customFormat="1" ht="20.100000000000001" customHeight="1">
      <c r="C781" s="1175"/>
      <c r="E781" s="1172"/>
      <c r="G781" s="1172"/>
      <c r="I781" s="1172"/>
      <c r="K781" s="1172"/>
      <c r="M781" s="1172"/>
      <c r="N781" s="1173"/>
      <c r="O781" s="1174"/>
      <c r="P781" s="1174"/>
      <c r="Q781" s="1174"/>
      <c r="R781" s="1174"/>
      <c r="S781" s="1174"/>
    </row>
    <row r="782" spans="3:19" s="1171" customFormat="1" ht="20.100000000000001" customHeight="1">
      <c r="C782" s="1175"/>
      <c r="E782" s="1172"/>
      <c r="G782" s="1172"/>
      <c r="I782" s="1172"/>
      <c r="K782" s="1172"/>
      <c r="M782" s="1172"/>
      <c r="N782" s="1173"/>
      <c r="O782" s="1174"/>
      <c r="P782" s="1174"/>
      <c r="Q782" s="1174"/>
      <c r="R782" s="1174"/>
      <c r="S782" s="1174"/>
    </row>
    <row r="783" spans="3:19" s="1171" customFormat="1" ht="20.100000000000001" customHeight="1">
      <c r="C783" s="1175"/>
      <c r="E783" s="1172"/>
      <c r="G783" s="1172"/>
      <c r="I783" s="1172"/>
      <c r="K783" s="1172"/>
      <c r="M783" s="1172"/>
      <c r="N783" s="1173"/>
      <c r="O783" s="1174"/>
      <c r="P783" s="1174"/>
      <c r="Q783" s="1174"/>
      <c r="R783" s="1174"/>
      <c r="S783" s="1174"/>
    </row>
    <row r="784" spans="3:19" s="1171" customFormat="1" ht="20.100000000000001" customHeight="1">
      <c r="C784" s="1175"/>
      <c r="E784" s="1172"/>
      <c r="G784" s="1172"/>
      <c r="I784" s="1172"/>
      <c r="K784" s="1172"/>
      <c r="M784" s="1172"/>
      <c r="N784" s="1173"/>
      <c r="O784" s="1174"/>
      <c r="P784" s="1174"/>
      <c r="Q784" s="1174"/>
      <c r="R784" s="1174"/>
      <c r="S784" s="1174"/>
    </row>
    <row r="785" spans="3:19" s="1171" customFormat="1" ht="20.100000000000001" customHeight="1">
      <c r="C785" s="1175"/>
      <c r="E785" s="1172"/>
      <c r="G785" s="1172"/>
      <c r="I785" s="1172"/>
      <c r="K785" s="1172"/>
      <c r="M785" s="1172"/>
      <c r="N785" s="1173"/>
      <c r="O785" s="1174"/>
      <c r="P785" s="1174"/>
      <c r="Q785" s="1174"/>
      <c r="R785" s="1174"/>
      <c r="S785" s="1174"/>
    </row>
    <row r="786" spans="3:19" s="1171" customFormat="1" ht="20.100000000000001" customHeight="1">
      <c r="C786" s="1175"/>
      <c r="E786" s="1172"/>
      <c r="G786" s="1172"/>
      <c r="I786" s="1172"/>
      <c r="K786" s="1172"/>
      <c r="M786" s="1172"/>
      <c r="N786" s="1173"/>
      <c r="O786" s="1174"/>
      <c r="P786" s="1174"/>
      <c r="Q786" s="1174"/>
      <c r="R786" s="1174"/>
      <c r="S786" s="1174"/>
    </row>
    <row r="787" spans="3:19" s="1171" customFormat="1" ht="20.100000000000001" customHeight="1">
      <c r="C787" s="1175"/>
      <c r="E787" s="1172"/>
      <c r="G787" s="1172"/>
      <c r="I787" s="1172"/>
      <c r="K787" s="1172"/>
      <c r="M787" s="1172"/>
      <c r="N787" s="1173"/>
      <c r="O787" s="1174"/>
      <c r="P787" s="1174"/>
      <c r="Q787" s="1174"/>
      <c r="R787" s="1174"/>
      <c r="S787" s="1174"/>
    </row>
    <row r="788" spans="3:19" s="1171" customFormat="1" ht="20.100000000000001" customHeight="1">
      <c r="C788" s="1175"/>
      <c r="E788" s="1172"/>
      <c r="G788" s="1172"/>
      <c r="I788" s="1172"/>
      <c r="K788" s="1172"/>
      <c r="M788" s="1172"/>
      <c r="N788" s="1173"/>
      <c r="O788" s="1174"/>
      <c r="P788" s="1174"/>
      <c r="Q788" s="1174"/>
      <c r="R788" s="1174"/>
      <c r="S788" s="1174"/>
    </row>
    <row r="789" spans="3:19" s="1171" customFormat="1" ht="20.100000000000001" customHeight="1">
      <c r="C789" s="1175"/>
      <c r="E789" s="1172"/>
      <c r="G789" s="1172"/>
      <c r="I789" s="1172"/>
      <c r="K789" s="1172"/>
      <c r="M789" s="1172"/>
      <c r="N789" s="1173"/>
      <c r="O789" s="1174"/>
      <c r="P789" s="1174"/>
      <c r="Q789" s="1174"/>
      <c r="R789" s="1174"/>
      <c r="S789" s="1174"/>
    </row>
    <row r="790" spans="3:19" s="1171" customFormat="1" ht="20.100000000000001" customHeight="1">
      <c r="C790" s="1175"/>
      <c r="E790" s="1172"/>
      <c r="G790" s="1172"/>
      <c r="I790" s="1172"/>
      <c r="K790" s="1172"/>
      <c r="M790" s="1172"/>
      <c r="N790" s="1173"/>
      <c r="O790" s="1174"/>
      <c r="P790" s="1174"/>
      <c r="Q790" s="1174"/>
      <c r="R790" s="1174"/>
      <c r="S790" s="1174"/>
    </row>
    <row r="791" spans="3:19" s="1171" customFormat="1" ht="20.100000000000001" customHeight="1">
      <c r="C791" s="1175"/>
      <c r="E791" s="1172"/>
      <c r="G791" s="1172"/>
      <c r="I791" s="1172"/>
      <c r="K791" s="1172"/>
      <c r="M791" s="1172"/>
      <c r="N791" s="1173"/>
      <c r="O791" s="1174"/>
      <c r="P791" s="1174"/>
      <c r="Q791" s="1174"/>
      <c r="R791" s="1174"/>
      <c r="S791" s="1174"/>
    </row>
    <row r="792" spans="3:19" s="1171" customFormat="1" ht="20.100000000000001" customHeight="1">
      <c r="C792" s="1175"/>
      <c r="E792" s="1172"/>
      <c r="G792" s="1172"/>
      <c r="I792" s="1172"/>
      <c r="K792" s="1172"/>
      <c r="M792" s="1172"/>
      <c r="N792" s="1173"/>
      <c r="O792" s="1174"/>
      <c r="P792" s="1174"/>
      <c r="Q792" s="1174"/>
      <c r="R792" s="1174"/>
      <c r="S792" s="1174"/>
    </row>
    <row r="793" spans="3:19" s="1171" customFormat="1" ht="20.100000000000001" customHeight="1">
      <c r="C793" s="1175"/>
      <c r="E793" s="1172"/>
      <c r="G793" s="1172"/>
      <c r="I793" s="1172"/>
      <c r="K793" s="1172"/>
      <c r="M793" s="1172"/>
      <c r="N793" s="1173"/>
      <c r="O793" s="1174"/>
      <c r="P793" s="1174"/>
      <c r="Q793" s="1174"/>
      <c r="R793" s="1174"/>
      <c r="S793" s="1174"/>
    </row>
    <row r="794" spans="3:19" s="1171" customFormat="1" ht="20.100000000000001" customHeight="1">
      <c r="C794" s="1175"/>
      <c r="E794" s="1172"/>
      <c r="G794" s="1172"/>
      <c r="I794" s="1172"/>
      <c r="K794" s="1172"/>
      <c r="M794" s="1172"/>
      <c r="N794" s="1173"/>
      <c r="O794" s="1174"/>
      <c r="P794" s="1174"/>
      <c r="Q794" s="1174"/>
      <c r="R794" s="1174"/>
      <c r="S794" s="1174"/>
    </row>
    <row r="795" spans="3:19" s="1171" customFormat="1" ht="20.100000000000001" customHeight="1">
      <c r="C795" s="1175"/>
      <c r="E795" s="1172"/>
      <c r="G795" s="1172"/>
      <c r="I795" s="1172"/>
      <c r="K795" s="1172"/>
      <c r="M795" s="1172"/>
      <c r="N795" s="1173"/>
      <c r="O795" s="1174"/>
      <c r="P795" s="1174"/>
      <c r="Q795" s="1174"/>
      <c r="R795" s="1174"/>
      <c r="S795" s="1174"/>
    </row>
    <row r="796" spans="3:19" s="1171" customFormat="1" ht="20.100000000000001" customHeight="1">
      <c r="C796" s="1175"/>
      <c r="E796" s="1172"/>
      <c r="G796" s="1172"/>
      <c r="I796" s="1172"/>
      <c r="K796" s="1172"/>
      <c r="M796" s="1172"/>
      <c r="N796" s="1173"/>
      <c r="O796" s="1174"/>
      <c r="P796" s="1174"/>
      <c r="Q796" s="1174"/>
      <c r="R796" s="1174"/>
      <c r="S796" s="1174"/>
    </row>
    <row r="797" spans="3:19" s="1171" customFormat="1" ht="20.100000000000001" customHeight="1">
      <c r="C797" s="1175"/>
      <c r="E797" s="1172"/>
      <c r="G797" s="1172"/>
      <c r="I797" s="1172"/>
      <c r="K797" s="1172"/>
      <c r="M797" s="1172"/>
      <c r="N797" s="1173"/>
      <c r="O797" s="1174"/>
      <c r="P797" s="1174"/>
      <c r="Q797" s="1174"/>
      <c r="R797" s="1174"/>
      <c r="S797" s="1174"/>
    </row>
    <row r="798" spans="3:19" s="1171" customFormat="1" ht="20.100000000000001" customHeight="1">
      <c r="C798" s="1175"/>
      <c r="E798" s="1172"/>
      <c r="G798" s="1172"/>
      <c r="I798" s="1172"/>
      <c r="K798" s="1172"/>
      <c r="M798" s="1172"/>
      <c r="N798" s="1173"/>
      <c r="O798" s="1174"/>
      <c r="P798" s="1174"/>
      <c r="Q798" s="1174"/>
      <c r="R798" s="1174"/>
      <c r="S798" s="1174"/>
    </row>
    <row r="799" spans="3:19" s="1171" customFormat="1" ht="20.100000000000001" customHeight="1">
      <c r="C799" s="1175"/>
      <c r="E799" s="1172"/>
      <c r="G799" s="1172"/>
      <c r="I799" s="1172"/>
      <c r="K799" s="1172"/>
      <c r="M799" s="1172"/>
      <c r="N799" s="1173"/>
      <c r="O799" s="1174"/>
      <c r="P799" s="1174"/>
      <c r="Q799" s="1174"/>
      <c r="R799" s="1174"/>
      <c r="S799" s="1174"/>
    </row>
    <row r="800" spans="3:19" s="1171" customFormat="1" ht="20.100000000000001" customHeight="1">
      <c r="C800" s="1175"/>
      <c r="E800" s="1172"/>
      <c r="G800" s="1172"/>
      <c r="I800" s="1172"/>
      <c r="K800" s="1172"/>
      <c r="M800" s="1172"/>
      <c r="N800" s="1173"/>
      <c r="O800" s="1174"/>
      <c r="P800" s="1174"/>
      <c r="Q800" s="1174"/>
      <c r="R800" s="1174"/>
      <c r="S800" s="1174"/>
    </row>
    <row r="801" spans="3:19" s="1171" customFormat="1" ht="20.100000000000001" customHeight="1">
      <c r="C801" s="1175"/>
      <c r="E801" s="1172"/>
      <c r="G801" s="1172"/>
      <c r="I801" s="1172"/>
      <c r="K801" s="1172"/>
      <c r="M801" s="1172"/>
      <c r="N801" s="1173"/>
      <c r="O801" s="1174"/>
      <c r="P801" s="1174"/>
      <c r="Q801" s="1174"/>
      <c r="R801" s="1174"/>
      <c r="S801" s="1174"/>
    </row>
    <row r="802" spans="3:19" s="1171" customFormat="1" ht="20.100000000000001" customHeight="1">
      <c r="C802" s="1175"/>
      <c r="E802" s="1172"/>
      <c r="G802" s="1172"/>
      <c r="I802" s="1172"/>
      <c r="K802" s="1172"/>
      <c r="M802" s="1172"/>
      <c r="N802" s="1173"/>
      <c r="O802" s="1174"/>
      <c r="P802" s="1174"/>
      <c r="Q802" s="1174"/>
      <c r="R802" s="1174"/>
      <c r="S802" s="1174"/>
    </row>
    <row r="803" spans="3:19" s="1171" customFormat="1" ht="20.100000000000001" customHeight="1">
      <c r="C803" s="1175"/>
      <c r="E803" s="1172"/>
      <c r="G803" s="1172"/>
      <c r="I803" s="1172"/>
      <c r="K803" s="1172"/>
      <c r="M803" s="1172"/>
      <c r="N803" s="1173"/>
      <c r="O803" s="1174"/>
      <c r="P803" s="1174"/>
      <c r="Q803" s="1174"/>
      <c r="R803" s="1174"/>
      <c r="S803" s="1174"/>
    </row>
    <row r="804" spans="3:19" s="1171" customFormat="1" ht="20.100000000000001" customHeight="1">
      <c r="C804" s="1175"/>
      <c r="E804" s="1172"/>
      <c r="G804" s="1172"/>
      <c r="I804" s="1172"/>
      <c r="K804" s="1172"/>
      <c r="M804" s="1172"/>
      <c r="N804" s="1173"/>
      <c r="O804" s="1174"/>
      <c r="P804" s="1174"/>
      <c r="Q804" s="1174"/>
      <c r="R804" s="1174"/>
      <c r="S804" s="1174"/>
    </row>
    <row r="805" spans="3:19" s="1171" customFormat="1" ht="20.100000000000001" customHeight="1">
      <c r="C805" s="1175"/>
      <c r="E805" s="1172"/>
      <c r="G805" s="1172"/>
      <c r="I805" s="1172"/>
      <c r="K805" s="1172"/>
      <c r="M805" s="1172"/>
      <c r="N805" s="1173"/>
      <c r="O805" s="1174"/>
      <c r="P805" s="1174"/>
      <c r="Q805" s="1174"/>
      <c r="R805" s="1174"/>
      <c r="S805" s="1174"/>
    </row>
    <row r="806" spans="3:19" s="1171" customFormat="1" ht="20.100000000000001" customHeight="1">
      <c r="C806" s="1175"/>
      <c r="E806" s="1172"/>
      <c r="G806" s="1172"/>
      <c r="I806" s="1172"/>
      <c r="K806" s="1172"/>
      <c r="M806" s="1172"/>
      <c r="N806" s="1173"/>
      <c r="O806" s="1174"/>
      <c r="P806" s="1174"/>
      <c r="Q806" s="1174"/>
      <c r="R806" s="1174"/>
      <c r="S806" s="1174"/>
    </row>
    <row r="807" spans="3:19" s="1171" customFormat="1" ht="20.100000000000001" customHeight="1">
      <c r="C807" s="1175"/>
      <c r="E807" s="1172"/>
      <c r="G807" s="1172"/>
      <c r="I807" s="1172"/>
      <c r="K807" s="1172"/>
      <c r="M807" s="1172"/>
      <c r="N807" s="1173"/>
      <c r="O807" s="1174"/>
      <c r="P807" s="1174"/>
      <c r="Q807" s="1174"/>
      <c r="R807" s="1174"/>
      <c r="S807" s="1174"/>
    </row>
    <row r="808" spans="3:19" s="1171" customFormat="1" ht="20.100000000000001" customHeight="1">
      <c r="C808" s="1175"/>
      <c r="E808" s="1172"/>
      <c r="G808" s="1172"/>
      <c r="I808" s="1172"/>
      <c r="K808" s="1172"/>
      <c r="M808" s="1172"/>
      <c r="N808" s="1173"/>
      <c r="O808" s="1174"/>
      <c r="P808" s="1174"/>
      <c r="Q808" s="1174"/>
      <c r="R808" s="1174"/>
      <c r="S808" s="1174"/>
    </row>
    <row r="809" spans="3:19" s="1171" customFormat="1" ht="20.100000000000001" customHeight="1">
      <c r="C809" s="1175"/>
      <c r="E809" s="1172"/>
      <c r="G809" s="1172"/>
      <c r="I809" s="1172"/>
      <c r="K809" s="1172"/>
      <c r="M809" s="1172"/>
      <c r="N809" s="1173"/>
      <c r="O809" s="1174"/>
      <c r="P809" s="1174"/>
      <c r="Q809" s="1174"/>
      <c r="R809" s="1174"/>
      <c r="S809" s="1174"/>
    </row>
    <row r="810" spans="3:19" s="1171" customFormat="1" ht="20.100000000000001" customHeight="1">
      <c r="C810" s="1175"/>
      <c r="E810" s="1172"/>
      <c r="G810" s="1172"/>
      <c r="I810" s="1172"/>
      <c r="K810" s="1172"/>
      <c r="M810" s="1172"/>
      <c r="N810" s="1173"/>
      <c r="O810" s="1174"/>
      <c r="P810" s="1174"/>
      <c r="Q810" s="1174"/>
      <c r="R810" s="1174"/>
      <c r="S810" s="1174"/>
    </row>
    <row r="811" spans="3:19" s="1171" customFormat="1" ht="20.100000000000001" customHeight="1">
      <c r="C811" s="1175"/>
      <c r="E811" s="1172"/>
      <c r="G811" s="1172"/>
      <c r="I811" s="1172"/>
      <c r="K811" s="1172"/>
      <c r="M811" s="1172"/>
      <c r="N811" s="1173"/>
      <c r="O811" s="1174"/>
      <c r="P811" s="1174"/>
      <c r="Q811" s="1174"/>
      <c r="R811" s="1174"/>
      <c r="S811" s="1174"/>
    </row>
    <row r="812" spans="3:19" s="1171" customFormat="1" ht="20.100000000000001" customHeight="1">
      <c r="C812" s="1175"/>
      <c r="E812" s="1172"/>
      <c r="G812" s="1172"/>
      <c r="I812" s="1172"/>
      <c r="K812" s="1172"/>
      <c r="M812" s="1172"/>
      <c r="N812" s="1173"/>
      <c r="O812" s="1174"/>
      <c r="P812" s="1174"/>
      <c r="Q812" s="1174"/>
      <c r="R812" s="1174"/>
      <c r="S812" s="1174"/>
    </row>
    <row r="813" spans="3:19" s="1171" customFormat="1" ht="20.100000000000001" customHeight="1">
      <c r="C813" s="1175"/>
      <c r="E813" s="1172"/>
      <c r="G813" s="1172"/>
      <c r="I813" s="1172"/>
      <c r="K813" s="1172"/>
      <c r="M813" s="1172"/>
      <c r="N813" s="1173"/>
      <c r="O813" s="1174"/>
      <c r="P813" s="1174"/>
      <c r="Q813" s="1174"/>
      <c r="R813" s="1174"/>
      <c r="S813" s="1174"/>
    </row>
    <row r="814" spans="3:19" s="1171" customFormat="1" ht="20.100000000000001" customHeight="1">
      <c r="C814" s="1175"/>
      <c r="E814" s="1172"/>
      <c r="G814" s="1172"/>
      <c r="I814" s="1172"/>
      <c r="K814" s="1172"/>
      <c r="M814" s="1172"/>
      <c r="N814" s="1173"/>
      <c r="O814" s="1174"/>
      <c r="P814" s="1174"/>
      <c r="Q814" s="1174"/>
      <c r="R814" s="1174"/>
      <c r="S814" s="1174"/>
    </row>
    <row r="815" spans="3:19" s="1171" customFormat="1" ht="20.100000000000001" customHeight="1">
      <c r="C815" s="1175"/>
      <c r="E815" s="1172"/>
      <c r="G815" s="1172"/>
      <c r="I815" s="1172"/>
      <c r="K815" s="1172"/>
      <c r="M815" s="1172"/>
      <c r="N815" s="1173"/>
      <c r="O815" s="1174"/>
      <c r="P815" s="1174"/>
      <c r="Q815" s="1174"/>
      <c r="R815" s="1174"/>
      <c r="S815" s="1174"/>
    </row>
    <row r="816" spans="3:19" s="1171" customFormat="1" ht="20.100000000000001" customHeight="1">
      <c r="C816" s="1175"/>
      <c r="E816" s="1172"/>
      <c r="G816" s="1172"/>
      <c r="I816" s="1172"/>
      <c r="K816" s="1172"/>
      <c r="M816" s="1172"/>
      <c r="N816" s="1173"/>
      <c r="O816" s="1174"/>
      <c r="P816" s="1174"/>
      <c r="Q816" s="1174"/>
      <c r="R816" s="1174"/>
      <c r="S816" s="1174"/>
    </row>
    <row r="817" spans="3:19" s="1171" customFormat="1" ht="20.100000000000001" customHeight="1">
      <c r="C817" s="1175"/>
      <c r="E817" s="1172"/>
      <c r="G817" s="1172"/>
      <c r="I817" s="1172"/>
      <c r="K817" s="1172"/>
      <c r="M817" s="1172"/>
      <c r="N817" s="1173"/>
      <c r="O817" s="1174"/>
      <c r="P817" s="1174"/>
      <c r="Q817" s="1174"/>
      <c r="R817" s="1174"/>
      <c r="S817" s="1174"/>
    </row>
    <row r="818" spans="3:19" s="1171" customFormat="1" ht="20.100000000000001" customHeight="1">
      <c r="C818" s="1175"/>
      <c r="E818" s="1172"/>
      <c r="G818" s="1172"/>
      <c r="I818" s="1172"/>
      <c r="K818" s="1172"/>
      <c r="M818" s="1172"/>
      <c r="N818" s="1173"/>
      <c r="O818" s="1174"/>
      <c r="P818" s="1174"/>
      <c r="Q818" s="1174"/>
      <c r="R818" s="1174"/>
      <c r="S818" s="1174"/>
    </row>
    <row r="819" spans="3:19" s="1171" customFormat="1" ht="20.100000000000001" customHeight="1">
      <c r="C819" s="1175"/>
      <c r="E819" s="1172"/>
      <c r="G819" s="1172"/>
      <c r="I819" s="1172"/>
      <c r="K819" s="1172"/>
      <c r="M819" s="1172"/>
      <c r="N819" s="1173"/>
      <c r="O819" s="1174"/>
      <c r="P819" s="1174"/>
      <c r="Q819" s="1174"/>
      <c r="R819" s="1174"/>
      <c r="S819" s="1174"/>
    </row>
    <row r="820" spans="3:19" s="1171" customFormat="1" ht="20.100000000000001" customHeight="1">
      <c r="C820" s="1175"/>
      <c r="E820" s="1172"/>
      <c r="G820" s="1172"/>
      <c r="I820" s="1172"/>
      <c r="K820" s="1172"/>
      <c r="M820" s="1172"/>
      <c r="N820" s="1173"/>
      <c r="O820" s="1174"/>
      <c r="P820" s="1174"/>
      <c r="Q820" s="1174"/>
      <c r="R820" s="1174"/>
      <c r="S820" s="1174"/>
    </row>
    <row r="821" spans="3:19" s="1171" customFormat="1" ht="20.100000000000001" customHeight="1">
      <c r="C821" s="1175"/>
      <c r="E821" s="1172"/>
      <c r="G821" s="1172"/>
      <c r="I821" s="1172"/>
      <c r="K821" s="1172"/>
      <c r="M821" s="1172"/>
      <c r="N821" s="1173"/>
      <c r="O821" s="1174"/>
      <c r="P821" s="1174"/>
      <c r="Q821" s="1174"/>
      <c r="R821" s="1174"/>
      <c r="S821" s="1174"/>
    </row>
    <row r="822" spans="3:19" s="1171" customFormat="1" ht="20.100000000000001" customHeight="1">
      <c r="C822" s="1175"/>
      <c r="E822" s="1172"/>
      <c r="G822" s="1172"/>
      <c r="I822" s="1172"/>
      <c r="K822" s="1172"/>
      <c r="M822" s="1172"/>
      <c r="N822" s="1173"/>
      <c r="O822" s="1174"/>
      <c r="P822" s="1174"/>
      <c r="Q822" s="1174"/>
      <c r="R822" s="1174"/>
      <c r="S822" s="1174"/>
    </row>
    <row r="823" spans="3:19" s="1171" customFormat="1" ht="20.100000000000001" customHeight="1">
      <c r="C823" s="1175"/>
      <c r="E823" s="1172"/>
      <c r="G823" s="1172"/>
      <c r="I823" s="1172"/>
      <c r="K823" s="1172"/>
      <c r="M823" s="1172"/>
      <c r="N823" s="1173"/>
      <c r="O823" s="1174"/>
      <c r="P823" s="1174"/>
      <c r="Q823" s="1174"/>
      <c r="R823" s="1174"/>
      <c r="S823" s="1174"/>
    </row>
    <row r="824" spans="3:19" s="1171" customFormat="1" ht="20.100000000000001" customHeight="1">
      <c r="C824" s="1175"/>
      <c r="E824" s="1172"/>
      <c r="G824" s="1172"/>
      <c r="I824" s="1172"/>
      <c r="K824" s="1172"/>
      <c r="M824" s="1172"/>
      <c r="N824" s="1173"/>
      <c r="O824" s="1174"/>
      <c r="P824" s="1174"/>
      <c r="Q824" s="1174"/>
      <c r="R824" s="1174"/>
      <c r="S824" s="1174"/>
    </row>
    <row r="825" spans="3:19" s="1171" customFormat="1" ht="20.100000000000001" customHeight="1">
      <c r="C825" s="1175"/>
      <c r="E825" s="1172"/>
      <c r="G825" s="1172"/>
      <c r="I825" s="1172"/>
      <c r="K825" s="1172"/>
      <c r="M825" s="1172"/>
      <c r="N825" s="1173"/>
      <c r="O825" s="1174"/>
      <c r="P825" s="1174"/>
      <c r="Q825" s="1174"/>
      <c r="R825" s="1174"/>
      <c r="S825" s="1174"/>
    </row>
    <row r="826" spans="3:19" s="1171" customFormat="1" ht="20.100000000000001" customHeight="1">
      <c r="C826" s="1175"/>
      <c r="E826" s="1172"/>
      <c r="G826" s="1172"/>
      <c r="I826" s="1172"/>
      <c r="K826" s="1172"/>
      <c r="M826" s="1172"/>
      <c r="N826" s="1173"/>
      <c r="O826" s="1174"/>
      <c r="P826" s="1174"/>
      <c r="Q826" s="1174"/>
      <c r="R826" s="1174"/>
      <c r="S826" s="1174"/>
    </row>
    <row r="827" spans="3:19" s="1171" customFormat="1" ht="20.100000000000001" customHeight="1">
      <c r="C827" s="1175"/>
      <c r="E827" s="1172"/>
      <c r="G827" s="1172"/>
      <c r="I827" s="1172"/>
      <c r="K827" s="1172"/>
      <c r="M827" s="1172"/>
      <c r="N827" s="1173"/>
      <c r="O827" s="1174"/>
      <c r="P827" s="1174"/>
      <c r="Q827" s="1174"/>
      <c r="R827" s="1174"/>
      <c r="S827" s="1174"/>
    </row>
    <row r="828" spans="3:19" s="1171" customFormat="1" ht="20.100000000000001" customHeight="1">
      <c r="C828" s="1175"/>
      <c r="E828" s="1172"/>
      <c r="G828" s="1172"/>
      <c r="I828" s="1172"/>
      <c r="K828" s="1172"/>
      <c r="M828" s="1172"/>
      <c r="N828" s="1173"/>
      <c r="O828" s="1174"/>
      <c r="P828" s="1174"/>
      <c r="Q828" s="1174"/>
      <c r="R828" s="1174"/>
      <c r="S828" s="1174"/>
    </row>
    <row r="829" spans="3:19" s="1171" customFormat="1" ht="20.100000000000001" customHeight="1">
      <c r="C829" s="1175"/>
      <c r="E829" s="1172"/>
      <c r="G829" s="1172"/>
      <c r="I829" s="1172"/>
      <c r="K829" s="1172"/>
      <c r="M829" s="1172"/>
      <c r="N829" s="1173"/>
      <c r="O829" s="1174"/>
      <c r="P829" s="1174"/>
      <c r="Q829" s="1174"/>
      <c r="R829" s="1174"/>
      <c r="S829" s="1174"/>
    </row>
    <row r="830" spans="3:19" s="1171" customFormat="1" ht="20.100000000000001" customHeight="1">
      <c r="C830" s="1175"/>
      <c r="E830" s="1172"/>
      <c r="G830" s="1172"/>
      <c r="I830" s="1172"/>
      <c r="K830" s="1172"/>
      <c r="M830" s="1172"/>
      <c r="N830" s="1173"/>
      <c r="O830" s="1174"/>
      <c r="P830" s="1174"/>
      <c r="Q830" s="1174"/>
      <c r="R830" s="1174"/>
      <c r="S830" s="1174"/>
    </row>
    <row r="831" spans="3:19" s="1171" customFormat="1" ht="20.100000000000001" customHeight="1">
      <c r="C831" s="1175"/>
      <c r="E831" s="1172"/>
      <c r="G831" s="1172"/>
      <c r="I831" s="1172"/>
      <c r="K831" s="1172"/>
      <c r="M831" s="1172"/>
      <c r="N831" s="1173"/>
      <c r="O831" s="1174"/>
      <c r="P831" s="1174"/>
      <c r="Q831" s="1174"/>
      <c r="R831" s="1174"/>
      <c r="S831" s="1174"/>
    </row>
    <row r="832" spans="3:19" s="1171" customFormat="1" ht="20.100000000000001" customHeight="1">
      <c r="C832" s="1175"/>
      <c r="E832" s="1172"/>
      <c r="G832" s="1172"/>
      <c r="I832" s="1172"/>
      <c r="K832" s="1172"/>
      <c r="M832" s="1172"/>
      <c r="N832" s="1173"/>
      <c r="O832" s="1174"/>
      <c r="P832" s="1174"/>
      <c r="Q832" s="1174"/>
      <c r="R832" s="1174"/>
      <c r="S832" s="1174"/>
    </row>
    <row r="833" spans="3:19" s="1171" customFormat="1" ht="20.100000000000001" customHeight="1">
      <c r="C833" s="1175"/>
      <c r="E833" s="1172"/>
      <c r="G833" s="1172"/>
      <c r="I833" s="1172"/>
      <c r="K833" s="1172"/>
      <c r="M833" s="1172"/>
      <c r="N833" s="1173"/>
      <c r="O833" s="1174"/>
      <c r="P833" s="1174"/>
      <c r="Q833" s="1174"/>
      <c r="R833" s="1174"/>
      <c r="S833" s="1174"/>
    </row>
    <row r="834" spans="3:19" s="1171" customFormat="1" ht="20.100000000000001" customHeight="1">
      <c r="C834" s="1175"/>
      <c r="E834" s="1172"/>
      <c r="G834" s="1172"/>
      <c r="I834" s="1172"/>
      <c r="K834" s="1172"/>
      <c r="M834" s="1172"/>
      <c r="N834" s="1173"/>
      <c r="O834" s="1174"/>
      <c r="P834" s="1174"/>
      <c r="Q834" s="1174"/>
      <c r="R834" s="1174"/>
      <c r="S834" s="1174"/>
    </row>
    <row r="835" spans="3:19" s="1171" customFormat="1" ht="20.100000000000001" customHeight="1">
      <c r="C835" s="1175"/>
      <c r="E835" s="1172"/>
      <c r="G835" s="1172"/>
      <c r="I835" s="1172"/>
      <c r="K835" s="1172"/>
      <c r="M835" s="1172"/>
      <c r="N835" s="1173"/>
      <c r="O835" s="1174"/>
      <c r="P835" s="1174"/>
      <c r="Q835" s="1174"/>
      <c r="R835" s="1174"/>
      <c r="S835" s="1174"/>
    </row>
    <row r="836" spans="3:19" s="1171" customFormat="1" ht="20.100000000000001" customHeight="1">
      <c r="C836" s="1175"/>
      <c r="E836" s="1172"/>
      <c r="G836" s="1172"/>
      <c r="I836" s="1172"/>
      <c r="K836" s="1172"/>
      <c r="M836" s="1172"/>
      <c r="N836" s="1173"/>
      <c r="O836" s="1174"/>
      <c r="P836" s="1174"/>
      <c r="Q836" s="1174"/>
      <c r="R836" s="1174"/>
      <c r="S836" s="1174"/>
    </row>
    <row r="837" spans="3:19" s="1171" customFormat="1" ht="20.100000000000001" customHeight="1">
      <c r="C837" s="1175"/>
      <c r="E837" s="1172"/>
      <c r="G837" s="1172"/>
      <c r="I837" s="1172"/>
      <c r="K837" s="1172"/>
      <c r="M837" s="1172"/>
      <c r="N837" s="1173"/>
      <c r="O837" s="1174"/>
      <c r="P837" s="1174"/>
      <c r="Q837" s="1174"/>
      <c r="R837" s="1174"/>
      <c r="S837" s="1174"/>
    </row>
    <row r="838" spans="3:19" s="1171" customFormat="1" ht="20.100000000000001" customHeight="1">
      <c r="C838" s="1175"/>
      <c r="E838" s="1172"/>
      <c r="G838" s="1172"/>
      <c r="I838" s="1172"/>
      <c r="K838" s="1172"/>
      <c r="M838" s="1172"/>
      <c r="N838" s="1173"/>
      <c r="O838" s="1174"/>
      <c r="P838" s="1174"/>
      <c r="Q838" s="1174"/>
      <c r="R838" s="1174"/>
      <c r="S838" s="1174"/>
    </row>
    <row r="839" spans="3:19" s="1171" customFormat="1" ht="20.100000000000001" customHeight="1">
      <c r="C839" s="1175"/>
      <c r="E839" s="1172"/>
      <c r="G839" s="1172"/>
      <c r="I839" s="1172"/>
      <c r="K839" s="1172"/>
      <c r="M839" s="1172"/>
      <c r="N839" s="1173"/>
      <c r="O839" s="1174"/>
      <c r="P839" s="1174"/>
      <c r="Q839" s="1174"/>
      <c r="R839" s="1174"/>
      <c r="S839" s="1174"/>
    </row>
    <row r="840" spans="3:19" s="1171" customFormat="1" ht="20.100000000000001" customHeight="1">
      <c r="C840" s="1175"/>
      <c r="E840" s="1172"/>
      <c r="G840" s="1172"/>
      <c r="I840" s="1172"/>
      <c r="K840" s="1172"/>
      <c r="M840" s="1172"/>
      <c r="N840" s="1173"/>
      <c r="O840" s="1174"/>
      <c r="P840" s="1174"/>
      <c r="Q840" s="1174"/>
      <c r="R840" s="1174"/>
      <c r="S840" s="1174"/>
    </row>
    <row r="841" spans="3:19" s="1171" customFormat="1" ht="20.100000000000001" customHeight="1">
      <c r="C841" s="1175"/>
      <c r="E841" s="1172"/>
      <c r="G841" s="1172"/>
      <c r="I841" s="1172"/>
      <c r="K841" s="1172"/>
      <c r="M841" s="1172"/>
      <c r="N841" s="1173"/>
      <c r="O841" s="1174"/>
      <c r="P841" s="1174"/>
      <c r="Q841" s="1174"/>
      <c r="R841" s="1174"/>
      <c r="S841" s="1174"/>
    </row>
    <row r="842" spans="3:19" s="1171" customFormat="1" ht="20.100000000000001" customHeight="1">
      <c r="C842" s="1175"/>
      <c r="E842" s="1172"/>
      <c r="G842" s="1172"/>
      <c r="I842" s="1172"/>
      <c r="K842" s="1172"/>
      <c r="M842" s="1172"/>
      <c r="N842" s="1173"/>
      <c r="O842" s="1174"/>
      <c r="P842" s="1174"/>
      <c r="Q842" s="1174"/>
      <c r="R842" s="1174"/>
      <c r="S842" s="1174"/>
    </row>
    <row r="843" spans="3:19" s="1171" customFormat="1" ht="20.100000000000001" customHeight="1">
      <c r="C843" s="1175"/>
      <c r="E843" s="1172"/>
      <c r="G843" s="1172"/>
      <c r="I843" s="1172"/>
      <c r="K843" s="1172"/>
      <c r="M843" s="1172"/>
      <c r="N843" s="1173"/>
      <c r="O843" s="1174"/>
      <c r="P843" s="1174"/>
      <c r="Q843" s="1174"/>
      <c r="R843" s="1174"/>
      <c r="S843" s="1174"/>
    </row>
    <row r="844" spans="3:19" s="1171" customFormat="1" ht="20.100000000000001" customHeight="1">
      <c r="C844" s="1175"/>
      <c r="E844" s="1172"/>
      <c r="G844" s="1172"/>
      <c r="I844" s="1172"/>
      <c r="K844" s="1172"/>
      <c r="M844" s="1172"/>
      <c r="N844" s="1173"/>
      <c r="O844" s="1174"/>
      <c r="P844" s="1174"/>
      <c r="Q844" s="1174"/>
      <c r="R844" s="1174"/>
      <c r="S844" s="1174"/>
    </row>
    <row r="845" spans="3:19" s="1171" customFormat="1" ht="20.100000000000001" customHeight="1">
      <c r="C845" s="1175"/>
      <c r="E845" s="1172"/>
      <c r="G845" s="1172"/>
      <c r="I845" s="1172"/>
      <c r="K845" s="1172"/>
      <c r="M845" s="1172"/>
      <c r="N845" s="1173"/>
      <c r="O845" s="1174"/>
      <c r="P845" s="1174"/>
      <c r="Q845" s="1174"/>
      <c r="R845" s="1174"/>
      <c r="S845" s="1174"/>
    </row>
    <row r="846" spans="3:19" s="1171" customFormat="1" ht="20.100000000000001" customHeight="1">
      <c r="C846" s="1175"/>
      <c r="E846" s="1172"/>
      <c r="G846" s="1172"/>
      <c r="I846" s="1172"/>
      <c r="K846" s="1172"/>
      <c r="M846" s="1172"/>
      <c r="N846" s="1173"/>
      <c r="O846" s="1174"/>
      <c r="P846" s="1174"/>
      <c r="Q846" s="1174"/>
      <c r="R846" s="1174"/>
      <c r="S846" s="1174"/>
    </row>
    <row r="847" spans="3:19" s="1171" customFormat="1" ht="20.100000000000001" customHeight="1">
      <c r="C847" s="1175"/>
      <c r="E847" s="1172"/>
      <c r="G847" s="1172"/>
      <c r="I847" s="1172"/>
      <c r="K847" s="1172"/>
      <c r="M847" s="1172"/>
      <c r="N847" s="1173"/>
      <c r="O847" s="1174"/>
      <c r="P847" s="1174"/>
      <c r="Q847" s="1174"/>
      <c r="R847" s="1174"/>
      <c r="S847" s="1174"/>
    </row>
    <row r="848" spans="3:19" s="1171" customFormat="1" ht="20.100000000000001" customHeight="1">
      <c r="C848" s="1175"/>
      <c r="E848" s="1172"/>
      <c r="G848" s="1172"/>
      <c r="I848" s="1172"/>
      <c r="K848" s="1172"/>
      <c r="M848" s="1172"/>
      <c r="N848" s="1173"/>
      <c r="O848" s="1174"/>
      <c r="P848" s="1174"/>
      <c r="Q848" s="1174"/>
      <c r="R848" s="1174"/>
      <c r="S848" s="1174"/>
    </row>
    <row r="849" spans="3:19" s="1171" customFormat="1" ht="20.100000000000001" customHeight="1">
      <c r="C849" s="1175"/>
      <c r="E849" s="1172"/>
      <c r="G849" s="1172"/>
      <c r="I849" s="1172"/>
      <c r="K849" s="1172"/>
      <c r="M849" s="1172"/>
      <c r="N849" s="1173"/>
      <c r="O849" s="1174"/>
      <c r="P849" s="1174"/>
      <c r="Q849" s="1174"/>
      <c r="R849" s="1174"/>
      <c r="S849" s="1174"/>
    </row>
    <row r="850" spans="3:19" s="1171" customFormat="1" ht="20.100000000000001" customHeight="1">
      <c r="C850" s="1175"/>
      <c r="E850" s="1172"/>
      <c r="G850" s="1172"/>
      <c r="I850" s="1172"/>
      <c r="K850" s="1172"/>
      <c r="M850" s="1172"/>
      <c r="N850" s="1173"/>
      <c r="O850" s="1174"/>
      <c r="P850" s="1174"/>
      <c r="Q850" s="1174"/>
      <c r="R850" s="1174"/>
      <c r="S850" s="1174"/>
    </row>
    <row r="851" spans="3:19" s="1171" customFormat="1" ht="20.100000000000001" customHeight="1">
      <c r="C851" s="1175"/>
      <c r="E851" s="1172"/>
      <c r="G851" s="1172"/>
      <c r="I851" s="1172"/>
      <c r="K851" s="1172"/>
      <c r="M851" s="1172"/>
      <c r="N851" s="1173"/>
      <c r="O851" s="1174"/>
      <c r="P851" s="1174"/>
      <c r="Q851" s="1174"/>
      <c r="R851" s="1174"/>
      <c r="S851" s="1174"/>
    </row>
    <row r="852" spans="3:19" s="1171" customFormat="1" ht="20.100000000000001" customHeight="1">
      <c r="C852" s="1175"/>
      <c r="E852" s="1172"/>
      <c r="G852" s="1172"/>
      <c r="I852" s="1172"/>
      <c r="K852" s="1172"/>
      <c r="M852" s="1172"/>
      <c r="N852" s="1173"/>
      <c r="O852" s="1174"/>
      <c r="P852" s="1174"/>
      <c r="Q852" s="1174"/>
      <c r="R852" s="1174"/>
      <c r="S852" s="1174"/>
    </row>
    <row r="853" spans="3:19" s="1171" customFormat="1" ht="20.100000000000001" customHeight="1">
      <c r="C853" s="1175"/>
      <c r="E853" s="1172"/>
      <c r="G853" s="1172"/>
      <c r="I853" s="1172"/>
      <c r="K853" s="1172"/>
      <c r="M853" s="1172"/>
      <c r="N853" s="1173"/>
      <c r="O853" s="1174"/>
      <c r="P853" s="1174"/>
      <c r="Q853" s="1174"/>
      <c r="R853" s="1174"/>
      <c r="S853" s="1174"/>
    </row>
    <row r="854" spans="3:19" s="1171" customFormat="1" ht="20.100000000000001" customHeight="1">
      <c r="C854" s="1175"/>
      <c r="E854" s="1172"/>
      <c r="G854" s="1172"/>
      <c r="I854" s="1172"/>
      <c r="K854" s="1172"/>
      <c r="M854" s="1172"/>
      <c r="N854" s="1173"/>
      <c r="O854" s="1174"/>
      <c r="P854" s="1174"/>
      <c r="Q854" s="1174"/>
      <c r="R854" s="1174"/>
      <c r="S854" s="1174"/>
    </row>
    <row r="855" spans="3:19" s="1171" customFormat="1" ht="20.100000000000001" customHeight="1">
      <c r="C855" s="1175"/>
      <c r="E855" s="1172"/>
      <c r="G855" s="1172"/>
      <c r="I855" s="1172"/>
      <c r="K855" s="1172"/>
      <c r="M855" s="1172"/>
      <c r="N855" s="1173"/>
      <c r="O855" s="1174"/>
      <c r="P855" s="1174"/>
      <c r="Q855" s="1174"/>
      <c r="R855" s="1174"/>
      <c r="S855" s="1174"/>
    </row>
    <row r="856" spans="3:19" s="1171" customFormat="1" ht="20.100000000000001" customHeight="1">
      <c r="C856" s="1175"/>
      <c r="E856" s="1172"/>
      <c r="G856" s="1172"/>
      <c r="I856" s="1172"/>
      <c r="K856" s="1172"/>
      <c r="M856" s="1172"/>
      <c r="N856" s="1173"/>
      <c r="O856" s="1174"/>
      <c r="P856" s="1174"/>
      <c r="Q856" s="1174"/>
      <c r="R856" s="1174"/>
      <c r="S856" s="1174"/>
    </row>
    <row r="857" spans="3:19" s="1171" customFormat="1" ht="20.100000000000001" customHeight="1">
      <c r="C857" s="1175"/>
      <c r="E857" s="1172"/>
      <c r="G857" s="1172"/>
      <c r="I857" s="1172"/>
      <c r="K857" s="1172"/>
      <c r="M857" s="1172"/>
      <c r="N857" s="1173"/>
      <c r="O857" s="1174"/>
      <c r="P857" s="1174"/>
      <c r="Q857" s="1174"/>
      <c r="R857" s="1174"/>
      <c r="S857" s="1174"/>
    </row>
    <row r="858" spans="3:19" s="1171" customFormat="1" ht="20.100000000000001" customHeight="1">
      <c r="C858" s="1175"/>
      <c r="E858" s="1172"/>
      <c r="G858" s="1172"/>
      <c r="I858" s="1172"/>
      <c r="K858" s="1172"/>
      <c r="M858" s="1172"/>
      <c r="N858" s="1173"/>
      <c r="O858" s="1174"/>
      <c r="P858" s="1174"/>
      <c r="Q858" s="1174"/>
      <c r="R858" s="1174"/>
      <c r="S858" s="1174"/>
    </row>
    <row r="859" spans="3:19" s="1171" customFormat="1" ht="20.100000000000001" customHeight="1">
      <c r="C859" s="1175"/>
      <c r="E859" s="1172"/>
      <c r="G859" s="1172"/>
      <c r="I859" s="1172"/>
      <c r="K859" s="1172"/>
      <c r="M859" s="1172"/>
      <c r="N859" s="1173"/>
      <c r="O859" s="1174"/>
      <c r="P859" s="1174"/>
      <c r="Q859" s="1174"/>
      <c r="R859" s="1174"/>
      <c r="S859" s="1174"/>
    </row>
    <row r="860" spans="3:19" s="1171" customFormat="1" ht="20.100000000000001" customHeight="1">
      <c r="C860" s="1175"/>
      <c r="E860" s="1172"/>
      <c r="G860" s="1172"/>
      <c r="I860" s="1172"/>
      <c r="K860" s="1172"/>
      <c r="M860" s="1172"/>
      <c r="N860" s="1173"/>
      <c r="O860" s="1174"/>
      <c r="P860" s="1174"/>
      <c r="Q860" s="1174"/>
      <c r="R860" s="1174"/>
      <c r="S860" s="1174"/>
    </row>
    <row r="861" spans="3:19" s="1171" customFormat="1" ht="20.100000000000001" customHeight="1">
      <c r="C861" s="1175"/>
      <c r="E861" s="1172"/>
      <c r="G861" s="1172"/>
      <c r="I861" s="1172"/>
      <c r="K861" s="1172"/>
      <c r="M861" s="1172"/>
      <c r="N861" s="1173"/>
      <c r="O861" s="1174"/>
      <c r="P861" s="1174"/>
      <c r="Q861" s="1174"/>
      <c r="R861" s="1174"/>
      <c r="S861" s="1174"/>
    </row>
    <row r="862" spans="3:19" s="1171" customFormat="1" ht="20.100000000000001" customHeight="1">
      <c r="C862" s="1175"/>
      <c r="E862" s="1172"/>
      <c r="G862" s="1172"/>
      <c r="I862" s="1172"/>
      <c r="K862" s="1172"/>
      <c r="M862" s="1172"/>
      <c r="N862" s="1173"/>
      <c r="O862" s="1174"/>
      <c r="P862" s="1174"/>
      <c r="Q862" s="1174"/>
      <c r="R862" s="1174"/>
      <c r="S862" s="1174"/>
    </row>
    <row r="863" spans="3:19" s="1171" customFormat="1" ht="20.100000000000001" customHeight="1">
      <c r="C863" s="1175"/>
      <c r="E863" s="1172"/>
      <c r="G863" s="1172"/>
      <c r="I863" s="1172"/>
      <c r="K863" s="1172"/>
      <c r="M863" s="1172"/>
      <c r="N863" s="1173"/>
      <c r="O863" s="1174"/>
      <c r="P863" s="1174"/>
      <c r="Q863" s="1174"/>
      <c r="R863" s="1174"/>
      <c r="S863" s="1174"/>
    </row>
    <row r="864" spans="3:19" s="1171" customFormat="1" ht="20.100000000000001" customHeight="1">
      <c r="C864" s="1175"/>
      <c r="E864" s="1172"/>
      <c r="G864" s="1172"/>
      <c r="I864" s="1172"/>
      <c r="K864" s="1172"/>
      <c r="M864" s="1172"/>
      <c r="N864" s="1173"/>
      <c r="O864" s="1174"/>
      <c r="P864" s="1174"/>
      <c r="Q864" s="1174"/>
      <c r="R864" s="1174"/>
      <c r="S864" s="1174"/>
    </row>
    <row r="865" spans="3:19" s="1171" customFormat="1" ht="20.100000000000001" customHeight="1">
      <c r="C865" s="1175"/>
      <c r="E865" s="1172"/>
      <c r="G865" s="1172"/>
      <c r="I865" s="1172"/>
      <c r="K865" s="1172"/>
      <c r="M865" s="1172"/>
      <c r="N865" s="1173"/>
      <c r="O865" s="1174"/>
      <c r="P865" s="1174"/>
      <c r="Q865" s="1174"/>
      <c r="R865" s="1174"/>
      <c r="S865" s="1174"/>
    </row>
    <row r="866" spans="3:19" s="1171" customFormat="1" ht="20.100000000000001" customHeight="1">
      <c r="C866" s="1175"/>
      <c r="E866" s="1172"/>
      <c r="G866" s="1172"/>
      <c r="I866" s="1172"/>
      <c r="K866" s="1172"/>
      <c r="M866" s="1172"/>
      <c r="N866" s="1173"/>
      <c r="O866" s="1174"/>
      <c r="P866" s="1174"/>
      <c r="Q866" s="1174"/>
      <c r="R866" s="1174"/>
      <c r="S866" s="1174"/>
    </row>
    <row r="867" spans="3:19" s="1171" customFormat="1" ht="20.100000000000001" customHeight="1">
      <c r="C867" s="1175"/>
      <c r="E867" s="1172"/>
      <c r="G867" s="1172"/>
      <c r="I867" s="1172"/>
      <c r="K867" s="1172"/>
      <c r="M867" s="1172"/>
      <c r="N867" s="1173"/>
      <c r="O867" s="1174"/>
      <c r="P867" s="1174"/>
      <c r="Q867" s="1174"/>
      <c r="R867" s="1174"/>
      <c r="S867" s="1174"/>
    </row>
    <row r="868" spans="3:19" s="1171" customFormat="1" ht="20.100000000000001" customHeight="1">
      <c r="C868" s="1175"/>
      <c r="E868" s="1172"/>
      <c r="G868" s="1172"/>
      <c r="I868" s="1172"/>
      <c r="K868" s="1172"/>
      <c r="M868" s="1172"/>
      <c r="N868" s="1173"/>
      <c r="O868" s="1174"/>
      <c r="P868" s="1174"/>
      <c r="Q868" s="1174"/>
      <c r="R868" s="1174"/>
      <c r="S868" s="1174"/>
    </row>
    <row r="869" spans="3:19" s="1171" customFormat="1" ht="20.100000000000001" customHeight="1">
      <c r="C869" s="1175"/>
      <c r="E869" s="1172"/>
      <c r="G869" s="1172"/>
      <c r="I869" s="1172"/>
      <c r="K869" s="1172"/>
      <c r="M869" s="1172"/>
      <c r="N869" s="1173"/>
      <c r="O869" s="1174"/>
      <c r="P869" s="1174"/>
      <c r="Q869" s="1174"/>
      <c r="R869" s="1174"/>
      <c r="S869" s="1174"/>
    </row>
    <row r="870" spans="3:19" s="1171" customFormat="1" ht="20.100000000000001" customHeight="1">
      <c r="C870" s="1175"/>
      <c r="E870" s="1172"/>
      <c r="G870" s="1172"/>
      <c r="I870" s="1172"/>
      <c r="K870" s="1172"/>
      <c r="M870" s="1172"/>
      <c r="N870" s="1173"/>
      <c r="O870" s="1174"/>
      <c r="P870" s="1174"/>
      <c r="Q870" s="1174"/>
      <c r="R870" s="1174"/>
      <c r="S870" s="1174"/>
    </row>
    <row r="871" spans="3:19" s="1171" customFormat="1" ht="20.100000000000001" customHeight="1">
      <c r="C871" s="1175"/>
      <c r="E871" s="1172"/>
      <c r="G871" s="1172"/>
      <c r="I871" s="1172"/>
      <c r="K871" s="1172"/>
      <c r="M871" s="1172"/>
      <c r="N871" s="1173"/>
      <c r="O871" s="1174"/>
      <c r="P871" s="1174"/>
      <c r="Q871" s="1174"/>
      <c r="R871" s="1174"/>
      <c r="S871" s="1174"/>
    </row>
    <row r="872" spans="3:19" s="1171" customFormat="1" ht="20.100000000000001" customHeight="1">
      <c r="C872" s="1175"/>
      <c r="E872" s="1172"/>
      <c r="G872" s="1172"/>
      <c r="I872" s="1172"/>
      <c r="K872" s="1172"/>
      <c r="M872" s="1172"/>
      <c r="N872" s="1173"/>
      <c r="O872" s="1174"/>
      <c r="P872" s="1174"/>
      <c r="Q872" s="1174"/>
      <c r="R872" s="1174"/>
      <c r="S872" s="1174"/>
    </row>
    <row r="873" spans="3:19" s="1171" customFormat="1" ht="20.100000000000001" customHeight="1">
      <c r="C873" s="1175"/>
      <c r="E873" s="1172"/>
      <c r="G873" s="1172"/>
      <c r="I873" s="1172"/>
      <c r="K873" s="1172"/>
      <c r="M873" s="1172"/>
      <c r="N873" s="1173"/>
      <c r="O873" s="1174"/>
      <c r="P873" s="1174"/>
      <c r="Q873" s="1174"/>
      <c r="R873" s="1174"/>
      <c r="S873" s="1174"/>
    </row>
    <row r="874" spans="3:19" s="1171" customFormat="1" ht="20.100000000000001" customHeight="1">
      <c r="C874" s="1175"/>
      <c r="E874" s="1172"/>
      <c r="G874" s="1172"/>
      <c r="I874" s="1172"/>
      <c r="K874" s="1172"/>
      <c r="M874" s="1172"/>
      <c r="N874" s="1173"/>
      <c r="O874" s="1174"/>
      <c r="P874" s="1174"/>
      <c r="Q874" s="1174"/>
      <c r="R874" s="1174"/>
      <c r="S874" s="1174"/>
    </row>
    <row r="875" spans="3:19" s="1171" customFormat="1" ht="20.100000000000001" customHeight="1">
      <c r="C875" s="1175"/>
      <c r="E875" s="1172"/>
      <c r="G875" s="1172"/>
      <c r="I875" s="1172"/>
      <c r="K875" s="1172"/>
      <c r="M875" s="1172"/>
      <c r="N875" s="1173"/>
      <c r="O875" s="1174"/>
      <c r="P875" s="1174"/>
      <c r="Q875" s="1174"/>
      <c r="R875" s="1174"/>
      <c r="S875" s="1174"/>
    </row>
    <row r="876" spans="3:19" s="1171" customFormat="1" ht="20.100000000000001" customHeight="1">
      <c r="C876" s="1175"/>
      <c r="E876" s="1172"/>
      <c r="G876" s="1172"/>
      <c r="I876" s="1172"/>
      <c r="K876" s="1172"/>
      <c r="M876" s="1172"/>
      <c r="N876" s="1173"/>
      <c r="O876" s="1174"/>
      <c r="P876" s="1174"/>
      <c r="Q876" s="1174"/>
      <c r="R876" s="1174"/>
      <c r="S876" s="1174"/>
    </row>
    <row r="877" spans="3:19" s="1171" customFormat="1" ht="20.100000000000001" customHeight="1">
      <c r="C877" s="1175"/>
      <c r="E877" s="1172"/>
      <c r="G877" s="1172"/>
      <c r="I877" s="1172"/>
      <c r="K877" s="1172"/>
      <c r="M877" s="1172"/>
      <c r="N877" s="1173"/>
      <c r="O877" s="1174"/>
      <c r="P877" s="1174"/>
      <c r="Q877" s="1174"/>
      <c r="R877" s="1174"/>
      <c r="S877" s="1174"/>
    </row>
    <row r="878" spans="3:19" s="1171" customFormat="1" ht="20.100000000000001" customHeight="1">
      <c r="C878" s="1175"/>
      <c r="E878" s="1172"/>
      <c r="G878" s="1172"/>
      <c r="I878" s="1172"/>
      <c r="K878" s="1172"/>
      <c r="M878" s="1172"/>
      <c r="N878" s="1173"/>
      <c r="O878" s="1174"/>
      <c r="P878" s="1174"/>
      <c r="Q878" s="1174"/>
      <c r="R878" s="1174"/>
      <c r="S878" s="1174"/>
    </row>
    <row r="879" spans="3:19" s="1171" customFormat="1" ht="20.100000000000001" customHeight="1">
      <c r="C879" s="1175"/>
      <c r="E879" s="1172"/>
      <c r="G879" s="1172"/>
      <c r="I879" s="1172"/>
      <c r="K879" s="1172"/>
      <c r="M879" s="1172"/>
      <c r="N879" s="1173"/>
      <c r="O879" s="1174"/>
      <c r="P879" s="1174"/>
      <c r="Q879" s="1174"/>
      <c r="R879" s="1174"/>
      <c r="S879" s="1174"/>
    </row>
    <row r="880" spans="3:19" s="1171" customFormat="1" ht="20.100000000000001" customHeight="1">
      <c r="C880" s="1175"/>
      <c r="E880" s="1172"/>
      <c r="G880" s="1172"/>
      <c r="I880" s="1172"/>
      <c r="K880" s="1172"/>
      <c r="M880" s="1172"/>
      <c r="N880" s="1173"/>
      <c r="O880" s="1174"/>
      <c r="P880" s="1174"/>
      <c r="Q880" s="1174"/>
      <c r="R880" s="1174"/>
      <c r="S880" s="1174"/>
    </row>
    <row r="881" spans="3:19" s="1171" customFormat="1" ht="20.100000000000001" customHeight="1">
      <c r="C881" s="1175"/>
      <c r="E881" s="1172"/>
      <c r="G881" s="1172"/>
      <c r="I881" s="1172"/>
      <c r="K881" s="1172"/>
      <c r="M881" s="1172"/>
      <c r="N881" s="1173"/>
      <c r="O881" s="1174"/>
      <c r="P881" s="1174"/>
      <c r="Q881" s="1174"/>
      <c r="R881" s="1174"/>
      <c r="S881" s="1174"/>
    </row>
    <row r="882" spans="3:19" s="1171" customFormat="1" ht="20.100000000000001" customHeight="1">
      <c r="C882" s="1175"/>
      <c r="E882" s="1172"/>
      <c r="G882" s="1172"/>
      <c r="I882" s="1172"/>
      <c r="K882" s="1172"/>
      <c r="M882" s="1172"/>
      <c r="N882" s="1173"/>
      <c r="O882" s="1174"/>
      <c r="P882" s="1174"/>
      <c r="Q882" s="1174"/>
      <c r="R882" s="1174"/>
      <c r="S882" s="1174"/>
    </row>
    <row r="883" spans="3:19" s="1171" customFormat="1" ht="20.100000000000001" customHeight="1">
      <c r="C883" s="1175"/>
      <c r="E883" s="1172"/>
      <c r="G883" s="1172"/>
      <c r="I883" s="1172"/>
      <c r="K883" s="1172"/>
      <c r="M883" s="1172"/>
      <c r="N883" s="1173"/>
      <c r="O883" s="1174"/>
      <c r="P883" s="1174"/>
      <c r="Q883" s="1174"/>
      <c r="R883" s="1174"/>
      <c r="S883" s="1174"/>
    </row>
    <row r="884" spans="3:19" s="1171" customFormat="1" ht="20.100000000000001" customHeight="1">
      <c r="C884" s="1175"/>
      <c r="E884" s="1172"/>
      <c r="G884" s="1172"/>
      <c r="I884" s="1172"/>
      <c r="K884" s="1172"/>
      <c r="M884" s="1172"/>
      <c r="N884" s="1173"/>
      <c r="O884" s="1174"/>
      <c r="P884" s="1174"/>
      <c r="Q884" s="1174"/>
      <c r="R884" s="1174"/>
      <c r="S884" s="1174"/>
    </row>
    <row r="885" spans="3:19" s="1171" customFormat="1" ht="20.100000000000001" customHeight="1">
      <c r="C885" s="1175"/>
      <c r="E885" s="1172"/>
      <c r="G885" s="1172"/>
      <c r="I885" s="1172"/>
      <c r="K885" s="1172"/>
      <c r="M885" s="1172"/>
      <c r="N885" s="1173"/>
      <c r="O885" s="1174"/>
      <c r="P885" s="1174"/>
      <c r="Q885" s="1174"/>
      <c r="R885" s="1174"/>
      <c r="S885" s="1174"/>
    </row>
    <row r="886" spans="3:19" s="1171" customFormat="1" ht="20.100000000000001" customHeight="1">
      <c r="C886" s="1175"/>
      <c r="E886" s="1172"/>
      <c r="G886" s="1172"/>
      <c r="I886" s="1172"/>
      <c r="K886" s="1172"/>
      <c r="M886" s="1172"/>
      <c r="N886" s="1173"/>
      <c r="O886" s="1174"/>
      <c r="P886" s="1174"/>
      <c r="Q886" s="1174"/>
      <c r="R886" s="1174"/>
      <c r="S886" s="1174"/>
    </row>
    <row r="887" spans="3:19" s="1171" customFormat="1" ht="20.100000000000001" customHeight="1">
      <c r="C887" s="1175"/>
      <c r="E887" s="1172"/>
      <c r="G887" s="1172"/>
      <c r="I887" s="1172"/>
      <c r="K887" s="1172"/>
      <c r="M887" s="1172"/>
      <c r="N887" s="1173"/>
      <c r="O887" s="1174"/>
      <c r="P887" s="1174"/>
      <c r="Q887" s="1174"/>
      <c r="R887" s="1174"/>
      <c r="S887" s="1174"/>
    </row>
    <row r="888" spans="3:19" s="1171" customFormat="1" ht="20.100000000000001" customHeight="1">
      <c r="C888" s="1175"/>
      <c r="E888" s="1172"/>
      <c r="G888" s="1172"/>
      <c r="I888" s="1172"/>
      <c r="K888" s="1172"/>
      <c r="M888" s="1172"/>
      <c r="N888" s="1173"/>
      <c r="O888" s="1174"/>
      <c r="P888" s="1174"/>
      <c r="Q888" s="1174"/>
      <c r="R888" s="1174"/>
      <c r="S888" s="1174"/>
    </row>
    <row r="889" spans="3:19" s="1171" customFormat="1" ht="20.100000000000001" customHeight="1">
      <c r="C889" s="1175"/>
      <c r="E889" s="1172"/>
      <c r="G889" s="1172"/>
      <c r="I889" s="1172"/>
      <c r="K889" s="1172"/>
      <c r="M889" s="1172"/>
      <c r="N889" s="1173"/>
      <c r="O889" s="1174"/>
      <c r="P889" s="1174"/>
      <c r="Q889" s="1174"/>
      <c r="R889" s="1174"/>
      <c r="S889" s="1174"/>
    </row>
    <row r="890" spans="3:19" s="1171" customFormat="1" ht="20.100000000000001" customHeight="1">
      <c r="C890" s="1175"/>
      <c r="E890" s="1172"/>
      <c r="G890" s="1172"/>
      <c r="I890" s="1172"/>
      <c r="K890" s="1172"/>
      <c r="M890" s="1172"/>
      <c r="N890" s="1173"/>
      <c r="O890" s="1174"/>
      <c r="P890" s="1174"/>
      <c r="Q890" s="1174"/>
      <c r="R890" s="1174"/>
      <c r="S890" s="1174"/>
    </row>
    <row r="891" spans="3:19" s="1171" customFormat="1" ht="20.100000000000001" customHeight="1">
      <c r="C891" s="1175"/>
      <c r="E891" s="1172"/>
      <c r="G891" s="1172"/>
      <c r="I891" s="1172"/>
      <c r="K891" s="1172"/>
      <c r="M891" s="1172"/>
      <c r="N891" s="1173"/>
      <c r="O891" s="1174"/>
      <c r="P891" s="1174"/>
      <c r="Q891" s="1174"/>
      <c r="R891" s="1174"/>
      <c r="S891" s="1174"/>
    </row>
    <row r="892" spans="3:19" s="1171" customFormat="1" ht="20.100000000000001" customHeight="1">
      <c r="C892" s="1175"/>
      <c r="E892" s="1172"/>
      <c r="G892" s="1172"/>
      <c r="I892" s="1172"/>
      <c r="K892" s="1172"/>
      <c r="M892" s="1172"/>
      <c r="N892" s="1173"/>
      <c r="O892" s="1174"/>
      <c r="P892" s="1174"/>
      <c r="Q892" s="1174"/>
      <c r="R892" s="1174"/>
      <c r="S892" s="1174"/>
    </row>
    <row r="893" spans="3:19" s="1171" customFormat="1" ht="20.100000000000001" customHeight="1">
      <c r="C893" s="1175"/>
      <c r="E893" s="1172"/>
      <c r="G893" s="1172"/>
      <c r="I893" s="1172"/>
      <c r="K893" s="1172"/>
      <c r="M893" s="1172"/>
      <c r="N893" s="1173"/>
      <c r="O893" s="1174"/>
      <c r="P893" s="1174"/>
      <c r="Q893" s="1174"/>
      <c r="R893" s="1174"/>
      <c r="S893" s="1174"/>
    </row>
    <row r="894" spans="3:19" s="1171" customFormat="1" ht="20.100000000000001" customHeight="1">
      <c r="C894" s="1175"/>
      <c r="E894" s="1172"/>
      <c r="G894" s="1172"/>
      <c r="I894" s="1172"/>
      <c r="K894" s="1172"/>
      <c r="M894" s="1172"/>
      <c r="N894" s="1173"/>
      <c r="O894" s="1174"/>
      <c r="P894" s="1174"/>
      <c r="Q894" s="1174"/>
      <c r="R894" s="1174"/>
      <c r="S894" s="1174"/>
    </row>
    <row r="895" spans="3:19" s="1171" customFormat="1" ht="20.100000000000001" customHeight="1">
      <c r="C895" s="1175"/>
      <c r="E895" s="1172"/>
      <c r="G895" s="1172"/>
      <c r="I895" s="1172"/>
      <c r="K895" s="1172"/>
      <c r="M895" s="1172"/>
      <c r="N895" s="1173"/>
      <c r="O895" s="1174"/>
      <c r="P895" s="1174"/>
      <c r="Q895" s="1174"/>
      <c r="R895" s="1174"/>
      <c r="S895" s="1174"/>
    </row>
    <row r="896" spans="3:19" s="1171" customFormat="1" ht="20.100000000000001" customHeight="1">
      <c r="C896" s="1175"/>
      <c r="E896" s="1172"/>
      <c r="G896" s="1172"/>
      <c r="I896" s="1172"/>
      <c r="K896" s="1172"/>
      <c r="M896" s="1172"/>
      <c r="N896" s="1173"/>
      <c r="O896" s="1174"/>
      <c r="P896" s="1174"/>
      <c r="Q896" s="1174"/>
      <c r="R896" s="1174"/>
      <c r="S896" s="1174"/>
    </row>
    <row r="897" spans="3:19" s="1171" customFormat="1" ht="20.100000000000001" customHeight="1">
      <c r="C897" s="1175"/>
      <c r="E897" s="1172"/>
      <c r="G897" s="1172"/>
      <c r="I897" s="1172"/>
      <c r="K897" s="1172"/>
      <c r="M897" s="1172"/>
      <c r="N897" s="1173"/>
      <c r="O897" s="1174"/>
      <c r="P897" s="1174"/>
      <c r="Q897" s="1174"/>
      <c r="R897" s="1174"/>
      <c r="S897" s="1174"/>
    </row>
    <row r="898" spans="3:19" s="1171" customFormat="1" ht="20.100000000000001" customHeight="1">
      <c r="C898" s="1175"/>
      <c r="E898" s="1172"/>
      <c r="G898" s="1172"/>
      <c r="I898" s="1172"/>
      <c r="K898" s="1172"/>
      <c r="M898" s="1172"/>
      <c r="N898" s="1173"/>
      <c r="O898" s="1174"/>
      <c r="P898" s="1174"/>
      <c r="Q898" s="1174"/>
      <c r="R898" s="1174"/>
      <c r="S898" s="1174"/>
    </row>
    <row r="899" spans="3:19" s="1171" customFormat="1" ht="20.100000000000001" customHeight="1">
      <c r="C899" s="1175"/>
      <c r="E899" s="1172"/>
      <c r="G899" s="1172"/>
      <c r="I899" s="1172"/>
      <c r="K899" s="1172"/>
      <c r="M899" s="1172"/>
      <c r="N899" s="1173"/>
      <c r="O899" s="1174"/>
      <c r="P899" s="1174"/>
      <c r="Q899" s="1174"/>
      <c r="R899" s="1174"/>
      <c r="S899" s="1174"/>
    </row>
    <row r="900" spans="3:19" s="1171" customFormat="1" ht="20.100000000000001" customHeight="1">
      <c r="C900" s="1175"/>
      <c r="E900" s="1172"/>
      <c r="G900" s="1172"/>
      <c r="I900" s="1172"/>
      <c r="K900" s="1172"/>
      <c r="M900" s="1172"/>
      <c r="N900" s="1173"/>
      <c r="O900" s="1174"/>
      <c r="P900" s="1174"/>
      <c r="Q900" s="1174"/>
      <c r="R900" s="1174"/>
      <c r="S900" s="1174"/>
    </row>
    <row r="901" spans="3:19" s="1171" customFormat="1" ht="20.100000000000001" customHeight="1">
      <c r="C901" s="1175"/>
      <c r="E901" s="1172"/>
      <c r="G901" s="1172"/>
      <c r="I901" s="1172"/>
      <c r="K901" s="1172"/>
      <c r="M901" s="1172"/>
      <c r="N901" s="1173"/>
      <c r="O901" s="1174"/>
      <c r="P901" s="1174"/>
      <c r="Q901" s="1174"/>
      <c r="R901" s="1174"/>
      <c r="S901" s="1174"/>
    </row>
    <row r="902" spans="3:19" s="1171" customFormat="1" ht="20.100000000000001" customHeight="1">
      <c r="C902" s="1175"/>
      <c r="E902" s="1172"/>
      <c r="G902" s="1172"/>
      <c r="I902" s="1172"/>
      <c r="K902" s="1172"/>
      <c r="M902" s="1172"/>
      <c r="N902" s="1173"/>
      <c r="O902" s="1174"/>
      <c r="P902" s="1174"/>
      <c r="Q902" s="1174"/>
      <c r="R902" s="1174"/>
      <c r="S902" s="1174"/>
    </row>
    <row r="903" spans="3:19" s="1171" customFormat="1" ht="20.100000000000001" customHeight="1">
      <c r="C903" s="1175"/>
      <c r="E903" s="1172"/>
      <c r="G903" s="1172"/>
      <c r="I903" s="1172"/>
      <c r="K903" s="1172"/>
      <c r="M903" s="1172"/>
      <c r="N903" s="1173"/>
      <c r="O903" s="1174"/>
      <c r="P903" s="1174"/>
      <c r="Q903" s="1174"/>
      <c r="R903" s="1174"/>
      <c r="S903" s="1174"/>
    </row>
    <row r="904" spans="3:19" s="1171" customFormat="1" ht="20.100000000000001" customHeight="1">
      <c r="C904" s="1175"/>
      <c r="E904" s="1172"/>
      <c r="G904" s="1172"/>
      <c r="I904" s="1172"/>
      <c r="K904" s="1172"/>
      <c r="M904" s="1172"/>
      <c r="N904" s="1173"/>
      <c r="O904" s="1174"/>
      <c r="P904" s="1174"/>
      <c r="Q904" s="1174"/>
      <c r="R904" s="1174"/>
      <c r="S904" s="1174"/>
    </row>
    <row r="905" spans="3:19" s="1171" customFormat="1" ht="20.100000000000001" customHeight="1">
      <c r="C905" s="1175"/>
      <c r="E905" s="1172"/>
      <c r="G905" s="1172"/>
      <c r="I905" s="1172"/>
      <c r="K905" s="1172"/>
      <c r="M905" s="1172"/>
      <c r="N905" s="1173"/>
      <c r="O905" s="1174"/>
      <c r="P905" s="1174"/>
      <c r="Q905" s="1174"/>
      <c r="R905" s="1174"/>
      <c r="S905" s="1174"/>
    </row>
    <row r="906" spans="3:19" s="1171" customFormat="1" ht="20.100000000000001" customHeight="1">
      <c r="C906" s="1175"/>
      <c r="E906" s="1172"/>
      <c r="G906" s="1172"/>
      <c r="I906" s="1172"/>
      <c r="K906" s="1172"/>
      <c r="M906" s="1172"/>
      <c r="N906" s="1173"/>
      <c r="O906" s="1174"/>
      <c r="P906" s="1174"/>
      <c r="Q906" s="1174"/>
      <c r="R906" s="1174"/>
      <c r="S906" s="1174"/>
    </row>
    <row r="907" spans="3:19" s="1171" customFormat="1" ht="20.100000000000001" customHeight="1">
      <c r="C907" s="1175"/>
      <c r="E907" s="1172"/>
      <c r="G907" s="1172"/>
      <c r="I907" s="1172"/>
      <c r="K907" s="1172"/>
      <c r="M907" s="1172"/>
      <c r="N907" s="1173"/>
      <c r="O907" s="1174"/>
      <c r="P907" s="1174"/>
      <c r="Q907" s="1174"/>
      <c r="R907" s="1174"/>
      <c r="S907" s="1174"/>
    </row>
    <row r="908" spans="3:19" s="1171" customFormat="1" ht="20.100000000000001" customHeight="1">
      <c r="C908" s="1175"/>
      <c r="E908" s="1172"/>
      <c r="G908" s="1172"/>
      <c r="I908" s="1172"/>
      <c r="K908" s="1172"/>
      <c r="M908" s="1172"/>
      <c r="N908" s="1173"/>
      <c r="O908" s="1174"/>
      <c r="P908" s="1174"/>
      <c r="Q908" s="1174"/>
      <c r="R908" s="1174"/>
      <c r="S908" s="1174"/>
    </row>
    <row r="909" spans="3:19" s="1171" customFormat="1" ht="20.100000000000001" customHeight="1">
      <c r="C909" s="1175"/>
      <c r="E909" s="1172"/>
      <c r="G909" s="1172"/>
      <c r="I909" s="1172"/>
      <c r="K909" s="1172"/>
      <c r="M909" s="1172"/>
      <c r="N909" s="1173"/>
      <c r="O909" s="1174"/>
      <c r="P909" s="1174"/>
      <c r="Q909" s="1174"/>
      <c r="R909" s="1174"/>
      <c r="S909" s="1174"/>
    </row>
    <row r="910" spans="3:19" s="1171" customFormat="1" ht="20.100000000000001" customHeight="1">
      <c r="C910" s="1175"/>
      <c r="E910" s="1172"/>
      <c r="G910" s="1172"/>
      <c r="I910" s="1172"/>
      <c r="K910" s="1172"/>
      <c r="M910" s="1172"/>
      <c r="N910" s="1173"/>
      <c r="O910" s="1174"/>
      <c r="P910" s="1174"/>
      <c r="Q910" s="1174"/>
      <c r="R910" s="1174"/>
      <c r="S910" s="1174"/>
    </row>
    <row r="911" spans="3:19" s="1171" customFormat="1" ht="20.100000000000001" customHeight="1">
      <c r="C911" s="1175"/>
      <c r="E911" s="1172"/>
      <c r="G911" s="1172"/>
      <c r="I911" s="1172"/>
      <c r="K911" s="1172"/>
      <c r="M911" s="1172"/>
      <c r="N911" s="1173"/>
      <c r="O911" s="1174"/>
      <c r="P911" s="1174"/>
      <c r="Q911" s="1174"/>
      <c r="R911" s="1174"/>
      <c r="S911" s="1174"/>
    </row>
    <row r="912" spans="3:19" s="1171" customFormat="1" ht="20.100000000000001" customHeight="1">
      <c r="C912" s="1175"/>
      <c r="E912" s="1172"/>
      <c r="G912" s="1172"/>
      <c r="I912" s="1172"/>
      <c r="K912" s="1172"/>
      <c r="M912" s="1172"/>
      <c r="N912" s="1173"/>
      <c r="O912" s="1174"/>
      <c r="P912" s="1174"/>
      <c r="Q912" s="1174"/>
      <c r="R912" s="1174"/>
      <c r="S912" s="1174"/>
    </row>
    <row r="913" spans="3:19" s="1171" customFormat="1" ht="20.100000000000001" customHeight="1">
      <c r="C913" s="1175"/>
      <c r="E913" s="1172"/>
      <c r="G913" s="1172"/>
      <c r="I913" s="1172"/>
      <c r="K913" s="1172"/>
      <c r="M913" s="1172"/>
      <c r="N913" s="1173"/>
      <c r="O913" s="1174"/>
      <c r="P913" s="1174"/>
      <c r="Q913" s="1174"/>
      <c r="R913" s="1174"/>
      <c r="S913" s="1174"/>
    </row>
    <row r="914" spans="3:19" s="1171" customFormat="1" ht="20.100000000000001" customHeight="1">
      <c r="C914" s="1175"/>
      <c r="E914" s="1172"/>
      <c r="G914" s="1172"/>
      <c r="I914" s="1172"/>
      <c r="K914" s="1172"/>
      <c r="M914" s="1172"/>
      <c r="N914" s="1173"/>
      <c r="O914" s="1174"/>
      <c r="P914" s="1174"/>
      <c r="Q914" s="1174"/>
      <c r="R914" s="1174"/>
      <c r="S914" s="1174"/>
    </row>
    <row r="915" spans="3:19" s="1171" customFormat="1" ht="20.100000000000001" customHeight="1">
      <c r="C915" s="1175"/>
      <c r="E915" s="1172"/>
      <c r="G915" s="1172"/>
      <c r="I915" s="1172"/>
      <c r="K915" s="1172"/>
      <c r="M915" s="1172"/>
      <c r="N915" s="1173"/>
      <c r="O915" s="1174"/>
      <c r="P915" s="1174"/>
      <c r="Q915" s="1174"/>
      <c r="R915" s="1174"/>
      <c r="S915" s="1174"/>
    </row>
    <row r="916" spans="3:19" s="1171" customFormat="1" ht="20.100000000000001" customHeight="1">
      <c r="C916" s="1175"/>
      <c r="E916" s="1172"/>
      <c r="G916" s="1172"/>
      <c r="I916" s="1172"/>
      <c r="K916" s="1172"/>
      <c r="M916" s="1172"/>
      <c r="N916" s="1173"/>
      <c r="O916" s="1174"/>
      <c r="P916" s="1174"/>
      <c r="Q916" s="1174"/>
      <c r="R916" s="1174"/>
      <c r="S916" s="1174"/>
    </row>
    <row r="917" spans="3:19" s="1171" customFormat="1" ht="20.100000000000001" customHeight="1">
      <c r="C917" s="1175"/>
      <c r="E917" s="1172"/>
      <c r="G917" s="1172"/>
      <c r="I917" s="1172"/>
      <c r="K917" s="1172"/>
      <c r="M917" s="1172"/>
      <c r="N917" s="1173"/>
      <c r="O917" s="1174"/>
      <c r="P917" s="1174"/>
      <c r="Q917" s="1174"/>
      <c r="R917" s="1174"/>
      <c r="S917" s="1174"/>
    </row>
    <row r="918" spans="3:19" s="1171" customFormat="1" ht="20.100000000000001" customHeight="1">
      <c r="C918" s="1175"/>
      <c r="E918" s="1172"/>
      <c r="G918" s="1172"/>
      <c r="I918" s="1172"/>
      <c r="K918" s="1172"/>
      <c r="M918" s="1172"/>
      <c r="N918" s="1173"/>
      <c r="O918" s="1174"/>
      <c r="P918" s="1174"/>
      <c r="Q918" s="1174"/>
      <c r="R918" s="1174"/>
      <c r="S918" s="1174"/>
    </row>
    <row r="919" spans="3:19" s="1171" customFormat="1" ht="20.100000000000001" customHeight="1">
      <c r="C919" s="1175"/>
      <c r="E919" s="1172"/>
      <c r="G919" s="1172"/>
      <c r="I919" s="1172"/>
      <c r="K919" s="1172"/>
      <c r="M919" s="1172"/>
      <c r="N919" s="1173"/>
      <c r="O919" s="1174"/>
      <c r="P919" s="1174"/>
      <c r="Q919" s="1174"/>
      <c r="R919" s="1174"/>
      <c r="S919" s="1174"/>
    </row>
    <row r="920" spans="3:19" s="1171" customFormat="1" ht="20.100000000000001" customHeight="1">
      <c r="C920" s="1175"/>
      <c r="E920" s="1172"/>
      <c r="G920" s="1172"/>
      <c r="I920" s="1172"/>
      <c r="K920" s="1172"/>
      <c r="M920" s="1172"/>
      <c r="N920" s="1173"/>
      <c r="O920" s="1174"/>
      <c r="P920" s="1174"/>
      <c r="Q920" s="1174"/>
      <c r="R920" s="1174"/>
      <c r="S920" s="1174"/>
    </row>
  </sheetData>
  <protectedRanges>
    <protectedRange sqref="D2:I4" name="Range1"/>
    <protectedRange sqref="A7:XFD7" name="sortFilter" securityDescriptor="O:WDG:WDD:(A;;CC;;;WD)"/>
  </protectedRanges>
  <mergeCells count="9">
    <mergeCell ref="J6:K6"/>
    <mergeCell ref="L6:M6"/>
    <mergeCell ref="N6:O6"/>
    <mergeCell ref="D2:H2"/>
    <mergeCell ref="D3:H3"/>
    <mergeCell ref="D4:H4"/>
    <mergeCell ref="D6:E6"/>
    <mergeCell ref="F6:G6"/>
    <mergeCell ref="H6:I6"/>
  </mergeCells>
  <conditionalFormatting sqref="D8:E1048576 H8:I1048576 L8:M1048576">
    <cfRule type="notContainsBlanks" dxfId="3" priority="3">
      <formula>LEN(TRIM(D8))&gt;0</formula>
    </cfRule>
  </conditionalFormatting>
  <conditionalFormatting sqref="J8:K1048576 F8:G1048576 N8:N1048576">
    <cfRule type="notContainsBlanks" dxfId="2" priority="2">
      <formula>LEN(TRIM(F8))&gt;0</formula>
    </cfRule>
  </conditionalFormatting>
  <conditionalFormatting sqref="C8:C1048576">
    <cfRule type="notContainsBlanks" dxfId="1" priority="1">
      <formula>LEN(TRIM(C8))&gt;0</formula>
    </cfRule>
  </conditionalFormatting>
  <conditionalFormatting sqref="N8:O1048576">
    <cfRule type="notContainsBlanks" dxfId="0" priority="4">
      <formula>LEN(TRIM(N8))&gt;0</formula>
    </cfRule>
  </conditionalFormatting>
  <pageMargins left="0.70866141732283472" right="0.70866141732283472" top="0.94488188976377963" bottom="0.74803149606299213" header="0.31496062992125984" footer="0.31496062992125984"/>
  <pageSetup paperSize="9" scale="10" orientation="landscape" blackAndWhite="1" r:id="rId1"/>
  <headerFooter>
    <oddHeader>&amp;L&amp;G</oddHead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1">
    <pageSetUpPr fitToPage="1"/>
  </sheetPr>
  <dimension ref="A1:BP14"/>
  <sheetViews>
    <sheetView showGridLines="0" zoomScale="75" workbookViewId="0">
      <pane ySplit="7" topLeftCell="A8" activePane="bottomLeft" state="frozen"/>
      <selection pane="bottomLeft"/>
    </sheetView>
  </sheetViews>
  <sheetFormatPr defaultColWidth="9.7265625" defaultRowHeight="15.6"/>
  <cols>
    <col min="1" max="6" width="10.7265625" style="19" customWidth="1"/>
    <col min="7" max="7" width="5.81640625" style="19" bestFit="1" customWidth="1"/>
    <col min="8" max="8" width="10.7265625" style="19" bestFit="1" customWidth="1"/>
    <col min="9" max="9" width="10.7265625" style="19" customWidth="1"/>
    <col min="10" max="10" width="5.81640625" style="19" bestFit="1" customWidth="1"/>
    <col min="11" max="11" width="9.7265625" style="19" bestFit="1" customWidth="1"/>
    <col min="12" max="12" width="10.7265625" style="19" customWidth="1"/>
    <col min="13" max="13" width="5.81640625" style="19" bestFit="1" customWidth="1"/>
    <col min="14" max="14" width="1.7265625" style="19" customWidth="1"/>
    <col min="15" max="15" width="5.453125" style="19" customWidth="1"/>
    <col min="16" max="16" width="4.54296875" style="19" customWidth="1"/>
    <col min="17" max="17" width="40.7265625" style="19" customWidth="1"/>
    <col min="18" max="22" width="5.7265625" style="19" customWidth="1"/>
    <col min="23" max="23" width="22.7265625" style="19" customWidth="1"/>
    <col min="24" max="24" width="5.7265625" style="19" customWidth="1"/>
    <col min="25" max="30" width="10.7265625" style="19" customWidth="1"/>
    <col min="31" max="31" width="5.81640625" style="271" customWidth="1"/>
    <col min="32" max="32" width="7.26953125" style="271" bestFit="1" customWidth="1"/>
    <col min="33" max="33" width="17.81640625" style="19" customWidth="1"/>
    <col min="34" max="37" width="10.7265625" style="19" customWidth="1"/>
    <col min="38" max="38" width="10.7265625" customWidth="1"/>
    <col min="39" max="40" width="12.7265625" style="19" bestFit="1" customWidth="1"/>
    <col min="41" max="68" width="10.7265625" style="19" customWidth="1"/>
    <col min="69" max="16384" width="9.7265625" style="19"/>
  </cols>
  <sheetData>
    <row r="1" spans="1:68">
      <c r="A1" s="258" t="str">
        <f>SUMRY!K$1</f>
        <v>QUOTE NO:</v>
      </c>
      <c r="B1" s="209"/>
      <c r="C1" s="209"/>
      <c r="D1" s="209"/>
      <c r="E1" s="209"/>
      <c r="F1" s="209"/>
      <c r="G1" s="209"/>
      <c r="H1" s="209"/>
      <c r="I1" s="209" t="s">
        <v>52</v>
      </c>
      <c r="J1" s="258" t="str">
        <f>SUMRY!I$1</f>
        <v>AMALGAMATED BUILDERS LTD</v>
      </c>
      <c r="K1" s="209"/>
      <c r="M1" s="258"/>
      <c r="N1" s="209" t="s">
        <v>152</v>
      </c>
      <c r="O1" s="205"/>
      <c r="P1" s="205"/>
      <c r="Q1" s="205"/>
      <c r="R1" s="205"/>
      <c r="S1" s="193"/>
      <c r="T1" s="193"/>
      <c r="U1" s="193"/>
      <c r="V1" s="193"/>
      <c r="W1" s="193"/>
      <c r="X1" s="193"/>
      <c r="Y1" s="193"/>
      <c r="Z1" s="205"/>
      <c r="AA1" s="205"/>
      <c r="AB1" s="205"/>
      <c r="AC1" s="222"/>
      <c r="AD1" s="222"/>
      <c r="AE1" s="259"/>
      <c r="AF1" s="259"/>
      <c r="AG1" s="328" t="s">
        <v>117</v>
      </c>
      <c r="AH1" s="328"/>
      <c r="AI1" s="329"/>
      <c r="AJ1" s="329"/>
      <c r="AK1" s="329"/>
      <c r="AL1" s="329"/>
      <c r="AM1" s="324"/>
      <c r="AN1" s="324"/>
      <c r="AO1" s="324"/>
      <c r="AP1" s="325"/>
      <c r="AQ1" s="324"/>
      <c r="AR1" s="325"/>
      <c r="AS1" s="326"/>
      <c r="AT1" s="325"/>
      <c r="AU1" s="325"/>
      <c r="AV1" s="325"/>
      <c r="AW1" s="325"/>
      <c r="AX1" s="325"/>
      <c r="AY1" s="326"/>
      <c r="AZ1" s="326"/>
      <c r="BA1" s="326"/>
      <c r="BB1" s="326"/>
      <c r="BC1" s="326"/>
      <c r="BD1" s="326"/>
      <c r="BE1" s="326"/>
      <c r="BF1" s="326"/>
      <c r="BG1" s="326"/>
      <c r="BH1" s="326"/>
      <c r="BI1" s="326"/>
      <c r="BJ1" s="326"/>
      <c r="BK1" s="330" t="s">
        <v>149</v>
      </c>
      <c r="BL1" s="331"/>
      <c r="BM1" s="331"/>
      <c r="BN1" s="331"/>
      <c r="BO1" s="331"/>
      <c r="BP1" s="331"/>
    </row>
    <row r="2" spans="1:68">
      <c r="A2" s="192" t="s">
        <v>53</v>
      </c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6">
        <v>2.5000000000000001E-2</v>
      </c>
      <c r="M2" s="196"/>
      <c r="N2" s="209" t="s">
        <v>152</v>
      </c>
      <c r="O2" s="261" t="str">
        <f>SUMRY!I1</f>
        <v>AMALGAMATED BUILDERS LTD</v>
      </c>
      <c r="P2" s="261"/>
      <c r="Q2" s="222"/>
      <c r="R2" s="222"/>
      <c r="S2" s="198"/>
      <c r="T2" s="198"/>
      <c r="U2" s="198"/>
      <c r="V2" s="199"/>
      <c r="W2" s="200"/>
      <c r="X2" s="199"/>
      <c r="Y2" s="200"/>
      <c r="Z2" s="262"/>
      <c r="AA2" s="197" t="str">
        <f>+SUMRY!K1</f>
        <v>QUOTE NO:</v>
      </c>
      <c r="AB2" s="262" t="str">
        <f>SUMRY!L1</f>
        <v>XXXX</v>
      </c>
      <c r="AC2" s="222"/>
      <c r="AD2" s="222"/>
      <c r="AE2" s="259"/>
      <c r="AF2" s="259"/>
      <c r="AG2" s="329"/>
      <c r="AH2" s="329"/>
      <c r="AI2" s="329"/>
      <c r="AJ2" s="329"/>
      <c r="AK2" s="329"/>
      <c r="AL2" s="329"/>
      <c r="AM2" s="324"/>
      <c r="AN2" s="324"/>
      <c r="AO2" s="324"/>
      <c r="AP2" s="326"/>
      <c r="AQ2" s="324"/>
      <c r="AR2" s="326"/>
      <c r="AS2" s="326"/>
      <c r="AT2" s="326"/>
      <c r="AU2" s="326"/>
      <c r="AV2" s="326"/>
      <c r="AW2" s="326"/>
      <c r="AX2" s="326"/>
      <c r="AY2" s="326"/>
      <c r="AZ2" s="326"/>
      <c r="BA2" s="326"/>
      <c r="BB2" s="326"/>
      <c r="BC2" s="326"/>
      <c r="BD2" s="326"/>
      <c r="BE2" s="326"/>
      <c r="BF2" s="326"/>
      <c r="BG2" s="326"/>
      <c r="BH2" s="326"/>
      <c r="BI2" s="326"/>
      <c r="BJ2" s="326"/>
      <c r="BK2" s="331"/>
      <c r="BL2" s="331"/>
      <c r="BM2" s="331"/>
      <c r="BN2" s="331"/>
      <c r="BO2" s="331"/>
      <c r="BP2" s="331"/>
    </row>
    <row r="3" spans="1:68">
      <c r="A3" s="195" t="s">
        <v>172</v>
      </c>
      <c r="B3" s="195"/>
      <c r="C3" s="195"/>
      <c r="D3" s="195"/>
      <c r="E3" s="195"/>
      <c r="F3" s="263">
        <v>1</v>
      </c>
      <c r="G3" s="195"/>
      <c r="H3" s="195"/>
      <c r="I3" s="195"/>
      <c r="J3" s="195"/>
      <c r="K3" s="195"/>
      <c r="L3" s="263">
        <v>1</v>
      </c>
      <c r="M3" s="195"/>
      <c r="N3" s="209" t="s">
        <v>152</v>
      </c>
      <c r="O3" s="261" t="str">
        <f>SUMRY!I2</f>
        <v>JOB NAME:</v>
      </c>
      <c r="P3" s="261"/>
      <c r="Q3" s="222" t="str">
        <f>SUMRY!J2</f>
        <v>Job Name</v>
      </c>
      <c r="R3" s="222"/>
      <c r="S3" s="198"/>
      <c r="T3" s="198"/>
      <c r="U3" s="198"/>
      <c r="V3" s="199"/>
      <c r="W3" s="200"/>
      <c r="X3" s="199"/>
      <c r="Y3" s="200"/>
      <c r="Z3" s="262"/>
      <c r="AA3" s="262"/>
      <c r="AB3" s="262"/>
      <c r="AC3" s="222"/>
      <c r="AD3" s="222"/>
      <c r="AE3" s="259"/>
      <c r="AF3" s="259"/>
      <c r="AG3" s="329"/>
      <c r="AH3" s="329"/>
      <c r="AI3" s="329"/>
      <c r="AJ3" s="329"/>
      <c r="AK3" s="329"/>
      <c r="AL3" s="329"/>
      <c r="AM3" s="324"/>
      <c r="AN3" s="324"/>
      <c r="AO3" s="324"/>
      <c r="AP3" s="326"/>
      <c r="AQ3" s="324"/>
      <c r="AR3" s="326"/>
      <c r="AS3" s="326"/>
      <c r="AT3" s="326"/>
      <c r="AU3" s="326"/>
      <c r="AV3" s="326"/>
      <c r="AW3" s="326"/>
      <c r="AX3" s="326"/>
      <c r="AY3" s="326"/>
      <c r="AZ3" s="326"/>
      <c r="BA3" s="326"/>
      <c r="BB3" s="326"/>
      <c r="BC3" s="326"/>
      <c r="BD3" s="326"/>
      <c r="BE3" s="326"/>
      <c r="BF3" s="326"/>
      <c r="BG3" s="326"/>
      <c r="BH3" s="326"/>
      <c r="BI3" s="326"/>
      <c r="BJ3" s="326"/>
      <c r="BK3" s="331"/>
      <c r="BL3" s="331"/>
      <c r="BM3" s="331"/>
      <c r="BN3" s="331"/>
      <c r="BO3" s="331"/>
      <c r="BP3" s="331"/>
    </row>
    <row r="4" spans="1:68">
      <c r="A4" s="201" t="s">
        <v>173</v>
      </c>
      <c r="B4" s="195"/>
      <c r="C4" s="195"/>
      <c r="D4" s="195"/>
      <c r="E4" s="195"/>
      <c r="F4" s="202">
        <f>SUMRY!F3</f>
        <v>0.1</v>
      </c>
      <c r="G4" s="203">
        <v>0</v>
      </c>
      <c r="H4" s="203"/>
      <c r="I4" s="201">
        <f>SUMRY!E3</f>
        <v>60</v>
      </c>
      <c r="J4" s="203">
        <v>0</v>
      </c>
      <c r="K4" s="203"/>
      <c r="L4" s="202">
        <f>SUMRY!F3</f>
        <v>0.1</v>
      </c>
      <c r="M4" s="203">
        <v>0</v>
      </c>
      <c r="N4" s="209" t="s">
        <v>152</v>
      </c>
      <c r="O4" s="261" t="s">
        <v>54</v>
      </c>
      <c r="P4" s="261"/>
      <c r="Q4" s="261">
        <f>SUMRY!J$1</f>
        <v>0</v>
      </c>
      <c r="R4" s="222"/>
      <c r="S4" s="198"/>
      <c r="T4" s="198"/>
      <c r="U4" s="198"/>
      <c r="V4" s="204"/>
      <c r="W4" s="200"/>
      <c r="X4" s="204"/>
      <c r="Y4" s="200"/>
      <c r="Z4" s="262"/>
      <c r="AA4" s="264" t="s">
        <v>4</v>
      </c>
      <c r="AB4" s="332" t="str">
        <f>SUMRY!L3</f>
        <v>00/00/0000</v>
      </c>
      <c r="AC4" s="222"/>
      <c r="AD4" s="222"/>
      <c r="AE4" s="259"/>
      <c r="AF4" s="259"/>
      <c r="AG4" s="329"/>
      <c r="AH4" s="329"/>
      <c r="AI4" s="329"/>
      <c r="AJ4" s="329"/>
      <c r="AK4" s="329"/>
      <c r="AL4" s="329"/>
      <c r="AM4" s="324"/>
      <c r="AN4" s="324"/>
      <c r="AO4" s="324"/>
      <c r="AP4" s="326"/>
      <c r="AQ4" s="324"/>
      <c r="AR4" s="326"/>
      <c r="AS4" s="326"/>
      <c r="AT4" s="326"/>
      <c r="AU4" s="326"/>
      <c r="AV4" s="326"/>
      <c r="AW4" s="326"/>
      <c r="AX4" s="326"/>
      <c r="AY4" s="326"/>
      <c r="AZ4" s="326"/>
      <c r="BA4" s="326"/>
      <c r="BB4" s="326"/>
      <c r="BC4" s="326"/>
      <c r="BD4" s="326"/>
      <c r="BE4" s="326"/>
      <c r="BF4" s="326"/>
      <c r="BG4" s="326"/>
      <c r="BH4" s="326"/>
      <c r="BI4" s="326"/>
      <c r="BJ4" s="326"/>
      <c r="BK4" s="333"/>
      <c r="BL4" s="333"/>
      <c r="BM4" s="333"/>
      <c r="BN4" s="333"/>
      <c r="BO4" s="333"/>
      <c r="BP4" s="333"/>
    </row>
    <row r="5" spans="1:68">
      <c r="A5" s="424" t="s">
        <v>92</v>
      </c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258" t="s">
        <v>152</v>
      </c>
      <c r="O5" s="205"/>
      <c r="P5" s="205"/>
      <c r="Q5" s="205"/>
      <c r="R5" s="222"/>
      <c r="S5" s="416" t="s">
        <v>87</v>
      </c>
      <c r="T5" s="417"/>
      <c r="U5" s="417"/>
      <c r="V5" s="417"/>
      <c r="W5" s="417"/>
      <c r="X5" s="417"/>
      <c r="Y5" s="417"/>
      <c r="Z5" s="205"/>
      <c r="AA5" s="205"/>
      <c r="AB5" s="205"/>
      <c r="AC5" s="205"/>
      <c r="AD5" s="205"/>
      <c r="AE5" s="265"/>
      <c r="AF5" s="265"/>
      <c r="AG5" s="329" t="s">
        <v>6</v>
      </c>
      <c r="AH5" s="329" t="s">
        <v>6</v>
      </c>
      <c r="AI5" s="376"/>
      <c r="AJ5" s="376"/>
      <c r="AK5" s="376"/>
      <c r="AL5" s="376"/>
      <c r="AM5" s="207"/>
      <c r="AN5" s="207"/>
      <c r="AO5" s="207"/>
      <c r="AP5" s="206" t="s">
        <v>5</v>
      </c>
      <c r="AQ5" s="207"/>
      <c r="AR5" s="206" t="s">
        <v>5</v>
      </c>
      <c r="AS5" s="206"/>
      <c r="AT5" s="206"/>
      <c r="AU5" s="206"/>
      <c r="AV5" s="206"/>
      <c r="AW5" s="206"/>
      <c r="AX5" s="206"/>
      <c r="AY5" s="206"/>
      <c r="AZ5" s="206"/>
      <c r="BA5" s="206"/>
      <c r="BB5" s="206"/>
      <c r="BC5" s="206"/>
      <c r="BD5" s="206"/>
      <c r="BE5" s="206"/>
      <c r="BF5" s="206"/>
      <c r="BG5" s="206"/>
      <c r="BH5" s="206"/>
      <c r="BI5" s="206"/>
      <c r="BJ5" s="208"/>
      <c r="BK5" s="404" t="s">
        <v>8</v>
      </c>
      <c r="BL5" s="404"/>
      <c r="BM5" s="405" t="s">
        <v>9</v>
      </c>
      <c r="BN5" s="405"/>
      <c r="BO5" s="406" t="s">
        <v>10</v>
      </c>
      <c r="BP5" s="406"/>
    </row>
    <row r="6" spans="1:68" ht="15.75" customHeight="1">
      <c r="A6" s="209" t="s">
        <v>55</v>
      </c>
      <c r="B6" s="415" t="s">
        <v>484</v>
      </c>
      <c r="C6" s="415"/>
      <c r="D6" s="210" t="s">
        <v>99</v>
      </c>
      <c r="E6" s="210" t="s">
        <v>56</v>
      </c>
      <c r="F6" s="211" t="s">
        <v>10</v>
      </c>
      <c r="G6" s="211" t="s">
        <v>10</v>
      </c>
      <c r="H6" s="212" t="s">
        <v>8</v>
      </c>
      <c r="I6" s="213" t="s">
        <v>8</v>
      </c>
      <c r="J6" s="213" t="s">
        <v>154</v>
      </c>
      <c r="K6" s="214" t="s">
        <v>9</v>
      </c>
      <c r="L6" s="215" t="s">
        <v>9</v>
      </c>
      <c r="M6" s="215" t="s">
        <v>155</v>
      </c>
      <c r="N6" s="209" t="s">
        <v>152</v>
      </c>
      <c r="O6" s="261" t="s">
        <v>57</v>
      </c>
      <c r="P6" s="261"/>
      <c r="Q6" s="222" t="s">
        <v>58</v>
      </c>
      <c r="R6" s="217" t="s">
        <v>59</v>
      </c>
      <c r="S6" s="218" t="s">
        <v>88</v>
      </c>
      <c r="T6" s="218" t="s">
        <v>89</v>
      </c>
      <c r="U6" s="218" t="s">
        <v>90</v>
      </c>
      <c r="V6" s="218" t="s">
        <v>91</v>
      </c>
      <c r="W6" s="418" t="s">
        <v>55</v>
      </c>
      <c r="X6" s="420" t="s">
        <v>93</v>
      </c>
      <c r="Y6" s="420" t="s">
        <v>94</v>
      </c>
      <c r="Z6" s="216" t="s">
        <v>60</v>
      </c>
      <c r="AA6" s="217" t="s">
        <v>61</v>
      </c>
      <c r="AB6" s="217" t="s">
        <v>61</v>
      </c>
      <c r="AC6" s="217" t="s">
        <v>62</v>
      </c>
      <c r="AD6" s="217" t="s">
        <v>15</v>
      </c>
      <c r="AE6" s="266"/>
      <c r="AF6" s="266"/>
      <c r="AG6" s="58" t="s">
        <v>484</v>
      </c>
      <c r="AH6" s="210" t="s">
        <v>7</v>
      </c>
      <c r="AI6" s="213" t="s">
        <v>8</v>
      </c>
      <c r="AJ6" s="215" t="s">
        <v>9</v>
      </c>
      <c r="AK6" s="211" t="s">
        <v>10</v>
      </c>
      <c r="AL6" s="59" t="s">
        <v>70</v>
      </c>
      <c r="AM6" s="267" t="s">
        <v>97</v>
      </c>
      <c r="AN6" s="59" t="s">
        <v>97</v>
      </c>
      <c r="AO6" s="415" t="s">
        <v>484</v>
      </c>
      <c r="AP6" s="422"/>
      <c r="AQ6" s="407" t="s">
        <v>7</v>
      </c>
      <c r="AR6" s="408"/>
      <c r="AS6" s="412" t="s">
        <v>8</v>
      </c>
      <c r="AT6" s="413"/>
      <c r="AU6" s="413"/>
      <c r="AV6" s="413"/>
      <c r="AW6" s="413"/>
      <c r="AX6" s="414"/>
      <c r="AY6" s="409" t="s">
        <v>9</v>
      </c>
      <c r="AZ6" s="391"/>
      <c r="BA6" s="391"/>
      <c r="BB6" s="391"/>
      <c r="BC6" s="391"/>
      <c r="BD6" s="391"/>
      <c r="BE6" s="392"/>
      <c r="BF6" s="410" t="s">
        <v>10</v>
      </c>
      <c r="BG6" s="411"/>
      <c r="BH6" s="411"/>
      <c r="BI6" s="411"/>
      <c r="BJ6" s="411"/>
      <c r="BK6" s="219" t="s">
        <v>179</v>
      </c>
      <c r="BL6" s="213" t="s">
        <v>18</v>
      </c>
      <c r="BM6" s="214" t="s">
        <v>179</v>
      </c>
      <c r="BN6" s="215" t="s">
        <v>18</v>
      </c>
      <c r="BO6" s="220" t="s">
        <v>179</v>
      </c>
      <c r="BP6" s="221" t="s">
        <v>18</v>
      </c>
    </row>
    <row r="7" spans="1:68" ht="16.2" thickBot="1">
      <c r="A7" s="209"/>
      <c r="B7" s="58" t="s">
        <v>70</v>
      </c>
      <c r="C7" s="58" t="s">
        <v>63</v>
      </c>
      <c r="D7" s="210" t="s">
        <v>70</v>
      </c>
      <c r="E7" s="210" t="s">
        <v>63</v>
      </c>
      <c r="F7" s="211" t="s">
        <v>63</v>
      </c>
      <c r="G7" s="211" t="s">
        <v>153</v>
      </c>
      <c r="H7" s="212" t="s">
        <v>204</v>
      </c>
      <c r="I7" s="213" t="s">
        <v>64</v>
      </c>
      <c r="J7" s="213" t="s">
        <v>153</v>
      </c>
      <c r="K7" s="214" t="s">
        <v>15</v>
      </c>
      <c r="L7" s="215" t="s">
        <v>63</v>
      </c>
      <c r="M7" s="215" t="s">
        <v>153</v>
      </c>
      <c r="N7" s="209" t="s">
        <v>152</v>
      </c>
      <c r="O7" s="268" t="s">
        <v>16</v>
      </c>
      <c r="P7" s="268"/>
      <c r="Q7" s="222"/>
      <c r="R7" s="222"/>
      <c r="S7" s="198"/>
      <c r="T7" s="198"/>
      <c r="U7" s="198"/>
      <c r="V7" s="198"/>
      <c r="W7" s="419"/>
      <c r="X7" s="421"/>
      <c r="Y7" s="421"/>
      <c r="Z7" s="222"/>
      <c r="AA7" s="217" t="s">
        <v>63</v>
      </c>
      <c r="AB7" s="217" t="s">
        <v>15</v>
      </c>
      <c r="AC7" s="217" t="s">
        <v>65</v>
      </c>
      <c r="AD7" s="217" t="s">
        <v>65</v>
      </c>
      <c r="AE7" s="266" t="s">
        <v>10</v>
      </c>
      <c r="AF7" s="266" t="s">
        <v>198</v>
      </c>
      <c r="AG7" s="64" t="s">
        <v>15</v>
      </c>
      <c r="AH7" s="223" t="s">
        <v>15</v>
      </c>
      <c r="AI7" s="213" t="s">
        <v>15</v>
      </c>
      <c r="AJ7" s="215" t="s">
        <v>15</v>
      </c>
      <c r="AK7" s="221" t="s">
        <v>15</v>
      </c>
      <c r="AL7" s="65" t="s">
        <v>15</v>
      </c>
      <c r="AM7" s="269" t="s">
        <v>106</v>
      </c>
      <c r="AN7" s="65" t="s">
        <v>98</v>
      </c>
      <c r="AO7" s="270" t="s">
        <v>63</v>
      </c>
      <c r="AP7" s="386" t="s">
        <v>15</v>
      </c>
      <c r="AQ7" s="224" t="s">
        <v>63</v>
      </c>
      <c r="AR7" s="223" t="s">
        <v>15</v>
      </c>
      <c r="AS7" s="213" t="s">
        <v>125</v>
      </c>
      <c r="AT7" s="225" t="s">
        <v>123</v>
      </c>
      <c r="AU7" s="225" t="s">
        <v>116</v>
      </c>
      <c r="AV7" s="225" t="s">
        <v>107</v>
      </c>
      <c r="AW7" s="225" t="s">
        <v>108</v>
      </c>
      <c r="AX7" s="225" t="s">
        <v>124</v>
      </c>
      <c r="AY7" s="215" t="s">
        <v>94</v>
      </c>
      <c r="AZ7" s="226" t="s">
        <v>72</v>
      </c>
      <c r="BA7" s="226" t="s">
        <v>74</v>
      </c>
      <c r="BB7" s="226" t="s">
        <v>107</v>
      </c>
      <c r="BC7" s="226" t="s">
        <v>108</v>
      </c>
      <c r="BD7" s="227" t="s">
        <v>73</v>
      </c>
      <c r="BE7" s="227" t="s">
        <v>75</v>
      </c>
      <c r="BF7" s="221" t="s">
        <v>15</v>
      </c>
      <c r="BG7" s="228" t="s">
        <v>168</v>
      </c>
      <c r="BH7" s="228" t="s">
        <v>109</v>
      </c>
      <c r="BI7" s="227" t="s">
        <v>169</v>
      </c>
      <c r="BJ7" s="227" t="s">
        <v>70</v>
      </c>
      <c r="BK7" s="233" t="s">
        <v>199</v>
      </c>
      <c r="BL7" s="272" t="str">
        <f>BK7</f>
        <v>n</v>
      </c>
      <c r="BM7" s="233" t="s">
        <v>199</v>
      </c>
      <c r="BN7" s="273" t="str">
        <f>BM7</f>
        <v>n</v>
      </c>
      <c r="BO7" s="233" t="s">
        <v>199</v>
      </c>
      <c r="BP7" s="274" t="str">
        <f>BO7</f>
        <v>n</v>
      </c>
    </row>
    <row r="8" spans="1:68" ht="16.2" thickTop="1">
      <c r="A8" s="275"/>
      <c r="B8" s="229"/>
      <c r="C8" s="229"/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 t="s">
        <v>152</v>
      </c>
      <c r="O8" s="230"/>
      <c r="P8" s="230"/>
      <c r="Q8" s="230"/>
      <c r="R8" s="230"/>
      <c r="S8" s="230"/>
      <c r="T8" s="230"/>
      <c r="U8" s="230"/>
      <c r="V8" s="230"/>
      <c r="W8" s="230"/>
      <c r="X8" s="230"/>
      <c r="Y8" s="230"/>
      <c r="Z8" s="230"/>
      <c r="AA8" s="230"/>
      <c r="AB8" s="230"/>
      <c r="AC8" s="230"/>
      <c r="AD8" s="230"/>
      <c r="AE8" s="334"/>
      <c r="AF8" s="334"/>
      <c r="AG8" s="229"/>
      <c r="AH8" s="229"/>
      <c r="AI8" s="229"/>
      <c r="AJ8" s="229"/>
      <c r="AK8" s="229"/>
      <c r="AL8" s="229"/>
      <c r="AM8" s="276"/>
      <c r="AN8" s="230"/>
      <c r="AO8" s="229"/>
      <c r="AQ8" s="230"/>
      <c r="AR8" s="229"/>
      <c r="AS8" s="229"/>
      <c r="AT8" s="229"/>
      <c r="AU8" s="229"/>
      <c r="AV8" s="229"/>
      <c r="AW8" s="229"/>
      <c r="AX8" s="229"/>
      <c r="AY8" s="229"/>
      <c r="AZ8" s="229"/>
      <c r="BA8" s="229"/>
      <c r="BB8" s="229"/>
      <c r="BC8" s="229"/>
      <c r="BD8" s="229"/>
      <c r="BE8" s="229"/>
      <c r="BF8" s="229"/>
      <c r="BG8" s="229"/>
      <c r="BH8" s="229"/>
      <c r="BI8" s="229"/>
      <c r="BJ8" s="229"/>
      <c r="BK8" s="229"/>
      <c r="BL8" s="229"/>
      <c r="BM8" s="229"/>
      <c r="BN8" s="229"/>
      <c r="BO8" s="229"/>
      <c r="BP8" s="229"/>
    </row>
    <row r="9" spans="1:68">
      <c r="C9" s="277"/>
      <c r="E9" s="277"/>
      <c r="F9" s="277"/>
      <c r="G9" s="277"/>
      <c r="H9" s="277"/>
      <c r="I9" s="277"/>
      <c r="J9" s="277"/>
      <c r="K9" s="277"/>
      <c r="L9" s="277"/>
      <c r="M9" s="277"/>
      <c r="N9" s="232"/>
      <c r="O9" s="232"/>
      <c r="P9" s="232"/>
      <c r="Q9" s="278" t="s">
        <v>101</v>
      </c>
      <c r="S9" s="234"/>
      <c r="T9" s="20"/>
      <c r="U9" s="20"/>
      <c r="V9" s="20"/>
      <c r="W9" s="20"/>
      <c r="X9" s="20"/>
      <c r="Y9" s="20"/>
      <c r="Z9" s="279"/>
      <c r="AA9" s="236"/>
      <c r="AB9" s="235"/>
      <c r="AC9" s="280"/>
      <c r="AD9" s="235"/>
      <c r="AE9" s="233"/>
      <c r="AF9" s="233"/>
      <c r="AM9" s="286"/>
      <c r="AN9" s="235"/>
      <c r="AO9" s="194"/>
      <c r="AQ9" s="235"/>
      <c r="AR9" s="194"/>
      <c r="AS9" s="194"/>
      <c r="AT9" s="194"/>
      <c r="AU9" s="194"/>
      <c r="AV9" s="194"/>
      <c r="AW9" s="194"/>
      <c r="AX9" s="194"/>
      <c r="AY9" s="191"/>
      <c r="AZ9" s="194"/>
      <c r="BA9" s="194"/>
      <c r="BB9" s="194"/>
      <c r="BC9" s="194"/>
      <c r="BD9" s="194"/>
      <c r="BE9" s="194"/>
      <c r="BF9" s="194"/>
      <c r="BG9" s="191"/>
      <c r="BH9" s="191"/>
      <c r="BI9" s="191"/>
      <c r="BJ9" s="194"/>
      <c r="BK9" s="194"/>
      <c r="BL9" s="194"/>
      <c r="BM9" s="194"/>
      <c r="BN9" s="194"/>
      <c r="BO9" s="194"/>
      <c r="BP9" s="194"/>
    </row>
    <row r="10" spans="1:68">
      <c r="A10" s="281"/>
      <c r="B10" s="282">
        <f t="shared" ref="B10:D10" si="0">SUM(AO9:AO10)</f>
        <v>0</v>
      </c>
      <c r="C10" s="282">
        <f t="shared" si="0"/>
        <v>0</v>
      </c>
      <c r="D10" s="282">
        <f t="shared" si="0"/>
        <v>0</v>
      </c>
      <c r="E10" s="282">
        <f>SUM(AR9:AR10)</f>
        <v>0</v>
      </c>
      <c r="F10" s="282">
        <f>SUM(BH9:BH10, BJ9:BJ10,BF9:BF10)</f>
        <v>0</v>
      </c>
      <c r="G10" s="282"/>
      <c r="H10" s="282">
        <f>SUM(AT9:AT10)+SUM(AU9:AU10)</f>
        <v>0</v>
      </c>
      <c r="I10" s="282">
        <f>SUM(AW9:AW10)+SUM(AS9:AS10)</f>
        <v>0</v>
      </c>
      <c r="J10" s="282"/>
      <c r="K10" s="282">
        <f>SUM(BA9:BA10)+SUM(BC9:BC10)+SUM(BE9:BE10)+SUM(AY9:AY10)</f>
        <v>0</v>
      </c>
      <c r="M10" s="282"/>
      <c r="N10" s="232" t="s">
        <v>152</v>
      </c>
      <c r="O10" s="232"/>
      <c r="P10" s="232"/>
      <c r="Q10" s="283" t="str">
        <f>"Subtotal of Costs for "&amp;Q9</f>
        <v>Subtotal of Costs for Element</v>
      </c>
      <c r="S10" s="235"/>
      <c r="T10" s="235"/>
      <c r="U10" s="235"/>
      <c r="V10" s="235"/>
      <c r="W10" s="235"/>
      <c r="X10" s="235"/>
      <c r="Y10" s="235"/>
      <c r="Z10" s="423">
        <f>SUM(AB9:AB10)</f>
        <v>0</v>
      </c>
      <c r="AA10" s="423"/>
      <c r="AB10" s="235"/>
      <c r="AC10" s="284">
        <v>0</v>
      </c>
      <c r="AD10" s="281">
        <f>+Z10*AC10</f>
        <v>0</v>
      </c>
      <c r="AE10" s="233"/>
      <c r="AF10" s="233"/>
      <c r="AM10" s="287"/>
      <c r="AN10" s="285"/>
      <c r="AQ10" s="285"/>
      <c r="BB10" s="194"/>
      <c r="BC10" s="194"/>
    </row>
    <row r="11" spans="1:68" ht="16.2" thickBot="1">
      <c r="C11" s="277"/>
      <c r="E11" s="277"/>
      <c r="F11" s="277"/>
      <c r="G11" s="277"/>
      <c r="H11" s="277"/>
      <c r="I11" s="277"/>
      <c r="J11" s="277"/>
      <c r="K11" s="277"/>
      <c r="L11" s="277"/>
      <c r="M11" s="277"/>
      <c r="N11" s="19" t="s">
        <v>152</v>
      </c>
      <c r="O11" s="232"/>
      <c r="P11" s="232"/>
      <c r="Q11" s="278" t="s">
        <v>102</v>
      </c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80"/>
      <c r="AD11" s="235"/>
      <c r="AE11" s="233"/>
      <c r="AF11" s="233"/>
      <c r="AM11" s="286"/>
      <c r="AN11" s="235"/>
      <c r="AQ11" s="235"/>
    </row>
    <row r="12" spans="1:68" ht="16.2" thickTop="1">
      <c r="A12" s="288"/>
      <c r="B12" s="384"/>
      <c r="C12" s="289"/>
      <c r="D12" s="290"/>
      <c r="E12" s="290"/>
      <c r="F12" s="291"/>
      <c r="G12" s="291"/>
      <c r="H12" s="292"/>
      <c r="I12" s="293"/>
      <c r="J12" s="293"/>
      <c r="K12" s="294"/>
      <c r="L12" s="295"/>
      <c r="M12" s="295"/>
      <c r="N12" s="275" t="s">
        <v>152</v>
      </c>
      <c r="O12" s="296"/>
      <c r="P12" s="296"/>
      <c r="Q12" s="296"/>
      <c r="R12" s="296"/>
      <c r="S12" s="237"/>
      <c r="T12" s="237"/>
      <c r="U12" s="237"/>
      <c r="V12" s="237"/>
      <c r="W12" s="237"/>
      <c r="X12" s="237"/>
      <c r="Y12" s="237"/>
      <c r="Z12" s="296"/>
      <c r="AA12" s="296"/>
      <c r="AB12" s="296"/>
      <c r="AC12" s="296"/>
      <c r="AD12" s="296"/>
      <c r="AE12" s="297"/>
      <c r="AF12" s="297"/>
      <c r="AG12" s="300"/>
      <c r="AH12" s="237"/>
      <c r="AI12" s="335"/>
      <c r="AJ12" s="336"/>
      <c r="AK12" s="337"/>
      <c r="AL12" s="299"/>
      <c r="AM12" s="298"/>
      <c r="AN12" s="299"/>
      <c r="AO12" s="300"/>
      <c r="AP12" s="301"/>
      <c r="AQ12" s="237"/>
      <c r="AR12" s="302"/>
      <c r="AS12" s="239"/>
      <c r="AT12" s="239"/>
      <c r="AU12" s="239"/>
      <c r="AV12" s="239"/>
      <c r="AW12" s="239"/>
      <c r="AX12" s="239"/>
      <c r="AY12" s="241"/>
      <c r="AZ12" s="241"/>
      <c r="BA12" s="241"/>
      <c r="BB12" s="241"/>
      <c r="BC12" s="241"/>
      <c r="BD12" s="303"/>
      <c r="BE12" s="303"/>
      <c r="BF12" s="243"/>
      <c r="BG12" s="243"/>
      <c r="BH12" s="243"/>
      <c r="BI12" s="303"/>
      <c r="BJ12" s="303"/>
      <c r="BK12" s="238"/>
      <c r="BL12" s="239"/>
      <c r="BM12" s="240"/>
      <c r="BN12" s="241"/>
      <c r="BO12" s="242"/>
      <c r="BP12" s="243"/>
    </row>
    <row r="13" spans="1:68">
      <c r="A13" s="304"/>
      <c r="B13" s="306">
        <f>+AL13</f>
        <v>0</v>
      </c>
      <c r="C13" s="306">
        <f>+AN13</f>
        <v>0</v>
      </c>
      <c r="D13" s="307">
        <f>+AN13</f>
        <v>0</v>
      </c>
      <c r="E13" s="307">
        <f>+AR13</f>
        <v>0</v>
      </c>
      <c r="F13" s="249">
        <f>+BH13+BJ13+BF13</f>
        <v>0</v>
      </c>
      <c r="G13" s="249"/>
      <c r="H13" s="244">
        <f>+AT13+AU13</f>
        <v>0</v>
      </c>
      <c r="I13" s="245">
        <f>+AW13+AS13</f>
        <v>0</v>
      </c>
      <c r="J13" s="245"/>
      <c r="K13" s="246">
        <f>+BA13+BC13+BE13+AY13</f>
        <v>0</v>
      </c>
      <c r="L13" s="260"/>
      <c r="M13" s="308"/>
      <c r="N13" s="209" t="s">
        <v>152</v>
      </c>
      <c r="O13" s="261" t="s">
        <v>68</v>
      </c>
      <c r="P13" s="261"/>
      <c r="Q13" s="222"/>
      <c r="R13" s="222"/>
      <c r="S13" s="198"/>
      <c r="T13" s="198"/>
      <c r="U13" s="198"/>
      <c r="V13" s="198"/>
      <c r="W13" s="198"/>
      <c r="X13" s="198"/>
      <c r="Y13" s="198"/>
      <c r="Z13" s="222"/>
      <c r="AA13" s="222"/>
      <c r="AB13" s="309">
        <f>SUM(AB8:AB12)</f>
        <v>0</v>
      </c>
      <c r="AC13" s="310"/>
      <c r="AD13" s="309">
        <f t="shared" ref="AD13:AL13" si="1">SUM(AD8:AD12)</f>
        <v>0</v>
      </c>
      <c r="AE13" s="259"/>
      <c r="AF13" s="259"/>
      <c r="AG13" s="306">
        <f t="shared" ref="AG13" si="2">SUM(AG8:AG12)</f>
        <v>0</v>
      </c>
      <c r="AH13" s="307">
        <f t="shared" si="1"/>
        <v>0</v>
      </c>
      <c r="AI13" s="245">
        <f t="shared" si="1"/>
        <v>0</v>
      </c>
      <c r="AJ13" s="247">
        <f t="shared" si="1"/>
        <v>0</v>
      </c>
      <c r="AK13" s="249">
        <f t="shared" si="1"/>
        <v>0</v>
      </c>
      <c r="AL13" s="305">
        <f t="shared" si="1"/>
        <v>0</v>
      </c>
      <c r="AM13" s="311"/>
      <c r="AN13" s="305">
        <f>SUM(AN8:AN12)</f>
        <v>0</v>
      </c>
      <c r="AO13" s="312"/>
      <c r="AP13" s="306">
        <f>SUM(AP8:AP12)</f>
        <v>0</v>
      </c>
      <c r="AQ13" s="313"/>
      <c r="AR13" s="307">
        <f>SUM(AR8:AR12)</f>
        <v>0</v>
      </c>
      <c r="AS13" s="245">
        <f>SUM(AS8:AS12)</f>
        <v>0</v>
      </c>
      <c r="AT13" s="245">
        <f>SUM(AT8:AT12)</f>
        <v>0</v>
      </c>
      <c r="AU13" s="245">
        <f>SUM(AU8:AU12)</f>
        <v>0</v>
      </c>
      <c r="AV13" s="245"/>
      <c r="AW13" s="245">
        <f>SUM(AW8:AW12)</f>
        <v>0</v>
      </c>
      <c r="AX13" s="245"/>
      <c r="AY13" s="247">
        <f>SUM(AY8:AY12)</f>
        <v>0</v>
      </c>
      <c r="AZ13" s="247"/>
      <c r="BA13" s="247">
        <f>SUM(BA8:BA12)</f>
        <v>0</v>
      </c>
      <c r="BB13" s="247"/>
      <c r="BC13" s="247">
        <f>SUM(BC8:BC12)</f>
        <v>0</v>
      </c>
      <c r="BD13" s="305"/>
      <c r="BE13" s="305">
        <f>SUM(BE8:BE12)</f>
        <v>0</v>
      </c>
      <c r="BF13" s="249">
        <f>SUM(BF8:BF12)</f>
        <v>0</v>
      </c>
      <c r="BG13" s="249"/>
      <c r="BH13" s="249">
        <f>SUM(BH8:BH12)</f>
        <v>0</v>
      </c>
      <c r="BI13" s="305"/>
      <c r="BJ13" s="305">
        <f>SUM(BJ8:BJ12)</f>
        <v>0</v>
      </c>
      <c r="BK13" s="244">
        <f t="shared" ref="BK13:BP13" si="3">SUM(BK8:BK12)</f>
        <v>0</v>
      </c>
      <c r="BL13" s="245">
        <f t="shared" si="3"/>
        <v>0</v>
      </c>
      <c r="BM13" s="246">
        <f t="shared" si="3"/>
        <v>0</v>
      </c>
      <c r="BN13" s="247">
        <f t="shared" si="3"/>
        <v>0</v>
      </c>
      <c r="BO13" s="248">
        <f t="shared" si="3"/>
        <v>0</v>
      </c>
      <c r="BP13" s="249">
        <f t="shared" si="3"/>
        <v>0</v>
      </c>
    </row>
    <row r="14" spans="1:68">
      <c r="A14" s="209"/>
      <c r="B14" s="209"/>
      <c r="C14" s="338"/>
      <c r="D14" s="209"/>
      <c r="E14" s="338"/>
      <c r="F14" s="338"/>
      <c r="G14" s="338"/>
      <c r="H14" s="338"/>
      <c r="I14" s="338"/>
      <c r="J14" s="338"/>
      <c r="K14" s="338"/>
      <c r="L14" s="338"/>
      <c r="M14" s="338"/>
      <c r="N14" s="209" t="s">
        <v>152</v>
      </c>
      <c r="O14" s="314"/>
      <c r="P14" s="314"/>
      <c r="Q14" s="314"/>
      <c r="R14" s="314"/>
      <c r="S14" s="250"/>
      <c r="T14" s="250"/>
      <c r="U14" s="250"/>
      <c r="V14" s="250"/>
      <c r="W14" s="250"/>
      <c r="X14" s="250"/>
      <c r="Y14" s="250"/>
      <c r="Z14" s="314"/>
      <c r="AA14" s="314"/>
      <c r="AB14" s="314"/>
      <c r="AC14" s="314"/>
      <c r="AD14" s="314"/>
      <c r="AE14" s="265"/>
      <c r="AF14" s="265"/>
      <c r="AG14" s="315"/>
      <c r="AH14" s="250"/>
      <c r="AI14" s="316"/>
      <c r="AJ14" s="317"/>
      <c r="AK14" s="318"/>
      <c r="AL14" s="319"/>
      <c r="AM14" s="320"/>
      <c r="AN14" s="319"/>
      <c r="AO14" s="315"/>
      <c r="AP14" s="321"/>
      <c r="AQ14" s="250"/>
      <c r="AR14" s="322"/>
      <c r="AS14" s="252"/>
      <c r="AT14" s="252"/>
      <c r="AU14" s="252"/>
      <c r="AV14" s="252"/>
      <c r="AW14" s="252"/>
      <c r="AX14" s="252"/>
      <c r="AY14" s="254"/>
      <c r="AZ14" s="254"/>
      <c r="BA14" s="254"/>
      <c r="BB14" s="254"/>
      <c r="BC14" s="254"/>
      <c r="BD14" s="323"/>
      <c r="BE14" s="323"/>
      <c r="BF14" s="256"/>
      <c r="BG14" s="256"/>
      <c r="BH14" s="256"/>
      <c r="BI14" s="323"/>
      <c r="BJ14" s="323"/>
      <c r="BK14" s="251"/>
      <c r="BL14" s="252"/>
      <c r="BM14" s="253"/>
      <c r="BN14" s="254"/>
      <c r="BO14" s="255"/>
      <c r="BP14" s="256"/>
    </row>
  </sheetData>
  <autoFilter ref="N1:N14" xr:uid="{00000000-0009-0000-0000-00000B000000}"/>
  <mergeCells count="15">
    <mergeCell ref="B6:C6"/>
    <mergeCell ref="AO6:AP6"/>
    <mergeCell ref="A5:M5"/>
    <mergeCell ref="BO5:BP5"/>
    <mergeCell ref="Z10:AA10"/>
    <mergeCell ref="X6:X7"/>
    <mergeCell ref="Y6:Y7"/>
    <mergeCell ref="BK5:BL5"/>
    <mergeCell ref="BF6:BJ6"/>
    <mergeCell ref="AS6:AX6"/>
    <mergeCell ref="AY6:BE6"/>
    <mergeCell ref="AQ6:AR6"/>
    <mergeCell ref="S5:Y5"/>
    <mergeCell ref="W6:W7"/>
    <mergeCell ref="BM5:BN5"/>
  </mergeCells>
  <phoneticPr fontId="3" type="noConversion"/>
  <dataValidations count="1">
    <dataValidation allowBlank="1" showInputMessage="1" showErrorMessage="1" sqref="D6:M7 B6:B1048576 D12:XFD1048576 AQ8:XFD11 D8:AO11 C7:C1048576 A1:A1048576 B1:B4 N1:XFD7 D1:M4 C1:C4" xr:uid="{00000000-0002-0000-0B00-000001000000}"/>
  </dataValidations>
  <pageMargins left="0.74803149606299213" right="0.74803149606299213" top="0.9055118110236221" bottom="0.74803149606299213" header="0.31496062992125984" footer="0.31496062992125984"/>
  <pageSetup paperSize="9" scale="47" fitToHeight="52" orientation="portrait" r:id="rId1"/>
  <headerFooter alignWithMargins="0">
    <oddHeader>&amp;L&amp;G</oddHead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AW12"/>
  <sheetViews>
    <sheetView zoomScale="65" workbookViewId="0"/>
  </sheetViews>
  <sheetFormatPr defaultColWidth="10.7265625" defaultRowHeight="15"/>
  <cols>
    <col min="1" max="1" width="2.7265625" customWidth="1"/>
    <col min="2" max="2" width="12.7265625" customWidth="1"/>
    <col min="3" max="3" width="18" bestFit="1" customWidth="1"/>
    <col min="4" max="7" width="12.7265625" customWidth="1"/>
    <col min="8" max="8" width="2.7265625" customWidth="1"/>
    <col min="9" max="9" width="10.7265625" customWidth="1"/>
    <col min="10" max="10" width="25.7265625" customWidth="1"/>
    <col min="11" max="11" width="30.7265625" customWidth="1"/>
    <col min="12" max="13" width="16.7265625" customWidth="1"/>
    <col min="14" max="15" width="14.7265625" customWidth="1"/>
    <col min="16" max="17" width="9.7265625" customWidth="1"/>
    <col min="18" max="18" width="21.81640625" customWidth="1"/>
    <col min="19" max="47" width="10.7265625" customWidth="1"/>
    <col min="48" max="48" width="2.453125" customWidth="1"/>
    <col min="49" max="49" width="2.26953125" customWidth="1"/>
  </cols>
  <sheetData>
    <row r="1" spans="1:49" s="23" customFormat="1" ht="15.75" customHeight="1">
      <c r="A1" s="339"/>
      <c r="B1" s="339"/>
      <c r="C1" s="339"/>
      <c r="D1" s="339"/>
      <c r="E1" s="340"/>
      <c r="F1" s="339"/>
      <c r="G1" s="339"/>
      <c r="H1" s="339" t="s">
        <v>152</v>
      </c>
      <c r="I1" s="425" t="s">
        <v>0</v>
      </c>
      <c r="J1" s="425"/>
      <c r="K1" s="342" t="s">
        <v>95</v>
      </c>
      <c r="L1" s="343">
        <v>0</v>
      </c>
      <c r="M1" s="344"/>
      <c r="N1" s="345"/>
      <c r="O1" s="346"/>
      <c r="P1" s="339"/>
      <c r="Q1" s="339"/>
      <c r="R1" s="347" t="s">
        <v>117</v>
      </c>
      <c r="S1" s="347"/>
      <c r="T1" s="339"/>
      <c r="U1" s="339"/>
      <c r="V1" s="339"/>
      <c r="W1" s="339"/>
      <c r="X1"/>
      <c r="Y1" s="342"/>
      <c r="Z1" s="348"/>
      <c r="AA1" s="348"/>
      <c r="AB1" s="339"/>
      <c r="AC1" s="348"/>
      <c r="AD1" s="339"/>
      <c r="AE1" s="339"/>
      <c r="AF1" s="339"/>
      <c r="AG1" s="339"/>
      <c r="AH1" s="339"/>
      <c r="AI1" s="339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  <c r="AV1" s="23" t="s">
        <v>170</v>
      </c>
      <c r="AW1" s="23" t="s">
        <v>171</v>
      </c>
    </row>
    <row r="2" spans="1:49" s="23" customFormat="1" ht="16.5" customHeight="1">
      <c r="A2" s="339"/>
      <c r="B2" s="339"/>
      <c r="C2" s="339"/>
      <c r="D2" s="339"/>
      <c r="E2" s="349"/>
      <c r="F2" s="349"/>
      <c r="G2" s="339"/>
      <c r="H2" s="339" t="s">
        <v>152</v>
      </c>
      <c r="I2" s="348" t="s">
        <v>1</v>
      </c>
      <c r="J2" s="350"/>
      <c r="K2" s="351"/>
      <c r="L2" s="342"/>
      <c r="M2" s="352"/>
      <c r="N2" s="352"/>
      <c r="O2" s="352"/>
      <c r="P2" s="339"/>
      <c r="Q2" s="339"/>
      <c r="R2" s="339"/>
      <c r="S2" s="339"/>
      <c r="T2" s="339"/>
      <c r="U2" s="339"/>
      <c r="V2" s="339"/>
      <c r="W2" s="339"/>
      <c r="X2"/>
      <c r="Y2" s="348"/>
      <c r="Z2" s="348"/>
      <c r="AA2" s="348"/>
      <c r="AB2" s="339"/>
      <c r="AC2" s="348"/>
      <c r="AD2" s="339"/>
      <c r="AE2" s="339"/>
      <c r="AF2" s="339"/>
      <c r="AG2" s="339"/>
      <c r="AH2" s="339"/>
      <c r="AI2" s="339"/>
      <c r="AJ2" s="339"/>
      <c r="AK2" s="339"/>
      <c r="AL2" s="339"/>
      <c r="AM2" s="339"/>
      <c r="AN2" s="339"/>
      <c r="AO2" s="339"/>
      <c r="AP2" s="339"/>
      <c r="AQ2" s="339"/>
      <c r="AR2" s="339"/>
      <c r="AS2" s="339"/>
      <c r="AT2" s="339"/>
      <c r="AU2" s="339"/>
      <c r="AV2" s="23" t="s">
        <v>170</v>
      </c>
      <c r="AW2" s="23" t="s">
        <v>171</v>
      </c>
    </row>
    <row r="3" spans="1:49" s="45" customFormat="1" ht="15.6">
      <c r="A3" s="257"/>
      <c r="B3" s="257"/>
      <c r="C3" s="257" t="s">
        <v>2</v>
      </c>
      <c r="D3" s="257" t="s">
        <v>2</v>
      </c>
      <c r="E3" s="353">
        <f>F55</f>
        <v>0</v>
      </c>
      <c r="F3" s="354">
        <f>F68</f>
        <v>0</v>
      </c>
      <c r="G3" s="257"/>
      <c r="H3" s="339" t="s">
        <v>152</v>
      </c>
      <c r="I3" s="426" t="s">
        <v>3</v>
      </c>
      <c r="J3" s="426"/>
      <c r="K3" s="197" t="s">
        <v>4</v>
      </c>
      <c r="L3" s="356" t="s">
        <v>127</v>
      </c>
      <c r="M3" s="357"/>
      <c r="N3" s="341"/>
      <c r="O3" s="148"/>
      <c r="P3" s="372" t="s">
        <v>86</v>
      </c>
      <c r="Q3"/>
      <c r="R3"/>
      <c r="S3"/>
      <c r="T3"/>
      <c r="U3"/>
      <c r="V3"/>
      <c r="W3" s="373"/>
      <c r="X3"/>
      <c r="Y3" s="374" t="s">
        <v>5</v>
      </c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374"/>
      <c r="AQ3" s="374"/>
      <c r="AR3" s="374"/>
      <c r="AS3" s="374"/>
      <c r="AT3" s="374"/>
      <c r="AU3" s="375"/>
      <c r="AV3" s="23" t="s">
        <v>170</v>
      </c>
      <c r="AW3" s="23" t="s">
        <v>171</v>
      </c>
    </row>
    <row r="4" spans="1:49" s="23" customFormat="1" ht="15.6">
      <c r="A4" s="368" t="s">
        <v>100</v>
      </c>
      <c r="B4" s="368"/>
      <c r="C4" s="368"/>
      <c r="D4" s="368"/>
      <c r="E4" s="368"/>
      <c r="F4" s="368"/>
      <c r="G4" s="368"/>
      <c r="H4" s="339" t="s">
        <v>152</v>
      </c>
      <c r="I4" s="340"/>
      <c r="J4" s="339"/>
      <c r="K4" s="339"/>
      <c r="L4" s="339"/>
      <c r="M4" s="358"/>
      <c r="N4" s="357">
        <v>65</v>
      </c>
      <c r="O4" s="359"/>
      <c r="P4" s="340"/>
      <c r="Q4" s="340"/>
      <c r="R4" s="339"/>
      <c r="S4" s="339"/>
      <c r="T4" s="339"/>
      <c r="U4" s="339"/>
      <c r="V4" s="339"/>
      <c r="W4" s="339"/>
      <c r="X4"/>
      <c r="Y4" s="339"/>
      <c r="Z4" s="340"/>
      <c r="AA4" s="340"/>
      <c r="AB4" s="340"/>
      <c r="AC4" s="340"/>
      <c r="AD4" s="340"/>
      <c r="AE4" s="340"/>
      <c r="AF4" s="340"/>
      <c r="AG4" s="340"/>
      <c r="AH4" s="340"/>
      <c r="AI4" s="340"/>
      <c r="AJ4" s="340"/>
      <c r="AK4" s="340"/>
      <c r="AL4" s="340"/>
      <c r="AM4" s="340"/>
      <c r="AN4" s="340"/>
      <c r="AO4" s="340"/>
      <c r="AP4" s="340"/>
      <c r="AQ4" s="340"/>
      <c r="AR4" s="360"/>
      <c r="AS4" s="340"/>
      <c r="AT4" s="340"/>
      <c r="AU4" s="340"/>
      <c r="AV4" s="23" t="s">
        <v>170</v>
      </c>
      <c r="AW4" s="23" t="s">
        <v>171</v>
      </c>
    </row>
    <row r="5" spans="1:49" s="45" customFormat="1" ht="15.6">
      <c r="A5" s="257"/>
      <c r="B5" s="50" t="s">
        <v>99</v>
      </c>
      <c r="C5" s="369" t="s">
        <v>484</v>
      </c>
      <c r="D5" s="62" t="s">
        <v>7</v>
      </c>
      <c r="E5" s="52" t="s">
        <v>8</v>
      </c>
      <c r="F5" s="53" t="s">
        <v>9</v>
      </c>
      <c r="G5" s="54" t="s">
        <v>10</v>
      </c>
      <c r="H5" s="339" t="s">
        <v>152</v>
      </c>
      <c r="I5" s="355" t="s">
        <v>11</v>
      </c>
      <c r="J5" s="361" t="s">
        <v>132</v>
      </c>
      <c r="K5" s="361" t="s">
        <v>133</v>
      </c>
      <c r="L5" s="197" t="s">
        <v>12</v>
      </c>
      <c r="M5" s="362" t="s">
        <v>13</v>
      </c>
      <c r="N5" s="362" t="s">
        <v>111</v>
      </c>
      <c r="O5" s="362" t="s">
        <v>112</v>
      </c>
      <c r="P5" s="57" t="s">
        <v>71</v>
      </c>
      <c r="Q5" s="57" t="s">
        <v>71</v>
      </c>
      <c r="R5" s="369" t="s">
        <v>484</v>
      </c>
      <c r="S5" s="62" t="s">
        <v>7</v>
      </c>
      <c r="T5" s="52" t="s">
        <v>8</v>
      </c>
      <c r="U5" s="53" t="s">
        <v>9</v>
      </c>
      <c r="V5" s="54" t="s">
        <v>14</v>
      </c>
      <c r="W5" s="59" t="s">
        <v>70</v>
      </c>
      <c r="X5"/>
      <c r="Y5" s="60" t="s">
        <v>70</v>
      </c>
      <c r="Z5" s="61" t="s">
        <v>122</v>
      </c>
      <c r="AA5" s="402" t="s">
        <v>484</v>
      </c>
      <c r="AB5" s="403"/>
      <c r="AC5" s="62" t="s">
        <v>7</v>
      </c>
      <c r="AD5" s="62" t="s">
        <v>7</v>
      </c>
      <c r="AE5" s="396" t="s">
        <v>82</v>
      </c>
      <c r="AF5" s="397"/>
      <c r="AG5" s="396" t="s">
        <v>80</v>
      </c>
      <c r="AH5" s="397"/>
      <c r="AI5" s="397"/>
      <c r="AJ5" s="398"/>
      <c r="AK5" s="399" t="s">
        <v>81</v>
      </c>
      <c r="AL5" s="400"/>
      <c r="AM5" s="390" t="s">
        <v>76</v>
      </c>
      <c r="AN5" s="391"/>
      <c r="AO5" s="391"/>
      <c r="AP5" s="392"/>
      <c r="AQ5" s="393" t="s">
        <v>83</v>
      </c>
      <c r="AR5" s="401"/>
      <c r="AS5" s="393" t="s">
        <v>78</v>
      </c>
      <c r="AT5" s="394"/>
      <c r="AU5" s="395"/>
      <c r="AV5" s="23" t="s">
        <v>170</v>
      </c>
      <c r="AW5" s="23" t="s">
        <v>171</v>
      </c>
    </row>
    <row r="6" spans="1:49" s="45" customFormat="1" ht="15.6">
      <c r="A6" s="148"/>
      <c r="B6" s="50" t="s">
        <v>70</v>
      </c>
      <c r="C6" s="369" t="s">
        <v>15</v>
      </c>
      <c r="D6" s="62" t="s">
        <v>15</v>
      </c>
      <c r="E6" s="52" t="s">
        <v>15</v>
      </c>
      <c r="F6" s="53" t="s">
        <v>15</v>
      </c>
      <c r="G6" s="54" t="s">
        <v>15</v>
      </c>
      <c r="H6" s="339" t="s">
        <v>152</v>
      </c>
      <c r="I6" s="355" t="s">
        <v>16</v>
      </c>
      <c r="J6" s="361"/>
      <c r="K6" s="361"/>
      <c r="L6" s="197" t="s">
        <v>15</v>
      </c>
      <c r="M6" s="362" t="s">
        <v>15</v>
      </c>
      <c r="N6" s="362" t="s">
        <v>13</v>
      </c>
      <c r="O6" s="362" t="s">
        <v>15</v>
      </c>
      <c r="P6" s="363" t="s">
        <v>121</v>
      </c>
      <c r="Q6" s="57" t="s">
        <v>120</v>
      </c>
      <c r="R6" s="369" t="s">
        <v>18</v>
      </c>
      <c r="S6" s="62" t="s">
        <v>18</v>
      </c>
      <c r="T6" s="52" t="s">
        <v>18</v>
      </c>
      <c r="U6" s="53" t="s">
        <v>18</v>
      </c>
      <c r="V6" s="54" t="s">
        <v>18</v>
      </c>
      <c r="W6" s="65" t="s">
        <v>15</v>
      </c>
      <c r="X6"/>
      <c r="Y6" s="60" t="s">
        <v>99</v>
      </c>
      <c r="Z6" s="66" t="s">
        <v>99</v>
      </c>
      <c r="AA6" s="369" t="s">
        <v>15</v>
      </c>
      <c r="AB6" s="369" t="s">
        <v>17</v>
      </c>
      <c r="AC6" s="62" t="s">
        <v>15</v>
      </c>
      <c r="AD6" s="62" t="s">
        <v>17</v>
      </c>
      <c r="AE6" s="52" t="s">
        <v>71</v>
      </c>
      <c r="AF6" s="52" t="s">
        <v>79</v>
      </c>
      <c r="AG6" s="52" t="s">
        <v>71</v>
      </c>
      <c r="AH6" s="52" t="s">
        <v>113</v>
      </c>
      <c r="AI6" s="52" t="s">
        <v>114</v>
      </c>
      <c r="AJ6" s="52" t="s">
        <v>79</v>
      </c>
      <c r="AK6" s="66" t="s">
        <v>70</v>
      </c>
      <c r="AL6" s="53" t="s">
        <v>15</v>
      </c>
      <c r="AM6" s="53" t="s">
        <v>15</v>
      </c>
      <c r="AN6" s="53" t="s">
        <v>77</v>
      </c>
      <c r="AO6" s="53" t="s">
        <v>109</v>
      </c>
      <c r="AP6" s="66" t="s">
        <v>70</v>
      </c>
      <c r="AQ6" s="54" t="s">
        <v>15</v>
      </c>
      <c r="AR6" s="66" t="s">
        <v>70</v>
      </c>
      <c r="AS6" s="54" t="s">
        <v>15</v>
      </c>
      <c r="AT6" s="54" t="s">
        <v>109</v>
      </c>
      <c r="AU6" s="66" t="s">
        <v>70</v>
      </c>
      <c r="AV6" s="23" t="s">
        <v>170</v>
      </c>
      <c r="AW6" s="23" t="s">
        <v>171</v>
      </c>
    </row>
    <row r="7" spans="1:49" s="45" customFormat="1" ht="15.6" thickBot="1">
      <c r="A7" s="148"/>
      <c r="B7" s="67"/>
      <c r="C7" s="370"/>
      <c r="D7" s="77"/>
      <c r="E7" s="69"/>
      <c r="F7" s="70"/>
      <c r="G7" s="71"/>
      <c r="H7" s="148" t="s">
        <v>152</v>
      </c>
      <c r="I7" s="148"/>
      <c r="J7" s="148"/>
      <c r="K7" s="148"/>
      <c r="L7" s="148"/>
      <c r="M7" s="148"/>
      <c r="N7" s="148"/>
      <c r="O7" s="148"/>
      <c r="P7" s="148"/>
      <c r="Q7" s="148"/>
      <c r="R7" s="371"/>
      <c r="S7" s="327"/>
      <c r="T7" s="72"/>
      <c r="U7" s="73"/>
      <c r="V7" s="74"/>
      <c r="W7" s="75"/>
      <c r="X7"/>
      <c r="Y7" s="67"/>
      <c r="Z7" s="67"/>
      <c r="AA7" s="370"/>
      <c r="AB7" s="370"/>
      <c r="AC7" s="77"/>
      <c r="AD7" s="77"/>
      <c r="AE7" s="69"/>
      <c r="AF7" s="69"/>
      <c r="AG7" s="69"/>
      <c r="AH7" s="69"/>
      <c r="AI7" s="69"/>
      <c r="AJ7" s="69"/>
      <c r="AK7" s="67"/>
      <c r="AL7" s="70"/>
      <c r="AM7" s="70"/>
      <c r="AN7" s="70"/>
      <c r="AO7" s="70"/>
      <c r="AP7" s="67"/>
      <c r="AQ7" s="71"/>
      <c r="AR7" s="67"/>
      <c r="AS7" s="71"/>
      <c r="AT7" s="71"/>
      <c r="AU7" s="67"/>
      <c r="AV7" s="23" t="s">
        <v>170</v>
      </c>
      <c r="AW7" s="23" t="s">
        <v>171</v>
      </c>
    </row>
    <row r="8" spans="1:49" s="45" customFormat="1" ht="15.6" thickTop="1">
      <c r="A8" s="364"/>
      <c r="B8" s="78"/>
      <c r="C8" s="78"/>
      <c r="D8" s="78"/>
      <c r="E8" s="78"/>
      <c r="F8" s="78"/>
      <c r="G8" s="78"/>
      <c r="H8" s="364" t="s">
        <v>152</v>
      </c>
      <c r="I8" s="365"/>
      <c r="J8" s="365"/>
      <c r="K8" s="365"/>
      <c r="L8" s="365"/>
      <c r="M8" s="365"/>
      <c r="N8" s="364"/>
      <c r="O8" s="364"/>
      <c r="P8" s="364"/>
      <c r="Q8" s="364"/>
      <c r="R8" s="78"/>
      <c r="S8" s="78"/>
      <c r="T8" s="78"/>
      <c r="U8" s="78"/>
      <c r="V8" s="78"/>
      <c r="W8" s="78"/>
      <c r="X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23" t="s">
        <v>170</v>
      </c>
      <c r="AW8" s="23" t="s">
        <v>171</v>
      </c>
    </row>
    <row r="9" spans="1:49" s="45" customFormat="1">
      <c r="A9" s="179">
        <v>1</v>
      </c>
      <c r="B9" s="231">
        <v>0</v>
      </c>
      <c r="C9" s="231">
        <v>0</v>
      </c>
      <c r="D9" s="231">
        <v>0</v>
      </c>
      <c r="E9" s="231">
        <v>0</v>
      </c>
      <c r="F9" s="231">
        <v>0</v>
      </c>
      <c r="G9" s="231">
        <v>0</v>
      </c>
      <c r="H9" s="189" t="s">
        <v>152</v>
      </c>
      <c r="I9" s="366" t="s">
        <v>19</v>
      </c>
      <c r="J9" s="45" t="s">
        <v>20</v>
      </c>
      <c r="L9" s="84">
        <f>_xlfn.IFNA(SUM(Y9:AU9)-(AE9+AG9+AH9),0)</f>
        <v>0</v>
      </c>
      <c r="M9" s="84">
        <f>IF(A9=0,+'1'!W239,0)</f>
        <v>0</v>
      </c>
      <c r="N9" s="85">
        <v>0</v>
      </c>
      <c r="O9" s="84">
        <f>+M9-N9</f>
        <v>0</v>
      </c>
      <c r="P9" s="86">
        <f>(AG9+AH9)-Q9</f>
        <v>0</v>
      </c>
      <c r="Q9" s="86">
        <f>+IFERROR(T9/E$3,0)</f>
        <v>0</v>
      </c>
      <c r="R9" s="86">
        <f>IF(A9=0,'1'!Z239,0)</f>
        <v>0</v>
      </c>
      <c r="S9" s="86">
        <f>IF(A9=0,'1'!AA239,0)</f>
        <v>0</v>
      </c>
      <c r="T9" s="86">
        <f>IF(A9=0,'1'!AB239,0)</f>
        <v>0</v>
      </c>
      <c r="U9" s="86">
        <f>IF(A9=0,'1'!AC239,0)</f>
        <v>0</v>
      </c>
      <c r="V9" s="86">
        <f>IF(A9=0,'1'!AD239,0)</f>
        <v>0</v>
      </c>
      <c r="W9" s="86">
        <f>IF(A9=0,'1'!AE239,0)</f>
        <v>0</v>
      </c>
      <c r="X9"/>
      <c r="Y9" s="84">
        <f>_xlfn.IFNA(IF((A9=1),B9,0),0)</f>
        <v>0</v>
      </c>
      <c r="Z9" s="84">
        <f>IF(A9=0,+'1'!AG239,0)</f>
        <v>0</v>
      </c>
      <c r="AA9" s="86">
        <f>_xlfn.IFNA(IF((A9=1),B9,0),0)</f>
        <v>0</v>
      </c>
      <c r="AB9" s="86">
        <f>IF(A9=0,+'1'!AG239,0)</f>
        <v>0</v>
      </c>
      <c r="AC9" s="86">
        <f>_xlfn.IFNA(IF((A9=1),D9,0),0)</f>
        <v>0</v>
      </c>
      <c r="AD9" s="86">
        <f>IF(A9=0,+'1'!AK239,0)</f>
        <v>0</v>
      </c>
      <c r="AE9" s="86">
        <f>_xlfn.IFNA(IF(A9=1,+E9,0),0)</f>
        <v>0</v>
      </c>
      <c r="AF9" s="86">
        <f>_xlfn.IFNA(IF((+A9=1),+E9*$E$3,0),0)</f>
        <v>0</v>
      </c>
      <c r="AG9" s="86">
        <f>IF(+$A9=0,+'1'!AM239,0)</f>
        <v>0</v>
      </c>
      <c r="AH9" s="86">
        <f>IF(+$A9=0,+'1'!AN239,0)</f>
        <v>0</v>
      </c>
      <c r="AI9" s="86">
        <f>IF(+$A9=0,+'1'!AP239,0)</f>
        <v>0</v>
      </c>
      <c r="AJ9" s="86">
        <f>IF(+$A9=0,+'1'!AL239,0)</f>
        <v>0</v>
      </c>
      <c r="AK9" s="86">
        <f>_xlfn.IFNA(IF((+$A9=1),+AL9*(F$3+E$2),0),0)</f>
        <v>0</v>
      </c>
      <c r="AL9" s="86">
        <f>_xlfn.IFNA(IF((+$A9=1),+F9,0),0)</f>
        <v>0</v>
      </c>
      <c r="AM9" s="86">
        <f>IF(+$A9=0,+'1'!AR239,0)</f>
        <v>0</v>
      </c>
      <c r="AN9" s="86">
        <f>IF(A$9=0,+'1'!AT239,0)</f>
        <v>0</v>
      </c>
      <c r="AO9" s="86">
        <f>IF($A9=0,+'1'!AV239,0)</f>
        <v>0</v>
      </c>
      <c r="AP9" s="86">
        <f>IF(A9=0,+'1'!AX239,0)</f>
        <v>0</v>
      </c>
      <c r="AQ9" s="86">
        <f>_xlfn.IFNA(IF((+$A9=1),G9,0),0)</f>
        <v>0</v>
      </c>
      <c r="AR9" s="86">
        <f>_xlfn.IFNA(IF((+$A9=1),(G9*$F$3),0),0)</f>
        <v>0</v>
      </c>
      <c r="AS9" s="86">
        <f>IF(+$A9=0,+'1'!AY239,0)</f>
        <v>0</v>
      </c>
      <c r="AT9" s="86">
        <f>IF(+$A9=0,+'1'!BA239,0)</f>
        <v>0</v>
      </c>
      <c r="AU9" s="86">
        <f>IF(+$A9=0,+'1'!BC239,0)</f>
        <v>0</v>
      </c>
      <c r="AV9" s="23" t="s">
        <v>170</v>
      </c>
      <c r="AW9" s="23" t="s">
        <v>171</v>
      </c>
    </row>
    <row r="10" spans="1:49" s="45" customFormat="1">
      <c r="A10" s="179">
        <v>1</v>
      </c>
      <c r="B10" s="231">
        <v>0</v>
      </c>
      <c r="C10" s="231">
        <v>0</v>
      </c>
      <c r="D10" s="231">
        <v>0</v>
      </c>
      <c r="E10" s="231">
        <v>0</v>
      </c>
      <c r="F10" s="231">
        <v>0</v>
      </c>
      <c r="G10" s="231">
        <v>0</v>
      </c>
      <c r="H10" s="189" t="s">
        <v>152</v>
      </c>
      <c r="I10" s="366"/>
      <c r="J10" s="190"/>
      <c r="K10" s="190"/>
      <c r="L10" s="84">
        <f>_xlfn.IFNA(SUM(Y10:AU10)-(AE10+AG10+AH10),0)</f>
        <v>0</v>
      </c>
      <c r="M10" s="84">
        <f>IF(A10=0,+zBlankSht!AD$13,0)</f>
        <v>0</v>
      </c>
      <c r="N10" s="85">
        <v>0</v>
      </c>
      <c r="O10" s="84">
        <f>+M10-N10</f>
        <v>0</v>
      </c>
      <c r="P10" s="86">
        <f>(AG10+AH10)-Q10</f>
        <v>0</v>
      </c>
      <c r="Q10" s="86">
        <f>+IFERROR(T10/E$3,0)</f>
        <v>0</v>
      </c>
      <c r="R10" s="86">
        <f>IF(A9=0,zBlankSht!AG$13,0)</f>
        <v>0</v>
      </c>
      <c r="S10" s="86">
        <f>IF(A10=0,zBlankSht!AH$13,0)</f>
        <v>0</v>
      </c>
      <c r="T10" s="86">
        <f>IF(A10=0,zBlankSht!AI$13,0)</f>
        <v>0</v>
      </c>
      <c r="U10" s="86">
        <f>IF(A10=0,zBlankSht!AJ$13,0)</f>
        <v>0</v>
      </c>
      <c r="V10" s="86">
        <f>IF(A10=0,zBlankSht!AK$13,0)</f>
        <v>0</v>
      </c>
      <c r="W10" s="86">
        <f>IF(A10=0,zBlankSht!AL$13,0)</f>
        <v>0</v>
      </c>
      <c r="X10"/>
      <c r="Y10" s="84">
        <f>_xlfn.IFNA(IF((A10=1),B10,0),0)</f>
        <v>0</v>
      </c>
      <c r="Z10" s="84">
        <f>IF(A10=0,+zBlankSht!AN$13,0)</f>
        <v>0</v>
      </c>
      <c r="AA10" s="86">
        <f>_xlfn.IFNA(IF((A10=1),B10,0),0)</f>
        <v>0</v>
      </c>
      <c r="AB10" s="86">
        <f>IF(+$A10=0,+zBlankSht!AN$13,0)</f>
        <v>0</v>
      </c>
      <c r="AC10" s="86">
        <f>_xlfn.IFNA(IF((A10=1),D10,0),0)</f>
        <v>0</v>
      </c>
      <c r="AD10" s="86">
        <f>IF(+$A10=0,+zBlankSht!AR$13,0)</f>
        <v>0</v>
      </c>
      <c r="AE10" s="86">
        <f>_xlfn.IFNA(IF(A10=1,+E10,0),0)</f>
        <v>0</v>
      </c>
      <c r="AF10" s="86">
        <f>_xlfn.IFNA(IF((+A10=1),+E10*$E$3,0),0)</f>
        <v>0</v>
      </c>
      <c r="AG10" s="86">
        <f>IF(+$A10=0,+zBlankSht!AT$13,0)</f>
        <v>0</v>
      </c>
      <c r="AH10" s="86">
        <f>IF(+$A10=0,+zBlankSht!AU$13,0)</f>
        <v>0</v>
      </c>
      <c r="AI10" s="86">
        <f>IF(+$A10=0,+zBlankSht!AW$13,0)</f>
        <v>0</v>
      </c>
      <c r="AJ10" s="86">
        <f>IF(+$A10=0,+zBlankSht!AS$13,0)</f>
        <v>0</v>
      </c>
      <c r="AK10" s="86">
        <f>_xlfn.IFNA(IF((+$A10=1),+AL10*(F$3+E$2),0),0)</f>
        <v>0</v>
      </c>
      <c r="AL10" s="86">
        <f>_xlfn.IFNA(IF((+$A10=1),+F10,0),0)</f>
        <v>0</v>
      </c>
      <c r="AM10" s="86">
        <f>IF(+$A10=0,+zBlankSht!AY$13,0)</f>
        <v>0</v>
      </c>
      <c r="AN10" s="86">
        <f>IF(+$A10=0,+zBlankSht!BA$13,0)</f>
        <v>0</v>
      </c>
      <c r="AO10" s="86">
        <f>IF($A10=0,+zBlankSht!BC$13,0)</f>
        <v>0</v>
      </c>
      <c r="AP10" s="86">
        <f>IF(A10=0,+zBlankSht!BE$13,0)</f>
        <v>0</v>
      </c>
      <c r="AQ10" s="86">
        <f>_xlfn.IFNA(IF((+$A10=1),G10,0),0)</f>
        <v>0</v>
      </c>
      <c r="AR10" s="86">
        <f>_xlfn.IFNA(IF((+$A10=1),(G10*$F$3),0),0)</f>
        <v>0</v>
      </c>
      <c r="AS10" s="86">
        <f>IF(+$A10=0,+zBlankSht!BF$13,0)</f>
        <v>0</v>
      </c>
      <c r="AT10" s="86">
        <f>IF(+$A10=0,+zBlankSht!BH$13,0)</f>
        <v>0</v>
      </c>
      <c r="AU10" s="86">
        <f>IF(+$A10=0,+zBlankSht!BJ$13,0)</f>
        <v>0</v>
      </c>
      <c r="AV10" s="23" t="s">
        <v>170</v>
      </c>
      <c r="AW10" s="23" t="s">
        <v>171</v>
      </c>
    </row>
    <row r="11" spans="1:49" s="45" customFormat="1">
      <c r="B11" s="67"/>
      <c r="C11" s="370"/>
      <c r="D11" s="77"/>
      <c r="E11" s="69"/>
      <c r="F11" s="70"/>
      <c r="G11" s="71"/>
      <c r="H11" s="148" t="s">
        <v>152</v>
      </c>
      <c r="I11" s="363"/>
      <c r="J11" s="367" t="s">
        <v>103</v>
      </c>
      <c r="K11" s="148"/>
      <c r="L11" s="148"/>
      <c r="M11" s="148"/>
      <c r="N11" s="148"/>
      <c r="O11" s="148"/>
      <c r="R11" s="370"/>
      <c r="S11" s="77"/>
      <c r="T11" s="69"/>
      <c r="U11" s="70"/>
      <c r="V11" s="71"/>
      <c r="W11" s="67"/>
      <c r="X11"/>
      <c r="Y11" s="67"/>
      <c r="Z11" s="67"/>
      <c r="AA11" s="370"/>
      <c r="AB11" s="370"/>
      <c r="AC11" s="77"/>
      <c r="AD11" s="77"/>
      <c r="AE11" s="69"/>
      <c r="AF11" s="69"/>
      <c r="AG11" s="69"/>
      <c r="AH11" s="69"/>
      <c r="AI11" s="69"/>
      <c r="AJ11" s="69"/>
      <c r="AK11" s="67"/>
      <c r="AL11" s="70"/>
      <c r="AM11" s="70"/>
      <c r="AN11" s="70"/>
      <c r="AO11" s="70"/>
      <c r="AP11" s="67"/>
      <c r="AQ11" s="71"/>
      <c r="AR11" s="67"/>
      <c r="AS11" s="71"/>
      <c r="AT11" s="71"/>
      <c r="AU11" s="67"/>
      <c r="AV11" s="23"/>
      <c r="AW11" s="23"/>
    </row>
    <row r="12" spans="1:49">
      <c r="B12" s="75"/>
      <c r="C12" s="371"/>
      <c r="D12" s="327"/>
      <c r="E12" s="72"/>
      <c r="F12" s="73"/>
      <c r="G12" s="74"/>
    </row>
  </sheetData>
  <mergeCells count="9">
    <mergeCell ref="I1:J1"/>
    <mergeCell ref="I3:J3"/>
    <mergeCell ref="AM5:AP5"/>
    <mergeCell ref="AQ5:AR5"/>
    <mergeCell ref="AS5:AU5"/>
    <mergeCell ref="AA5:AB5"/>
    <mergeCell ref="AE5:AF5"/>
    <mergeCell ref="AG5:AJ5"/>
    <mergeCell ref="AK5:AL5"/>
  </mergeCells>
  <phoneticPr fontId="3" type="noConversion"/>
  <dataValidations count="5">
    <dataValidation type="custom" allowBlank="1" showInputMessage="1" showErrorMessage="1" error="Formula in cell.Access denied." sqref="T4:V8 W4 P3 AO7:AO8 AJ4:AN8 I7:J7 I1:K1 AH7:AI8 W7:W8 A1:A8 AC1:AT2 F1:G8 AH4:AI5 AC4:AG8 AP4:AS8 AT3:AT5 AT7:AT8 Y1:Z4 AU1:AU8 Y7:Z8 T1:W2 AO4:AO5 K7:K8 I3:K4 O7:O8 AC3:AS3" xr:uid="{00000000-0002-0000-0C00-000001000000}">
      <formula1>"&lt;&gt;ActiveCell"</formula1>
    </dataValidation>
    <dataValidation type="custom" allowBlank="1" showInputMessage="1" showErrorMessage="1" error="Formula in cell. Data input denied." sqref="K2" xr:uid="{00000000-0002-0000-0C00-000003000000}">
      <formula1>"&lt;&gt;=A1:D2,A3:B4,C4:E4,A5:E7,F2:AH8,R9:V222,X9:AH222"</formula1>
    </dataValidation>
    <dataValidation type="custom" allowBlank="1" showInputMessage="1" showErrorMessage="1" error="Data entry in this cell is denied." sqref="T11:W11 AX11:JA11 Y11:Z11 O11:P11 F11:M11 AT6 A11 AO6 W5 AH6:AI6 M1:N1 M7:M8 I5:O6 H1:H8 P1:P2 P4:P8 AC11:AU11" xr:uid="{00000000-0002-0000-0C00-000004000000}">
      <formula1>"&lt;&gt;ActiveCell"</formula1>
    </dataValidation>
    <dataValidation allowBlank="1" showInputMessage="1" showErrorMessage="1" sqref="N7:N8 N3 O4 O1:O2 M2:N2 L1:L4 L7:L8 N11 AA1:AA8 Q1:S8 Q11:S1048576 Y5:Z6 AA11:AB1048576 AB1:AB4 B11:E1048576 B1:E8 AB6:AB8 A9:XFD10" xr:uid="{00000000-0002-0000-0C00-000005000000}"/>
    <dataValidation type="custom" allowBlank="1" showInputMessage="1" showErrorMessage="1" error="Formula in cell. Access denied" sqref="W6" xr:uid="{00000000-0002-0000-0C00-000006000000}">
      <formula1>"&lt;&gt;A1:D2,A3:B4,A5:E7,G1:AM7,X8:AM20,Q8:V20,A17:I21"</formula1>
    </dataValidation>
  </dataValidations>
  <pageMargins left="0.75" right="0.75" top="1" bottom="1" header="0.5" footer="0.5"/>
  <headerFooter alignWithMargins="0"/>
</worksheet>
</file>

<file path=customUI/customUI.xml><?xml version="1.0" encoding="utf-8"?>
<!--RibbonX Visual Designer 1.94 for Microsoft Excel 14.0. XML Code produced on 2019/11/20-->
<customUI xmlns="http://schemas.microsoft.com/office/2006/01/customui" onLoad="rxRibbonUI_onLoad">
  <ribbon>
    <tabs>
      <tab id="ABLQuote" insertBeforeMso="TabHome" label="ABL Quote">
        <group id="Insertion" label="Insertion">
          <button id="rxAddSumryRow" imageMso="GoLtrDown" label="Add Sumry Row" screentip="Ctrl-Shift-A" size="normal" supertip="Add sumry sheet row and new sheet to workbook" getVisible="gv_Sumry" onAction="rxAddSumryRow_click"/>
          <button id="rxAddRow" imageMso="GoLeftToRight" label="Add Row" screentip="Ctrl-a" size="normal" supertip="Inserts takeoff row at cursor location ready for input" getVisible="gv_Insert" onAction="rxAddRow_click"/>
          <button id="rxAddEle" imageMso="GoLeftToRight" label="Add Element" size="normal" supertip="Inserts Element row at cursor location ready for input" getVisible="gv_Insert" onAction="rxAddEle_click"/>
          <button id="rxInsertrows" imageMso="FillRight" label="Copy Insert Rows" screentip="Ctrl-e" size="normal" supertip="Copies highlighted rows and then inserts rows and pastes the copied rows" getVisible="gv_Insert" onAction="rxInsertrows_click"/>
          <button id="rxInsertColumn" imageMso="FillDown" label="Insert Column" screentip="Ctrl-Shift-E" size="normal" supertip="This macro duplicates Budget-Claim pairs of columns in the BF to BK range to the right of the trade sheet for preparing a budget analysis breakdown. This macro in any trade sheet as follows :- a: Highlight any cell in either of the Labour, Material or Subs pairs of Budget-Claims columns (Green range BF to Bk). b: Click on the macro to copy then insert-paste an adjacent duplicate of the pair of columns. Repeat as required to suit desired budget phase analysis" getVisible="gv_Insert" onAction="rxInsertColumn_click"/>
          <button id="rxUpdateTOC" imageMso="Diamond" label="Update TOC" screentip="Update Sumry Table of Contents" size="normal" supertip="Add links from names to sheets" onAction="rxUpdateTOC_click"/>
        </group>
        <group id="Dimensions" label="Dimensions" getVisible="gv_Dimensions">
          <button id="rxHideTakeoffDims" imageMso="PersonaStatusOffline" label="Hide Takeoff Dims" screentip="Ctrl-Shift-H" size="normal" supertip="Hide Takeoff Sheet Dims to form pricing schedule" onAction="rxHideTakeoffDims_click"/>
          <button id="rxRemoveDimensions" imageMso="PersonaStatusBusy" label="Remove Dimensions" screentip="Ctrl-m" size="normal" supertip="Removes Dims from active sheet" onAction="rxRemoveDimensions_click"/>
          <button id="rxReplacesDimensions" imageMso="PersonaStatusOnline" label="Replaces Dimensions" screentip="Ctrl-Shift-M" size="normal" supertip="Reinstate Dims in active sheet" onAction="rxReplacesDimensions_click"/>
        </group>
        <group id="HideUnhide" label="Hide/Unhide">
          <button id="rxClaimSummary" imageMso="DollarSign" label="Claim Summary" screentip="Ctrl-Shift-C" size="normal" supertip="Hide all details forming a claim summary sheet" onAction="rxClaimSummary_click"/>
          <button id="rxQuoteWideSumrySheet" imageMso="StarUnratedEmpty" label="Quote Sumry Sheet" screentip="Ctrl-q" size="normal" supertip="Hides claim details and Financial Analysis on SUMRY Sheet" getVisible="gv_Sumry" onAction="rxQuoteWideSumrySheet_click"/>
          <button id="rxTradeSummary" imageMso="ShapeSmileyFace" label="Trade Summary" screentip="Ctrl-Shift-T" size="normal" supertip="Hides all details forming a trade summary sheet" onAction="rxTradeSummary_click"/>
          <button id="rxUnhideAll" imageMso="HappyFace" label="Unhide All" screentip="Ctrl-Shift-U" size="normal" supertip="Unhides all columns, rows and filters in the active sheet" onAction="rxUnhideAll_click"/>
        </group>
        <group id="Protection" label="Cell Protection">
          <button id="rxProtect" imageMso="HyperlinksVerify" label="Protect Cell" screentip="Ctrl-x" size="normal" supertip="Protect Cells" onAction="rxProtect_click"/>
          <button id="rxUnprotect" imageMso="HyperlinkRemove" label="Unprotect Cell" screentip="Ctrl-shift-X" size="normal" supertip="Unprotect Cells - use with extreme caution" onAction="rxUnprotect_click"/>
        </group>
        <group id="Group20" label="Protect">
          <button id="Button20" imageMso="ReviewAcceptChange" label="Lock Sheets" size="large" onAction="protectSheets"/>
          <button id="Button21" imageMso="ReviewAcceptChange" label="Unlock Sheets" size="large" onAction="UnportectSheets"/>
        </group>
        <group id="Switch" label="Switch" getVisible="gv_Switch">
          <button id="rxReturnToSmry" imageMso="Spade" label="Return to SUMRY" screentip="Switch to Summary sheet" size="normal" onAction="rxReturnToSmry_click"/>
        </group>
        <group id="Formatting" label="Formatting">
          <button id="rxFormatRows" imageMso="AutoFormatChange" label="Format Rows" screentip="Adds a carridge return to each Description field" size="normal" supertip="Adds a carridge return to each Description field" onAction="rowsSpacing"/>
        </group>
        <group id="VersionInfo" label="Version Information">
          <labelControl id="lblVersion" getLabel="lblVersion_getLabel"/>
        </group>
      </tab>
      <tab id="ABLInvoicing" insertBeforeMso="TabHome" label="ABL Internal">
        <group id="Group7" label="Generate">
          <button id="Button17" imageMso="ReviewAcceptChange" label="Generate Invoice" size="large" onAction="invGen"/>
        </group>
        <group id="Group8" label="Export">
          <button id="Button18" imageMso="FormRegionSave" label="Save Internal Forms" size="large" onAction="internalForm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23</vt:i4>
      </vt:variant>
    </vt:vector>
  </HeadingPairs>
  <TitlesOfParts>
    <vt:vector size="38" baseType="lpstr">
      <vt:lpstr>SubSht</vt:lpstr>
      <vt:lpstr>Internal Payment </vt:lpstr>
      <vt:lpstr>Cost v Income</vt:lpstr>
      <vt:lpstr>SUMRY</vt:lpstr>
      <vt:lpstr>BUDGET</vt:lpstr>
      <vt:lpstr>1</vt:lpstr>
      <vt:lpstr>mos</vt:lpstr>
      <vt:lpstr>Precut Prenail Frames</vt:lpstr>
      <vt:lpstr>zBlankInv</vt:lpstr>
      <vt:lpstr>consult-inst</vt:lpstr>
      <vt:lpstr>zTakeoffSht</vt:lpstr>
      <vt:lpstr>zQuoteSht</vt:lpstr>
      <vt:lpstr>SUMMARY</vt:lpstr>
      <vt:lpstr>zBlankSht</vt:lpstr>
      <vt:lpstr>zSumryRow</vt:lpstr>
      <vt:lpstr>budget</vt:lpstr>
      <vt:lpstr>BudgetLabMat</vt:lpstr>
      <vt:lpstr>budgetSub</vt:lpstr>
      <vt:lpstr>dClaim</vt:lpstr>
      <vt:lpstr>Description</vt:lpstr>
      <vt:lpstr>dFinancialAnalysis</vt:lpstr>
      <vt:lpstr>invoiceInfo</vt:lpstr>
      <vt:lpstr>nextTrade</vt:lpstr>
      <vt:lpstr>nums</vt:lpstr>
      <vt:lpstr>PHASE</vt:lpstr>
      <vt:lpstr>'1'!Print_Area</vt:lpstr>
      <vt:lpstr>'Cost v Income'!Print_Area</vt:lpstr>
      <vt:lpstr>'Internal Payment '!Print_Area</vt:lpstr>
      <vt:lpstr>SUMRY!Print_Area</vt:lpstr>
      <vt:lpstr>zBlankInv!Print_Area</vt:lpstr>
      <vt:lpstr>zBlankSht!Print_Area</vt:lpstr>
      <vt:lpstr>zTakeoffSht!Print_Area</vt:lpstr>
      <vt:lpstr>'1'!Print_Titles</vt:lpstr>
      <vt:lpstr>zBlankSht!Print_Titles</vt:lpstr>
      <vt:lpstr>SUB</vt:lpstr>
      <vt:lpstr>zBlankInv!TOTAL</vt:lpstr>
      <vt:lpstr>Total_Row</vt:lpstr>
      <vt:lpstr>SUMMARY!watchCells</vt:lpstr>
    </vt:vector>
  </TitlesOfParts>
  <Company>Amalgamated Builders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Quote Sheet 4.5</dc:title>
  <dc:creator>Phill Wong;Mat Dowall</dc:creator>
  <dc:description>4.5</dc:description>
  <cp:lastModifiedBy>Md Merajul Haque</cp:lastModifiedBy>
  <cp:lastPrinted>2021-09-09T21:58:37Z</cp:lastPrinted>
  <dcterms:created xsi:type="dcterms:W3CDTF">2001-07-18T00:01:36Z</dcterms:created>
  <dcterms:modified xsi:type="dcterms:W3CDTF">2024-11-18T12:42:15Z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lAutoSort">
    <vt:bool>true</vt:bool>
  </property>
</Properties>
</file>